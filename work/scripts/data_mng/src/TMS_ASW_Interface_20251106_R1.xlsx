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chaeffler-my.sharepoint.com/personal/uiv33050_vitesco_com/Documents/Desktop/test/"/>
    </mc:Choice>
  </mc:AlternateContent>
  <xr:revisionPtr revIDLastSave="1194" documentId="8_{5DF517B9-9F6B-4DB5-9ABE-EA1B821A0421}" xr6:coauthVersionLast="47" xr6:coauthVersionMax="47" xr10:uidLastSave="{3F22BE08-0793-4966-ABDE-D284A03778BE}"/>
  <bookViews>
    <workbookView xWindow="28680" yWindow="-120" windowWidth="29040" windowHeight="15720" tabRatio="776" activeTab="1" xr2:uid="{00000000-000D-0000-FFFF-FFFF00000000}"/>
  </bookViews>
  <sheets>
    <sheet name="ChangeLog" sheetId="31" r:id="rId1"/>
    <sheet name="Sys_ComIf" sheetId="20" r:id="rId2"/>
    <sheet name="ComRx_Bus" sheetId="30" r:id="rId3"/>
    <sheet name="UIM_Bus" sheetId="32" r:id="rId4"/>
    <sheet name="SAM_Bus" sheetId="28" r:id="rId5"/>
    <sheet name="TCM_Bus" sheetId="29" r:id="rId6"/>
    <sheet name="CCM_Bus" sheetId="27" r:id="rId7"/>
    <sheet name="SenCorr_Bus" sheetId="33" r:id="rId8"/>
    <sheet name="SysReq_Bus" sheetId="34" r:id="rId9"/>
    <sheet name="Sys_IoIf" sheetId="18" r:id="rId10"/>
    <sheet name="ADTTables" sheetId="19" r:id="rId11"/>
    <sheet name="TextTables" sheetId="2" r:id="rId12"/>
  </sheets>
  <externalReferences>
    <externalReference r:id="rId13"/>
  </externalReferences>
  <definedNames>
    <definedName name="__bookmark_2">TextTables!$A$1:$B$3805</definedName>
    <definedName name="_xlnm._FilterDatabase" localSheetId="10" hidden="1">ADTTables!$A$1:$I$1</definedName>
    <definedName name="_xlnm._FilterDatabase" localSheetId="6" hidden="1">CCM_Bus!$A$1:$AB$77</definedName>
    <definedName name="_xlnm._FilterDatabase" localSheetId="1" hidden="1">Sys_ComIf!$A$1:$AC$535</definedName>
    <definedName name="_xlnm._FilterDatabase" localSheetId="9" hidden="1">Sys_IoIf!$A$1:$AF$115</definedName>
    <definedName name="_xlnm._FilterDatabase" localSheetId="5" hidden="1">TCM_Bus!$A$1:$AB$90</definedName>
    <definedName name="_xlnm._FilterDatabase" localSheetId="11" hidden="1">TextTables!$A$1:$B$3847</definedName>
    <definedName name="_xlnm.Print_Area" localSheetId="9">Sys_IoIf!$G$1:$J$115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4" i="20" l="1"/>
  <c r="N94" i="20"/>
  <c r="Z94" i="20" s="1"/>
  <c r="AA94" i="20"/>
  <c r="I95" i="20"/>
  <c r="J95" i="20" s="1"/>
  <c r="M95" i="20"/>
  <c r="N95" i="20"/>
  <c r="Z95" i="20" s="1"/>
  <c r="AA95" i="20"/>
  <c r="AA96" i="20"/>
  <c r="I96" i="20"/>
  <c r="J96" i="20" s="1"/>
  <c r="M96" i="20"/>
  <c r="N96" i="20"/>
  <c r="Z96" i="20" s="1"/>
  <c r="I97" i="20"/>
  <c r="J97" i="20" s="1"/>
  <c r="M97" i="20"/>
  <c r="N97" i="20"/>
  <c r="Z97" i="20" s="1"/>
  <c r="AA97" i="20"/>
  <c r="I98" i="20"/>
  <c r="J98" i="20" s="1"/>
  <c r="M98" i="20"/>
  <c r="N98" i="20"/>
  <c r="Z98" i="20" s="1"/>
  <c r="AA98" i="20"/>
  <c r="N99" i="20"/>
  <c r="Z99" i="20" s="1"/>
  <c r="I99" i="20"/>
  <c r="J99" i="20" s="1"/>
  <c r="M99" i="20"/>
  <c r="AA99" i="20"/>
  <c r="M100" i="20"/>
  <c r="I101" i="20"/>
  <c r="J101" i="20" s="1"/>
  <c r="M101" i="20"/>
  <c r="N101" i="20"/>
  <c r="Z101" i="20" s="1"/>
  <c r="AA101" i="20"/>
  <c r="I102" i="20"/>
  <c r="J102" i="20" s="1"/>
  <c r="M102" i="20"/>
  <c r="N102" i="20"/>
  <c r="Z102" i="20" s="1"/>
  <c r="AA102" i="20"/>
  <c r="M103" i="20"/>
  <c r="AA103" i="20"/>
  <c r="M104" i="20"/>
  <c r="M105" i="20"/>
  <c r="M106" i="20"/>
  <c r="AA106" i="20"/>
  <c r="M107" i="20"/>
  <c r="I108" i="20"/>
  <c r="J108" i="20" s="1"/>
  <c r="M108" i="20"/>
  <c r="N108" i="20"/>
  <c r="Z108" i="20" s="1"/>
  <c r="AA108" i="20"/>
  <c r="M109" i="20"/>
  <c r="AA109" i="20"/>
  <c r="M110" i="20"/>
  <c r="M111" i="20"/>
  <c r="M112" i="20"/>
  <c r="AA112" i="20"/>
  <c r="I113" i="20"/>
  <c r="J113" i="20" s="1"/>
  <c r="M113" i="20"/>
  <c r="I114" i="20"/>
  <c r="J114" i="20" s="1"/>
  <c r="M114" i="20"/>
  <c r="M115" i="20"/>
  <c r="M116" i="20"/>
  <c r="I117" i="20"/>
  <c r="J117" i="20" s="1"/>
  <c r="M117" i="20"/>
  <c r="N117" i="20"/>
  <c r="Z117" i="20" s="1"/>
  <c r="AA117" i="20"/>
  <c r="M118" i="20"/>
  <c r="N119" i="20"/>
  <c r="Z119" i="20" s="1"/>
  <c r="I119" i="20"/>
  <c r="J119" i="20" s="1"/>
  <c r="M119" i="20"/>
  <c r="M120" i="20"/>
  <c r="N120" i="20"/>
  <c r="Z120" i="20" s="1"/>
  <c r="M121" i="20"/>
  <c r="I122" i="20"/>
  <c r="J122" i="20" s="1"/>
  <c r="M122" i="20"/>
  <c r="AA122" i="20"/>
  <c r="I123" i="20"/>
  <c r="J123" i="20" s="1"/>
  <c r="M123" i="20"/>
  <c r="N123" i="20"/>
  <c r="Z123" i="20" s="1"/>
  <c r="AA123" i="20"/>
  <c r="M124" i="20"/>
  <c r="I125" i="20"/>
  <c r="J125" i="20" s="1"/>
  <c r="M125" i="20"/>
  <c r="I126" i="20"/>
  <c r="J126" i="20" s="1"/>
  <c r="M126" i="20"/>
  <c r="N126" i="20"/>
  <c r="Z126" i="20" s="1"/>
  <c r="AA126" i="20"/>
  <c r="M127" i="20"/>
  <c r="N127" i="20"/>
  <c r="Z127" i="20" s="1"/>
  <c r="AA127" i="20"/>
  <c r="I128" i="20"/>
  <c r="J128" i="20" s="1"/>
  <c r="M128" i="20"/>
  <c r="I129" i="20"/>
  <c r="J129" i="20" s="1"/>
  <c r="M129" i="20"/>
  <c r="I130" i="20"/>
  <c r="J130" i="20" s="1"/>
  <c r="M130" i="20"/>
  <c r="N130" i="20"/>
  <c r="Z130" i="20" s="1"/>
  <c r="AA130" i="20"/>
  <c r="I131" i="20"/>
  <c r="J131" i="20"/>
  <c r="M131" i="20"/>
  <c r="N132" i="20"/>
  <c r="Z132" i="20" s="1"/>
  <c r="I132" i="20"/>
  <c r="J132" i="20" s="1"/>
  <c r="M132" i="20"/>
  <c r="AA132" i="20"/>
  <c r="I133" i="20"/>
  <c r="J133" i="20" s="1"/>
  <c r="M133" i="20"/>
  <c r="M134" i="20"/>
  <c r="I135" i="20"/>
  <c r="J135" i="20" s="1"/>
  <c r="M135" i="20"/>
  <c r="N135" i="20"/>
  <c r="Z135" i="20" s="1"/>
  <c r="AA135" i="20"/>
  <c r="I136" i="20"/>
  <c r="J136" i="20" s="1"/>
  <c r="M136" i="20"/>
  <c r="AA137" i="20"/>
  <c r="I137" i="20"/>
  <c r="J137" i="20" s="1"/>
  <c r="M137" i="20"/>
  <c r="M138" i="20"/>
  <c r="N138" i="20"/>
  <c r="Z138" i="20" s="1"/>
  <c r="AA138" i="20"/>
  <c r="I139" i="20"/>
  <c r="J139" i="20" s="1"/>
  <c r="M139" i="20"/>
  <c r="AA140" i="20"/>
  <c r="I140" i="20"/>
  <c r="J140" i="20" s="1"/>
  <c r="M140" i="20"/>
  <c r="N140" i="20"/>
  <c r="Z140" i="20" s="1"/>
  <c r="I141" i="20"/>
  <c r="J141" i="20" s="1"/>
  <c r="M141" i="20"/>
  <c r="N141" i="20"/>
  <c r="Z141" i="20" s="1"/>
  <c r="AA141" i="20"/>
  <c r="I142" i="20"/>
  <c r="J142" i="20"/>
  <c r="M142" i="20"/>
  <c r="I143" i="20"/>
  <c r="J143" i="20" s="1"/>
  <c r="M143" i="20"/>
  <c r="I144" i="20"/>
  <c r="J144" i="20" s="1"/>
  <c r="M144" i="20"/>
  <c r="M145" i="20"/>
  <c r="I146" i="20"/>
  <c r="J146" i="20" s="1"/>
  <c r="M146" i="20"/>
  <c r="N146" i="20"/>
  <c r="Z146" i="20" s="1"/>
  <c r="AA146" i="20"/>
  <c r="I147" i="20"/>
  <c r="J147" i="20" s="1"/>
  <c r="M147" i="20"/>
  <c r="M148" i="20"/>
  <c r="M149" i="20"/>
  <c r="N149" i="20"/>
  <c r="Z149" i="20"/>
  <c r="AA149" i="20"/>
  <c r="AA150" i="20"/>
  <c r="I150" i="20"/>
  <c r="J150" i="20" s="1"/>
  <c r="M150" i="20"/>
  <c r="I151" i="20"/>
  <c r="J151" i="20" s="1"/>
  <c r="M151" i="20"/>
  <c r="M152" i="20"/>
  <c r="AA152" i="20"/>
  <c r="I153" i="20"/>
  <c r="J153" i="20" s="1"/>
  <c r="M153" i="20"/>
  <c r="N153" i="20"/>
  <c r="Z153" i="20" s="1"/>
  <c r="AA153" i="20"/>
  <c r="M154" i="20"/>
  <c r="I155" i="20"/>
  <c r="J155" i="20" s="1"/>
  <c r="M155" i="20"/>
  <c r="N155" i="20"/>
  <c r="Z155" i="20" s="1"/>
  <c r="AA155" i="20"/>
  <c r="I156" i="20"/>
  <c r="J156" i="20" s="1"/>
  <c r="M156" i="20"/>
  <c r="N156" i="20"/>
  <c r="Z156" i="20" s="1"/>
  <c r="AA156" i="20"/>
  <c r="M157" i="20"/>
  <c r="N157" i="20"/>
  <c r="Z157" i="20" s="1"/>
  <c r="I158" i="20"/>
  <c r="J158" i="20" s="1"/>
  <c r="M158" i="20"/>
  <c r="N159" i="20"/>
  <c r="Z159" i="20" s="1"/>
  <c r="I159" i="20"/>
  <c r="J159" i="20" s="1"/>
  <c r="M159" i="20"/>
  <c r="AA159" i="20"/>
  <c r="M160" i="20"/>
  <c r="N160" i="20"/>
  <c r="Z160" i="20" s="1"/>
  <c r="AA160" i="20"/>
  <c r="AA161" i="20"/>
  <c r="I161" i="20"/>
  <c r="J161" i="20" s="1"/>
  <c r="M161" i="20"/>
  <c r="N161" i="20"/>
  <c r="Z161" i="20" s="1"/>
  <c r="AA162" i="20"/>
  <c r="I162" i="20"/>
  <c r="J162" i="20" s="1"/>
  <c r="M162" i="20"/>
  <c r="N162" i="20"/>
  <c r="Z162" i="20" s="1"/>
  <c r="I163" i="20"/>
  <c r="J163" i="20" s="1"/>
  <c r="M163" i="20"/>
  <c r="AA163" i="20"/>
  <c r="I164" i="20"/>
  <c r="J164" i="20" s="1"/>
  <c r="M164" i="20"/>
  <c r="N164" i="20"/>
  <c r="Z164" i="20" s="1"/>
  <c r="AA164" i="20"/>
  <c r="M165" i="20"/>
  <c r="AA166" i="20"/>
  <c r="I166" i="20"/>
  <c r="J166" i="20" s="1"/>
  <c r="M166" i="20"/>
  <c r="N166" i="20"/>
  <c r="Z166" i="20" s="1"/>
  <c r="I167" i="20"/>
  <c r="J167" i="20" s="1"/>
  <c r="M167" i="20"/>
  <c r="AA167" i="20"/>
  <c r="M168" i="20"/>
  <c r="AA169" i="20"/>
  <c r="I169" i="20"/>
  <c r="J169" i="20" s="1"/>
  <c r="M169" i="20"/>
  <c r="N169" i="20"/>
  <c r="Z169" i="20" s="1"/>
  <c r="M170" i="20"/>
  <c r="M171" i="20"/>
  <c r="N171" i="20"/>
  <c r="Z171" i="20" s="1"/>
  <c r="AA171" i="20"/>
  <c r="AA172" i="20"/>
  <c r="I172" i="20"/>
  <c r="J172" i="20" s="1"/>
  <c r="M172" i="20"/>
  <c r="N172" i="20"/>
  <c r="Z172" i="20" s="1"/>
  <c r="I173" i="20"/>
  <c r="J173" i="20" s="1"/>
  <c r="M173" i="20"/>
  <c r="I174" i="20"/>
  <c r="J174" i="20" s="1"/>
  <c r="M174" i="20"/>
  <c r="N174" i="20"/>
  <c r="Z174" i="20" s="1"/>
  <c r="AA174" i="20"/>
  <c r="M175" i="20"/>
  <c r="N176" i="20"/>
  <c r="Z176" i="20" s="1"/>
  <c r="I176" i="20"/>
  <c r="J176" i="20" s="1"/>
  <c r="M176" i="20"/>
  <c r="AA176" i="20"/>
  <c r="I177" i="20"/>
  <c r="J177" i="20" s="1"/>
  <c r="M177" i="20"/>
  <c r="N177" i="20"/>
  <c r="Z177" i="20" s="1"/>
  <c r="AA177" i="20"/>
  <c r="I178" i="20"/>
  <c r="J178" i="20" s="1"/>
  <c r="M178" i="20"/>
  <c r="AA179" i="20"/>
  <c r="M179" i="20"/>
  <c r="N179" i="20"/>
  <c r="Z179" i="20" s="1"/>
  <c r="I180" i="20"/>
  <c r="J180" i="20" s="1"/>
  <c r="M180" i="20"/>
  <c r="N180" i="20"/>
  <c r="Z180" i="20" s="1"/>
  <c r="AA180" i="20"/>
  <c r="AA181" i="20"/>
  <c r="I181" i="20"/>
  <c r="J181" i="20" s="1"/>
  <c r="M181" i="20"/>
  <c r="N181" i="20"/>
  <c r="Z181" i="20" s="1"/>
  <c r="M182" i="20"/>
  <c r="N182" i="20"/>
  <c r="Z182" i="20" s="1"/>
  <c r="I183" i="20"/>
  <c r="J183" i="20" s="1"/>
  <c r="M183" i="20"/>
  <c r="N183" i="20"/>
  <c r="Z183" i="20" s="1"/>
  <c r="AA183" i="20"/>
  <c r="AA184" i="20"/>
  <c r="M184" i="20"/>
  <c r="N184" i="20"/>
  <c r="Z184" i="20" s="1"/>
  <c r="I185" i="20"/>
  <c r="J185" i="20" s="1"/>
  <c r="M185" i="20"/>
  <c r="N185" i="20"/>
  <c r="Z185" i="20" s="1"/>
  <c r="AA185" i="20"/>
  <c r="M186" i="20"/>
  <c r="AA186" i="20"/>
  <c r="N187" i="20"/>
  <c r="Z187" i="20" s="1"/>
  <c r="M187" i="20"/>
  <c r="M188" i="20"/>
  <c r="N188" i="20"/>
  <c r="Z188" i="20" s="1"/>
  <c r="AA188" i="20"/>
  <c r="I189" i="20"/>
  <c r="J189" i="20" s="1"/>
  <c r="M189" i="20"/>
  <c r="N189" i="20"/>
  <c r="Z189" i="20" s="1"/>
  <c r="AA189" i="20"/>
  <c r="I190" i="20"/>
  <c r="J190" i="20" s="1"/>
  <c r="M190" i="20"/>
  <c r="N190" i="20"/>
  <c r="Z190" i="20" s="1"/>
  <c r="AA190" i="20"/>
  <c r="M191" i="20"/>
  <c r="N191" i="20"/>
  <c r="Z191" i="20" s="1"/>
  <c r="AA191" i="20"/>
  <c r="I192" i="20"/>
  <c r="J192" i="20" s="1"/>
  <c r="M192" i="20"/>
  <c r="N192" i="20"/>
  <c r="Z192" i="20" s="1"/>
  <c r="M193" i="20"/>
  <c r="N193" i="20"/>
  <c r="Z193" i="20" s="1"/>
  <c r="I194" i="20"/>
  <c r="J194" i="20" s="1"/>
  <c r="M194" i="20"/>
  <c r="N194" i="20"/>
  <c r="Z194" i="20" s="1"/>
  <c r="AA194" i="20"/>
  <c r="M195" i="20"/>
  <c r="I196" i="20"/>
  <c r="J196" i="20" s="1"/>
  <c r="M196" i="20"/>
  <c r="N196" i="20"/>
  <c r="Z196" i="20" s="1"/>
  <c r="AA196" i="20"/>
  <c r="M197" i="20"/>
  <c r="I198" i="20"/>
  <c r="J198" i="20" s="1"/>
  <c r="M198" i="20"/>
  <c r="M199" i="20"/>
  <c r="N199" i="20"/>
  <c r="Z199" i="20" s="1"/>
  <c r="AA199" i="20"/>
  <c r="I200" i="20"/>
  <c r="J200" i="20" s="1"/>
  <c r="M200" i="20"/>
  <c r="N200" i="20"/>
  <c r="Z200" i="20" s="1"/>
  <c r="AA200" i="20"/>
  <c r="M201" i="20"/>
  <c r="M202" i="20"/>
  <c r="AA202" i="20"/>
  <c r="I203" i="20"/>
  <c r="J203" i="20" s="1"/>
  <c r="M203" i="20"/>
  <c r="N203" i="20"/>
  <c r="Z203" i="20" s="1"/>
  <c r="AA203" i="20"/>
  <c r="M204" i="20"/>
  <c r="M205" i="20"/>
  <c r="AA206" i="20"/>
  <c r="I206" i="20"/>
  <c r="J206" i="20" s="1"/>
  <c r="M206" i="20"/>
  <c r="N206" i="20"/>
  <c r="Z206" i="20" s="1"/>
  <c r="M207" i="20"/>
  <c r="AA207" i="20"/>
  <c r="M208" i="20"/>
  <c r="N209" i="20"/>
  <c r="Z209" i="20" s="1"/>
  <c r="I209" i="20"/>
  <c r="J209" i="20" s="1"/>
  <c r="M209" i="20"/>
  <c r="M210" i="20"/>
  <c r="N210" i="20"/>
  <c r="Z210" i="20" s="1"/>
  <c r="AA210" i="20"/>
  <c r="AA211" i="20"/>
  <c r="I211" i="20"/>
  <c r="J211" i="20" s="1"/>
  <c r="M211" i="20"/>
  <c r="I212" i="20"/>
  <c r="J212" i="20" s="1"/>
  <c r="M212" i="20"/>
  <c r="N212" i="20"/>
  <c r="Z212" i="20" s="1"/>
  <c r="AA212" i="20"/>
  <c r="I213" i="20"/>
  <c r="J213" i="20" s="1"/>
  <c r="M213" i="20"/>
  <c r="M214" i="20"/>
  <c r="M215" i="20"/>
  <c r="I216" i="20"/>
  <c r="J216" i="20" s="1"/>
  <c r="M216" i="20"/>
  <c r="N216" i="20"/>
  <c r="Z216" i="20" s="1"/>
  <c r="AA216" i="20"/>
  <c r="AA217" i="20"/>
  <c r="M217" i="20"/>
  <c r="N217" i="20"/>
  <c r="Z217" i="20" s="1"/>
  <c r="M218" i="20"/>
  <c r="M219" i="20"/>
  <c r="N220" i="20"/>
  <c r="Z220" i="20" s="1"/>
  <c r="M220" i="20"/>
  <c r="M221" i="20"/>
  <c r="I222" i="20"/>
  <c r="J222" i="20" s="1"/>
  <c r="M222" i="20"/>
  <c r="M223" i="20"/>
  <c r="M224" i="20"/>
  <c r="M225" i="20"/>
  <c r="M226" i="20"/>
  <c r="N226" i="20"/>
  <c r="Z226" i="20" s="1"/>
  <c r="M227" i="20"/>
  <c r="I228" i="20"/>
  <c r="J228" i="20" s="1"/>
  <c r="M228" i="20"/>
  <c r="M229" i="20"/>
  <c r="AA229" i="20"/>
  <c r="M230" i="20"/>
  <c r="AA230" i="20"/>
  <c r="N231" i="20"/>
  <c r="Z231" i="20" s="1"/>
  <c r="M231" i="20"/>
  <c r="AA231" i="20"/>
  <c r="M232" i="20"/>
  <c r="M233" i="20"/>
  <c r="AA233" i="20"/>
  <c r="I234" i="20"/>
  <c r="J234" i="20" s="1"/>
  <c r="M234" i="20"/>
  <c r="N234" i="20"/>
  <c r="Z234" i="20" s="1"/>
  <c r="I235" i="20"/>
  <c r="J235" i="20" s="1"/>
  <c r="M235" i="20"/>
  <c r="M236" i="20"/>
  <c r="AA236" i="20"/>
  <c r="M237" i="20"/>
  <c r="N237" i="20"/>
  <c r="Z237" i="20" s="1"/>
  <c r="AA237" i="20"/>
  <c r="M238" i="20"/>
  <c r="M239" i="20"/>
  <c r="I240" i="20"/>
  <c r="J240" i="20" s="1"/>
  <c r="M240" i="20"/>
  <c r="N240" i="20"/>
  <c r="Z240" i="20" s="1"/>
  <c r="AA240" i="20"/>
  <c r="AA241" i="20"/>
  <c r="I241" i="20"/>
  <c r="J241" i="20" s="1"/>
  <c r="M241" i="20"/>
  <c r="N241" i="20"/>
  <c r="Z241" i="20" s="1"/>
  <c r="M242" i="20"/>
  <c r="M243" i="20"/>
  <c r="N243" i="20"/>
  <c r="Z243" i="20" s="1"/>
  <c r="AA243" i="20"/>
  <c r="N244" i="20"/>
  <c r="Z244" i="20" s="1"/>
  <c r="I244" i="20"/>
  <c r="J244" i="20" s="1"/>
  <c r="M244" i="20"/>
  <c r="M245" i="20"/>
  <c r="M246" i="20"/>
  <c r="I247" i="20"/>
  <c r="J247" i="20" s="1"/>
  <c r="M247" i="20"/>
  <c r="M248" i="20"/>
  <c r="N248" i="20"/>
  <c r="Z248" i="20"/>
  <c r="AA248" i="20"/>
  <c r="M249" i="20"/>
  <c r="AA250" i="20"/>
  <c r="M250" i="20"/>
  <c r="I251" i="20"/>
  <c r="J251" i="20" s="1"/>
  <c r="M251" i="20"/>
  <c r="M252" i="20"/>
  <c r="N253" i="20"/>
  <c r="Z253" i="20" s="1"/>
  <c r="M253" i="20"/>
  <c r="I254" i="20"/>
  <c r="J254" i="20" s="1"/>
  <c r="M254" i="20"/>
  <c r="I255" i="20"/>
  <c r="J255" i="20" s="1"/>
  <c r="M255" i="20"/>
  <c r="M256" i="20"/>
  <c r="M257" i="20"/>
  <c r="M258" i="20"/>
  <c r="M259" i="20"/>
  <c r="I260" i="20"/>
  <c r="J260" i="20" s="1"/>
  <c r="M260" i="20"/>
  <c r="M261" i="20"/>
  <c r="I262" i="20"/>
  <c r="J262" i="20"/>
  <c r="M262" i="20"/>
  <c r="N262" i="20"/>
  <c r="Z262" i="20" s="1"/>
  <c r="AA262" i="20"/>
  <c r="I263" i="20"/>
  <c r="J263" i="20" s="1"/>
  <c r="M263" i="20"/>
  <c r="N264" i="20"/>
  <c r="Z264" i="20" s="1"/>
  <c r="M264" i="20"/>
  <c r="M265" i="20"/>
  <c r="I266" i="20"/>
  <c r="J266" i="20" s="1"/>
  <c r="M266" i="20"/>
  <c r="M267" i="20"/>
  <c r="I268" i="20"/>
  <c r="J268" i="20"/>
  <c r="M268" i="20"/>
  <c r="M269" i="20"/>
  <c r="M270" i="20"/>
  <c r="N270" i="20"/>
  <c r="Z270" i="20" s="1"/>
  <c r="M271" i="20"/>
  <c r="N271" i="20"/>
  <c r="Z271" i="20" s="1"/>
  <c r="M272" i="20"/>
  <c r="I273" i="20"/>
  <c r="J273" i="20" s="1"/>
  <c r="M273" i="20"/>
  <c r="N273" i="20"/>
  <c r="Z273" i="20" s="1"/>
  <c r="AA273" i="20"/>
  <c r="AA274" i="20"/>
  <c r="I274" i="20"/>
  <c r="J274" i="20" s="1"/>
  <c r="M274" i="20"/>
  <c r="I275" i="20"/>
  <c r="J275" i="20" s="1"/>
  <c r="M275" i="20"/>
  <c r="M276" i="20"/>
  <c r="AA276" i="20"/>
  <c r="N277" i="20"/>
  <c r="Z277" i="20" s="1"/>
  <c r="I277" i="20"/>
  <c r="J277" i="20" s="1"/>
  <c r="M277" i="20"/>
  <c r="M278" i="20"/>
  <c r="I279" i="20"/>
  <c r="J279" i="20" s="1"/>
  <c r="M279" i="20"/>
  <c r="N279" i="20"/>
  <c r="Z279" i="20"/>
  <c r="I280" i="20"/>
  <c r="J280" i="20" s="1"/>
  <c r="M280" i="20"/>
  <c r="N280" i="20"/>
  <c r="Z280" i="20" s="1"/>
  <c r="AA280" i="20"/>
  <c r="M281" i="20"/>
  <c r="N281" i="20"/>
  <c r="Z281" i="20" s="1"/>
  <c r="M282" i="20"/>
  <c r="N282" i="20"/>
  <c r="Z282" i="20" s="1"/>
  <c r="AA282" i="20"/>
  <c r="AA283" i="20"/>
  <c r="M283" i="20"/>
  <c r="N283" i="20"/>
  <c r="Z283" i="20" s="1"/>
  <c r="M284" i="20"/>
  <c r="M285" i="20"/>
  <c r="N286" i="20"/>
  <c r="Z286" i="20" s="1"/>
  <c r="I286" i="20"/>
  <c r="J286" i="20" s="1"/>
  <c r="M286" i="20"/>
  <c r="AA286" i="20"/>
  <c r="AA287" i="20"/>
  <c r="M287" i="20"/>
  <c r="N287" i="20"/>
  <c r="Z287" i="20" s="1"/>
  <c r="I288" i="20"/>
  <c r="J288" i="20" s="1"/>
  <c r="M288" i="20"/>
  <c r="N288" i="20"/>
  <c r="Z288" i="20" s="1"/>
  <c r="I289" i="20"/>
  <c r="J289" i="20" s="1"/>
  <c r="M289" i="20"/>
  <c r="N289" i="20"/>
  <c r="Z289" i="20" s="1"/>
  <c r="AA289" i="20"/>
  <c r="AA290" i="20"/>
  <c r="I290" i="20"/>
  <c r="J290" i="20" s="1"/>
  <c r="M290" i="20"/>
  <c r="M291" i="20"/>
  <c r="N291" i="20"/>
  <c r="Z291" i="20" s="1"/>
  <c r="AA291" i="20"/>
  <c r="M292" i="20"/>
  <c r="N292" i="20"/>
  <c r="Z292" i="20" s="1"/>
  <c r="AA292" i="20"/>
  <c r="M293" i="20"/>
  <c r="I294" i="20"/>
  <c r="J294" i="20" s="1"/>
  <c r="M294" i="20"/>
  <c r="N294" i="20"/>
  <c r="Z294" i="20" s="1"/>
  <c r="I295" i="20"/>
  <c r="J295" i="20" s="1"/>
  <c r="M295" i="20"/>
  <c r="N295" i="20"/>
  <c r="Z295" i="20" s="1"/>
  <c r="AA295" i="20"/>
  <c r="I296" i="20"/>
  <c r="J296" i="20" s="1"/>
  <c r="M296" i="20"/>
  <c r="I297" i="20"/>
  <c r="J297" i="20" s="1"/>
  <c r="M297" i="20"/>
  <c r="AA297" i="20"/>
  <c r="I298" i="20"/>
  <c r="J298" i="20"/>
  <c r="M298" i="20"/>
  <c r="N298" i="20"/>
  <c r="Z298" i="20" s="1"/>
  <c r="AA298" i="20"/>
  <c r="M299" i="20"/>
  <c r="I300" i="20"/>
  <c r="J300" i="20" s="1"/>
  <c r="M300" i="20"/>
  <c r="N301" i="20"/>
  <c r="Z301" i="20" s="1"/>
  <c r="M301" i="20"/>
  <c r="I302" i="20"/>
  <c r="J302" i="20" s="1"/>
  <c r="M302" i="20"/>
  <c r="AA303" i="20"/>
  <c r="M303" i="20"/>
  <c r="N303" i="20"/>
  <c r="Z303" i="20" s="1"/>
  <c r="I304" i="20"/>
  <c r="J304" i="20" s="1"/>
  <c r="M304" i="20"/>
  <c r="N304" i="20"/>
  <c r="Z304" i="20" s="1"/>
  <c r="AA304" i="20"/>
  <c r="M305" i="20"/>
  <c r="M306" i="20"/>
  <c r="I307" i="20"/>
  <c r="J307" i="20" s="1"/>
  <c r="M307" i="20"/>
  <c r="N307" i="20"/>
  <c r="Z307" i="20" s="1"/>
  <c r="AA307" i="20"/>
  <c r="I308" i="20"/>
  <c r="J308" i="20" s="1"/>
  <c r="M308" i="20"/>
  <c r="I309" i="20"/>
  <c r="J309" i="20"/>
  <c r="M309" i="20"/>
  <c r="N309" i="20"/>
  <c r="Z309" i="20" s="1"/>
  <c r="AA309" i="20"/>
  <c r="M310" i="20"/>
  <c r="AA310" i="20"/>
  <c r="I311" i="20"/>
  <c r="J311" i="20" s="1"/>
  <c r="M311" i="20"/>
  <c r="M312" i="20"/>
  <c r="I313" i="20"/>
  <c r="J313" i="20" s="1"/>
  <c r="M313" i="20"/>
  <c r="N313" i="20"/>
  <c r="Z313" i="20" s="1"/>
  <c r="AA313" i="20"/>
  <c r="I314" i="20"/>
  <c r="J314" i="20" s="1"/>
  <c r="M314" i="20"/>
  <c r="N314" i="20"/>
  <c r="Z314" i="20" s="1"/>
  <c r="I315" i="20"/>
  <c r="J315" i="20" s="1"/>
  <c r="M315" i="20"/>
  <c r="AA316" i="20"/>
  <c r="I316" i="20"/>
  <c r="J316" i="20" s="1"/>
  <c r="M316" i="20"/>
  <c r="N316" i="20"/>
  <c r="Z316" i="20" s="1"/>
  <c r="M317" i="20"/>
  <c r="I318" i="20"/>
  <c r="J318" i="20" s="1"/>
  <c r="M318" i="20"/>
  <c r="I319" i="20"/>
  <c r="J319" i="20" s="1"/>
  <c r="M319" i="20"/>
  <c r="M320" i="20"/>
  <c r="N320" i="20"/>
  <c r="Z320" i="20" s="1"/>
  <c r="AA320" i="20"/>
  <c r="AA321" i="20"/>
  <c r="M321" i="20"/>
  <c r="I322" i="20"/>
  <c r="J322" i="20" s="1"/>
  <c r="M322" i="20"/>
  <c r="N322" i="20"/>
  <c r="Z322" i="20" s="1"/>
  <c r="AA322" i="20"/>
  <c r="I323" i="20"/>
  <c r="J323" i="20" s="1"/>
  <c r="M323" i="20"/>
  <c r="N323" i="20"/>
  <c r="Z323" i="20" s="1"/>
  <c r="AA323" i="20"/>
  <c r="AA324" i="20"/>
  <c r="M324" i="20"/>
  <c r="I325" i="20"/>
  <c r="J325" i="20" s="1"/>
  <c r="M325" i="20"/>
  <c r="N325" i="20"/>
  <c r="Z325" i="20" s="1"/>
  <c r="I326" i="20"/>
  <c r="J326" i="20" s="1"/>
  <c r="M326" i="20"/>
  <c r="N326" i="20"/>
  <c r="Z326" i="20"/>
  <c r="AA326" i="20"/>
  <c r="AA327" i="20"/>
  <c r="I327" i="20"/>
  <c r="J327" i="20" s="1"/>
  <c r="M327" i="20"/>
  <c r="M328" i="20"/>
  <c r="AA328" i="20"/>
  <c r="I329" i="20"/>
  <c r="J329" i="20" s="1"/>
  <c r="M329" i="20"/>
  <c r="AA330" i="20"/>
  <c r="M330" i="20"/>
  <c r="AA331" i="20"/>
  <c r="M331" i="20"/>
  <c r="I332" i="20"/>
  <c r="J332" i="20" s="1"/>
  <c r="M332" i="20"/>
  <c r="N332" i="20"/>
  <c r="Z332" i="20" s="1"/>
  <c r="AA332" i="20"/>
  <c r="I333" i="20"/>
  <c r="J333" i="20" s="1"/>
  <c r="M333" i="20"/>
  <c r="N334" i="20"/>
  <c r="Z334" i="20" s="1"/>
  <c r="M334" i="20"/>
  <c r="I335" i="20"/>
  <c r="J335" i="20" s="1"/>
  <c r="M335" i="20"/>
  <c r="M336" i="20"/>
  <c r="I337" i="20"/>
  <c r="J337" i="20" s="1"/>
  <c r="M337" i="20"/>
  <c r="N337" i="20"/>
  <c r="Z337" i="20" s="1"/>
  <c r="AA337" i="20"/>
  <c r="AA338" i="20"/>
  <c r="M338" i="20"/>
  <c r="I339" i="20"/>
  <c r="J339" i="20" s="1"/>
  <c r="M339" i="20"/>
  <c r="N340" i="20"/>
  <c r="Z340" i="20" s="1"/>
  <c r="I340" i="20"/>
  <c r="J340" i="20" s="1"/>
  <c r="M340" i="20"/>
  <c r="AA340" i="20"/>
  <c r="I341" i="20"/>
  <c r="J341" i="20" s="1"/>
  <c r="M341" i="20"/>
  <c r="N341" i="20"/>
  <c r="Z341" i="20" s="1"/>
  <c r="AA341" i="20"/>
  <c r="M342" i="20"/>
  <c r="I343" i="20"/>
  <c r="J343" i="20" s="1"/>
  <c r="M343" i="20"/>
  <c r="N343" i="20"/>
  <c r="Z343" i="20" s="1"/>
  <c r="I344" i="20"/>
  <c r="J344" i="20" s="1"/>
  <c r="M344" i="20"/>
  <c r="M345" i="20"/>
  <c r="I346" i="20"/>
  <c r="J346" i="20" s="1"/>
  <c r="M346" i="20"/>
  <c r="N346" i="20"/>
  <c r="Z346" i="20" s="1"/>
  <c r="AA346" i="20"/>
  <c r="M347" i="20"/>
  <c r="N347" i="20"/>
  <c r="Z347" i="20" s="1"/>
  <c r="M348" i="20"/>
  <c r="M349" i="20"/>
  <c r="AA349" i="20"/>
  <c r="M350" i="20"/>
  <c r="AA350" i="20"/>
  <c r="I351" i="20"/>
  <c r="J351" i="20" s="1"/>
  <c r="M351" i="20"/>
  <c r="I352" i="20"/>
  <c r="J352" i="20" s="1"/>
  <c r="M352" i="20"/>
  <c r="I353" i="20"/>
  <c r="J353" i="20" s="1"/>
  <c r="M353" i="20"/>
  <c r="I354" i="20"/>
  <c r="J354" i="20" s="1"/>
  <c r="M354" i="20"/>
  <c r="I355" i="20"/>
  <c r="J355" i="20" s="1"/>
  <c r="M355" i="20"/>
  <c r="N355" i="20"/>
  <c r="Z355" i="20" s="1"/>
  <c r="AA355" i="20"/>
  <c r="N356" i="20"/>
  <c r="Z356" i="20" s="1"/>
  <c r="M356" i="20"/>
  <c r="I357" i="20"/>
  <c r="J357" i="20" s="1"/>
  <c r="M357" i="20"/>
  <c r="I358" i="20"/>
  <c r="J358" i="20" s="1"/>
  <c r="M358" i="20"/>
  <c r="I359" i="20"/>
  <c r="J359" i="20" s="1"/>
  <c r="M359" i="20"/>
  <c r="N359" i="20"/>
  <c r="Z359" i="20" s="1"/>
  <c r="AA359" i="20"/>
  <c r="M360" i="20"/>
  <c r="N361" i="20"/>
  <c r="Z361" i="20" s="1"/>
  <c r="M361" i="20"/>
  <c r="N362" i="20"/>
  <c r="Z362" i="20" s="1"/>
  <c r="M362" i="20"/>
  <c r="M363" i="20"/>
  <c r="I364" i="20"/>
  <c r="J364" i="20" s="1"/>
  <c r="M364" i="20"/>
  <c r="I365" i="20"/>
  <c r="J365" i="20" s="1"/>
  <c r="M365" i="20"/>
  <c r="N365" i="20"/>
  <c r="Z365" i="20" s="1"/>
  <c r="AA365" i="20"/>
  <c r="M366" i="20"/>
  <c r="M367" i="20"/>
  <c r="I368" i="20"/>
  <c r="J368" i="20" s="1"/>
  <c r="M368" i="20"/>
  <c r="M369" i="20"/>
  <c r="I370" i="20"/>
  <c r="J370" i="20" s="1"/>
  <c r="M370" i="20"/>
  <c r="N370" i="20"/>
  <c r="Z370" i="20" s="1"/>
  <c r="AA370" i="20"/>
  <c r="N371" i="20"/>
  <c r="Z371" i="20" s="1"/>
  <c r="I371" i="20"/>
  <c r="J371" i="20" s="1"/>
  <c r="M371" i="20"/>
  <c r="N372" i="20"/>
  <c r="Z372" i="20" s="1"/>
  <c r="I372" i="20"/>
  <c r="J372" i="20" s="1"/>
  <c r="M372" i="20"/>
  <c r="AA372" i="20"/>
  <c r="I373" i="20"/>
  <c r="J373" i="20" s="1"/>
  <c r="M373" i="20"/>
  <c r="N373" i="20"/>
  <c r="Z373" i="20" s="1"/>
  <c r="AA373" i="20"/>
  <c r="I374" i="20"/>
  <c r="J374" i="20" s="1"/>
  <c r="M374" i="20"/>
  <c r="I375" i="20"/>
  <c r="J375" i="20" s="1"/>
  <c r="M375" i="20"/>
  <c r="I376" i="20"/>
  <c r="J376" i="20" s="1"/>
  <c r="M376" i="20"/>
  <c r="AA377" i="20"/>
  <c r="M377" i="20"/>
  <c r="M378" i="20"/>
  <c r="N378" i="20"/>
  <c r="Z378" i="20" s="1"/>
  <c r="AA378" i="20"/>
  <c r="I379" i="20"/>
  <c r="J379" i="20" s="1"/>
  <c r="M379" i="20"/>
  <c r="N379" i="20"/>
  <c r="Z379" i="20"/>
  <c r="AA379" i="20"/>
  <c r="AA380" i="20"/>
  <c r="M380" i="20"/>
  <c r="I381" i="20"/>
  <c r="J381" i="20" s="1"/>
  <c r="M381" i="20"/>
  <c r="N381" i="20"/>
  <c r="Z381" i="20" s="1"/>
  <c r="AA381" i="20"/>
  <c r="I382" i="20"/>
  <c r="J382" i="20" s="1"/>
  <c r="M382" i="20"/>
  <c r="N382" i="20"/>
  <c r="Z382" i="20" s="1"/>
  <c r="N383" i="20"/>
  <c r="Z383" i="20" s="1"/>
  <c r="M383" i="20"/>
  <c r="N384" i="20"/>
  <c r="Z384" i="20" s="1"/>
  <c r="I384" i="20"/>
  <c r="J384" i="20" s="1"/>
  <c r="M384" i="20"/>
  <c r="I385" i="20"/>
  <c r="J385" i="20" s="1"/>
  <c r="M385" i="20"/>
  <c r="AA385" i="20"/>
  <c r="M386" i="20"/>
  <c r="I387" i="20"/>
  <c r="J387" i="20" s="1"/>
  <c r="M387" i="20"/>
  <c r="N387" i="20"/>
  <c r="Z387" i="20" s="1"/>
  <c r="AA387" i="20"/>
  <c r="N388" i="20"/>
  <c r="Z388" i="20" s="1"/>
  <c r="I388" i="20"/>
  <c r="J388" i="20" s="1"/>
  <c r="M388" i="20"/>
  <c r="N389" i="20"/>
  <c r="Z389" i="20" s="1"/>
  <c r="M389" i="20"/>
  <c r="M390" i="20"/>
  <c r="N390" i="20"/>
  <c r="Z390" i="20" s="1"/>
  <c r="AA390" i="20"/>
  <c r="M391" i="20"/>
  <c r="N391" i="20"/>
  <c r="Z391" i="20" s="1"/>
  <c r="N392" i="20"/>
  <c r="Z392" i="20" s="1"/>
  <c r="I392" i="20"/>
  <c r="J392" i="20" s="1"/>
  <c r="M392" i="20"/>
  <c r="I393" i="20"/>
  <c r="J393" i="20" s="1"/>
  <c r="M393" i="20"/>
  <c r="M394" i="20"/>
  <c r="AA394" i="20"/>
  <c r="AA395" i="20"/>
  <c r="I395" i="20"/>
  <c r="J395" i="20" s="1"/>
  <c r="M395" i="20"/>
  <c r="N395" i="20"/>
  <c r="Z395" i="20" s="1"/>
  <c r="N396" i="20"/>
  <c r="Z396" i="20" s="1"/>
  <c r="M396" i="20"/>
  <c r="N397" i="20"/>
  <c r="Z397" i="20" s="1"/>
  <c r="M397" i="20"/>
  <c r="I398" i="20"/>
  <c r="J398" i="20" s="1"/>
  <c r="M398" i="20"/>
  <c r="I399" i="20"/>
  <c r="J399" i="20" s="1"/>
  <c r="M399" i="20"/>
  <c r="N399" i="20"/>
  <c r="Z399" i="20" s="1"/>
  <c r="AA399" i="20"/>
  <c r="N400" i="20"/>
  <c r="Z400" i="20" s="1"/>
  <c r="M400" i="20"/>
  <c r="I401" i="20"/>
  <c r="J401" i="20" s="1"/>
  <c r="M401" i="20"/>
  <c r="M402" i="20"/>
  <c r="N402" i="20"/>
  <c r="Z402" i="20" s="1"/>
  <c r="I403" i="20"/>
  <c r="J403" i="20" s="1"/>
  <c r="M403" i="20"/>
  <c r="N403" i="20"/>
  <c r="Z403" i="20" s="1"/>
  <c r="AA403" i="20"/>
  <c r="I404" i="20"/>
  <c r="J404" i="20" s="1"/>
  <c r="M404" i="20"/>
  <c r="N405" i="20"/>
  <c r="Z405" i="20" s="1"/>
  <c r="I405" i="20"/>
  <c r="J405" i="20"/>
  <c r="M405" i="20"/>
  <c r="AA405" i="20"/>
  <c r="I406" i="20"/>
  <c r="J406" i="20" s="1"/>
  <c r="M406" i="20"/>
  <c r="N406" i="20"/>
  <c r="Z406" i="20" s="1"/>
  <c r="AA406" i="20"/>
  <c r="M407" i="20"/>
  <c r="I408" i="20"/>
  <c r="J408" i="20" s="1"/>
  <c r="M408" i="20"/>
  <c r="N408" i="20"/>
  <c r="Z408" i="20" s="1"/>
  <c r="AA408" i="20"/>
  <c r="AA409" i="20"/>
  <c r="I409" i="20"/>
  <c r="J409" i="20"/>
  <c r="M409" i="20"/>
  <c r="N409" i="20"/>
  <c r="Z409" i="20" s="1"/>
  <c r="I410" i="20"/>
  <c r="J410" i="20" s="1"/>
  <c r="M410" i="20"/>
  <c r="M411" i="20"/>
  <c r="N411" i="20"/>
  <c r="Z411" i="20" s="1"/>
  <c r="AA411" i="20"/>
  <c r="AA412" i="20"/>
  <c r="I412" i="20"/>
  <c r="J412" i="20" s="1"/>
  <c r="M412" i="20"/>
  <c r="N412" i="20"/>
  <c r="Z412" i="20" s="1"/>
  <c r="I413" i="20"/>
  <c r="J413" i="20" s="1"/>
  <c r="M413" i="20"/>
  <c r="I414" i="20"/>
  <c r="J414" i="20" s="1"/>
  <c r="M414" i="20"/>
  <c r="AA414" i="20"/>
  <c r="I415" i="20"/>
  <c r="J415" i="20" s="1"/>
  <c r="M415" i="20"/>
  <c r="N415" i="20"/>
  <c r="Z415" i="20" s="1"/>
  <c r="AA415" i="20"/>
  <c r="M416" i="20"/>
  <c r="N417" i="20"/>
  <c r="Z417" i="20" s="1"/>
  <c r="M417" i="20"/>
  <c r="M418" i="20"/>
  <c r="M419" i="20"/>
  <c r="AA420" i="20"/>
  <c r="I420" i="20"/>
  <c r="J420" i="20"/>
  <c r="M420" i="20"/>
  <c r="N420" i="20"/>
  <c r="Z420" i="20" s="1"/>
  <c r="N421" i="20"/>
  <c r="Z421" i="20" s="1"/>
  <c r="I421" i="20"/>
  <c r="J421" i="20" s="1"/>
  <c r="M421" i="20"/>
  <c r="M422" i="20"/>
  <c r="I423" i="20"/>
  <c r="J423" i="20" s="1"/>
  <c r="M423" i="20"/>
  <c r="N423" i="20"/>
  <c r="Z423" i="20"/>
  <c r="AA423" i="20"/>
  <c r="AA424" i="20"/>
  <c r="I424" i="20"/>
  <c r="J424" i="20" s="1"/>
  <c r="M424" i="20"/>
  <c r="N424" i="20"/>
  <c r="Z424" i="20" s="1"/>
  <c r="I425" i="20"/>
  <c r="J425" i="20" s="1"/>
  <c r="M425" i="20"/>
  <c r="N425" i="20"/>
  <c r="Z425" i="20" s="1"/>
  <c r="AA425" i="20"/>
  <c r="I426" i="20"/>
  <c r="J426" i="20" s="1"/>
  <c r="M426" i="20"/>
  <c r="N426" i="20"/>
  <c r="Z426" i="20" s="1"/>
  <c r="AA426" i="20"/>
  <c r="N427" i="20"/>
  <c r="Z427" i="20" s="1"/>
  <c r="I427" i="20"/>
  <c r="J427" i="20" s="1"/>
  <c r="M427" i="20"/>
  <c r="AA427" i="20"/>
  <c r="M428" i="20"/>
  <c r="N429" i="20"/>
  <c r="Z429" i="20" s="1"/>
  <c r="I429" i="20"/>
  <c r="J429" i="20" s="1"/>
  <c r="M429" i="20"/>
  <c r="I430" i="20"/>
  <c r="J430" i="20" s="1"/>
  <c r="M430" i="20"/>
  <c r="N430" i="20"/>
  <c r="Z430" i="20" s="1"/>
  <c r="AA430" i="20"/>
  <c r="M431" i="20"/>
  <c r="M432" i="20"/>
  <c r="N432" i="20"/>
  <c r="Z432" i="20" s="1"/>
  <c r="M433" i="20"/>
  <c r="N433" i="20"/>
  <c r="Z433" i="20"/>
  <c r="AA433" i="20"/>
  <c r="M434" i="20"/>
  <c r="AA435" i="20"/>
  <c r="M435" i="20"/>
  <c r="N436" i="20"/>
  <c r="Z436" i="20" s="1"/>
  <c r="I436" i="20"/>
  <c r="J436" i="20" s="1"/>
  <c r="M436" i="20"/>
  <c r="AA436" i="20"/>
  <c r="AA437" i="20"/>
  <c r="I437" i="20"/>
  <c r="J437" i="20"/>
  <c r="M437" i="20"/>
  <c r="N437" i="20"/>
  <c r="Z437" i="20" s="1"/>
  <c r="N438" i="20"/>
  <c r="Z438" i="20" s="1"/>
  <c r="I438" i="20"/>
  <c r="J438" i="20" s="1"/>
  <c r="M438" i="20"/>
  <c r="M439" i="20"/>
  <c r="AA440" i="20"/>
  <c r="I440" i="20"/>
  <c r="J440" i="20" s="1"/>
  <c r="M440" i="20"/>
  <c r="I441" i="20"/>
  <c r="J441" i="20" s="1"/>
  <c r="M441" i="20"/>
  <c r="N441" i="20"/>
  <c r="Z441" i="20" s="1"/>
  <c r="AA441" i="20"/>
  <c r="AA442" i="20"/>
  <c r="M442" i="20"/>
  <c r="N443" i="20"/>
  <c r="Z443" i="20" s="1"/>
  <c r="I443" i="20"/>
  <c r="J443" i="20" s="1"/>
  <c r="M443" i="20"/>
  <c r="N444" i="20"/>
  <c r="Z444" i="20" s="1"/>
  <c r="M444" i="20"/>
  <c r="AA445" i="20"/>
  <c r="I445" i="20"/>
  <c r="J445" i="20" s="1"/>
  <c r="M445" i="20"/>
  <c r="N445" i="20"/>
  <c r="Z445" i="20" s="1"/>
  <c r="I446" i="20"/>
  <c r="J446" i="20" s="1"/>
  <c r="M446" i="20"/>
  <c r="N446" i="20"/>
  <c r="Z446" i="20" s="1"/>
  <c r="M447" i="20"/>
  <c r="M448" i="20"/>
  <c r="N448" i="20"/>
  <c r="Z448" i="20" s="1"/>
  <c r="M449" i="20"/>
  <c r="AA449" i="20"/>
  <c r="I450" i="20"/>
  <c r="J450" i="20" s="1"/>
  <c r="M450" i="20"/>
  <c r="N450" i="20"/>
  <c r="Z450" i="20"/>
  <c r="AA451" i="20"/>
  <c r="M451" i="20"/>
  <c r="N451" i="20"/>
  <c r="Z451" i="20" s="1"/>
  <c r="I452" i="20"/>
  <c r="J452" i="20" s="1"/>
  <c r="M452" i="20"/>
  <c r="N452" i="20"/>
  <c r="Z452" i="20" s="1"/>
  <c r="AA452" i="20"/>
  <c r="I453" i="20"/>
  <c r="J453" i="20" s="1"/>
  <c r="M453" i="20"/>
  <c r="N453" i="20"/>
  <c r="Z453" i="20" s="1"/>
  <c r="AA453" i="20"/>
  <c r="I454" i="20"/>
  <c r="J454" i="20" s="1"/>
  <c r="M454" i="20"/>
  <c r="M455" i="20"/>
  <c r="AA455" i="20"/>
  <c r="I456" i="20"/>
  <c r="J456" i="20" s="1"/>
  <c r="M456" i="20"/>
  <c r="N456" i="20"/>
  <c r="Z456" i="20"/>
  <c r="AA456" i="20"/>
  <c r="I457" i="20"/>
  <c r="J457" i="20" s="1"/>
  <c r="M457" i="20"/>
  <c r="AA458" i="20"/>
  <c r="M458" i="20"/>
  <c r="N459" i="20"/>
  <c r="Z459" i="20" s="1"/>
  <c r="M459" i="20"/>
  <c r="M460" i="20"/>
  <c r="I461" i="20"/>
  <c r="J461" i="20" s="1"/>
  <c r="M461" i="20"/>
  <c r="N461" i="20"/>
  <c r="Z461" i="20" s="1"/>
  <c r="AA461" i="20"/>
  <c r="M462" i="20"/>
  <c r="M463" i="20"/>
  <c r="I464" i="20"/>
  <c r="J464" i="20" s="1"/>
  <c r="M464" i="20"/>
  <c r="N464" i="20"/>
  <c r="Z464" i="20" s="1"/>
  <c r="AA464" i="20"/>
  <c r="AA465" i="20"/>
  <c r="I465" i="20"/>
  <c r="J465" i="20"/>
  <c r="M465" i="20"/>
  <c r="N465" i="20"/>
  <c r="Z465" i="20" s="1"/>
  <c r="M466" i="20"/>
  <c r="M467" i="20"/>
  <c r="N467" i="20"/>
  <c r="Z467" i="20" s="1"/>
  <c r="AA467" i="20"/>
  <c r="AA468" i="20"/>
  <c r="M468" i="20"/>
  <c r="N468" i="20"/>
  <c r="Z468" i="20" s="1"/>
  <c r="I469" i="20"/>
  <c r="J469" i="20" s="1"/>
  <c r="M469" i="20"/>
  <c r="N469" i="20"/>
  <c r="Z469" i="20" s="1"/>
  <c r="AA469" i="20"/>
  <c r="M470" i="20"/>
  <c r="I471" i="20"/>
  <c r="J471" i="20" s="1"/>
  <c r="M471" i="20"/>
  <c r="I472" i="20"/>
  <c r="J472" i="20" s="1"/>
  <c r="M472" i="20"/>
  <c r="N472" i="20"/>
  <c r="Z472" i="20" s="1"/>
  <c r="AA472" i="20"/>
  <c r="I473" i="20"/>
  <c r="J473" i="20" s="1"/>
  <c r="M473" i="20"/>
  <c r="I474" i="20"/>
  <c r="J474" i="20" s="1"/>
  <c r="M474" i="20"/>
  <c r="I475" i="20"/>
  <c r="J475" i="20" s="1"/>
  <c r="M475" i="20"/>
  <c r="N475" i="20"/>
  <c r="Z475" i="20" s="1"/>
  <c r="AA475" i="20"/>
  <c r="M476" i="20"/>
  <c r="M477" i="20"/>
  <c r="M478" i="20"/>
  <c r="N478" i="20"/>
  <c r="Z478" i="20" s="1"/>
  <c r="AA478" i="20"/>
  <c r="I479" i="20"/>
  <c r="J479" i="20" s="1"/>
  <c r="M479" i="20"/>
  <c r="N479" i="20"/>
  <c r="Z479" i="20" s="1"/>
  <c r="AA479" i="20"/>
  <c r="I480" i="20"/>
  <c r="J480" i="20" s="1"/>
  <c r="M480" i="20"/>
  <c r="M481" i="20"/>
  <c r="M482" i="20"/>
  <c r="N482" i="20"/>
  <c r="Z482" i="20" s="1"/>
  <c r="AA483" i="20"/>
  <c r="I483" i="20"/>
  <c r="J483" i="20" s="1"/>
  <c r="M483" i="20"/>
  <c r="N483" i="20"/>
  <c r="Z483" i="20" s="1"/>
  <c r="I484" i="20"/>
  <c r="J484" i="20"/>
  <c r="M484" i="20"/>
  <c r="N484" i="20"/>
  <c r="Z484" i="20" s="1"/>
  <c r="AA484" i="20"/>
  <c r="I485" i="20"/>
  <c r="J485" i="20" s="1"/>
  <c r="M485" i="20"/>
  <c r="I486" i="20"/>
  <c r="J486" i="20"/>
  <c r="M486" i="20"/>
  <c r="N486" i="20"/>
  <c r="Z486" i="20" s="1"/>
  <c r="AA486" i="20"/>
  <c r="N487" i="20"/>
  <c r="Z487" i="20" s="1"/>
  <c r="I487" i="20"/>
  <c r="J487" i="20" s="1"/>
  <c r="M487" i="20"/>
  <c r="M488" i="20"/>
  <c r="I489" i="20"/>
  <c r="J489" i="20" s="1"/>
  <c r="M489" i="20"/>
  <c r="N489" i="20"/>
  <c r="Z489" i="20"/>
  <c r="AA489" i="20"/>
  <c r="I490" i="20"/>
  <c r="J490" i="20" s="1"/>
  <c r="M490" i="20"/>
  <c r="N490" i="20"/>
  <c r="Z490" i="20" s="1"/>
  <c r="AA490" i="20"/>
  <c r="I491" i="20"/>
  <c r="J491" i="20" s="1"/>
  <c r="M491" i="20"/>
  <c r="I492" i="20"/>
  <c r="J492" i="20" s="1"/>
  <c r="M492" i="20"/>
  <c r="N492" i="20"/>
  <c r="Z492" i="20" s="1"/>
  <c r="AA492" i="20"/>
  <c r="I493" i="20"/>
  <c r="J493" i="20" s="1"/>
  <c r="M493" i="20"/>
  <c r="N493" i="20"/>
  <c r="Z493" i="20" s="1"/>
  <c r="AA493" i="20"/>
  <c r="M494" i="20"/>
  <c r="I495" i="20"/>
  <c r="J495" i="20" s="1"/>
  <c r="M495" i="20"/>
  <c r="AA496" i="20"/>
  <c r="I496" i="20"/>
  <c r="J496" i="20" s="1"/>
  <c r="M496" i="20"/>
  <c r="I497" i="20"/>
  <c r="J497" i="20" s="1"/>
  <c r="M497" i="20"/>
  <c r="N497" i="20"/>
  <c r="Z497" i="20"/>
  <c r="AA497" i="20"/>
  <c r="AA498" i="20"/>
  <c r="I498" i="20"/>
  <c r="J498" i="20"/>
  <c r="M498" i="20"/>
  <c r="N498" i="20"/>
  <c r="Z498" i="20" s="1"/>
  <c r="N499" i="20"/>
  <c r="Z499" i="20" s="1"/>
  <c r="M499" i="20"/>
  <c r="I500" i="20"/>
  <c r="J500" i="20" s="1"/>
  <c r="M500" i="20"/>
  <c r="N500" i="20"/>
  <c r="Z500" i="20" s="1"/>
  <c r="AA500" i="20"/>
  <c r="I501" i="20"/>
  <c r="J501" i="20" s="1"/>
  <c r="M501" i="20"/>
  <c r="N501" i="20"/>
  <c r="Z501" i="20" s="1"/>
  <c r="AA501" i="20"/>
  <c r="AA502" i="20"/>
  <c r="M502" i="20"/>
  <c r="N503" i="20"/>
  <c r="Z503" i="20" s="1"/>
  <c r="I503" i="20"/>
  <c r="J503" i="20" s="1"/>
  <c r="M503" i="20"/>
  <c r="I504" i="20"/>
  <c r="J504" i="20" s="1"/>
  <c r="M504" i="20"/>
  <c r="N504" i="20"/>
  <c r="Z504" i="20" s="1"/>
  <c r="AA504" i="20"/>
  <c r="M505" i="20"/>
  <c r="I506" i="20"/>
  <c r="J506" i="20" s="1"/>
  <c r="M506" i="20"/>
  <c r="M507" i="20"/>
  <c r="M508" i="20"/>
  <c r="I509" i="20"/>
  <c r="J509" i="20" s="1"/>
  <c r="M509" i="20"/>
  <c r="N509" i="20"/>
  <c r="Z509" i="20" s="1"/>
  <c r="AA509" i="20"/>
  <c r="I510" i="20"/>
  <c r="J510" i="20"/>
  <c r="M510" i="20"/>
  <c r="N510" i="20"/>
  <c r="Z510" i="20" s="1"/>
  <c r="AA510" i="20"/>
  <c r="I511" i="20"/>
  <c r="J511" i="20" s="1"/>
  <c r="M511" i="20"/>
  <c r="I512" i="20"/>
  <c r="J512" i="20" s="1"/>
  <c r="M512" i="20"/>
  <c r="N512" i="20"/>
  <c r="Z512" i="20" s="1"/>
  <c r="AA512" i="20"/>
  <c r="I513" i="20"/>
  <c r="J513" i="20" s="1"/>
  <c r="M513" i="20"/>
  <c r="N513" i="20"/>
  <c r="Z513" i="20" s="1"/>
  <c r="AA513" i="20"/>
  <c r="I514" i="20"/>
  <c r="J514" i="20" s="1"/>
  <c r="M514" i="20"/>
  <c r="I515" i="20"/>
  <c r="J515" i="20" s="1"/>
  <c r="M515" i="20"/>
  <c r="I516" i="20"/>
  <c r="J516" i="20" s="1"/>
  <c r="M516" i="20"/>
  <c r="I517" i="20"/>
  <c r="J517" i="20" s="1"/>
  <c r="M517" i="20"/>
  <c r="N517" i="20"/>
  <c r="Z517" i="20" s="1"/>
  <c r="AA517" i="20"/>
  <c r="I518" i="20"/>
  <c r="J518" i="20" s="1"/>
  <c r="M518" i="20"/>
  <c r="I519" i="20"/>
  <c r="J519" i="20" s="1"/>
  <c r="M519" i="20"/>
  <c r="AA520" i="20"/>
  <c r="M520" i="20"/>
  <c r="M521" i="20"/>
  <c r="N521" i="20"/>
  <c r="Z521" i="20" s="1"/>
  <c r="M522" i="20"/>
  <c r="M523" i="20"/>
  <c r="I524" i="20"/>
  <c r="J524" i="20" s="1"/>
  <c r="M524" i="20"/>
  <c r="N525" i="20"/>
  <c r="Z525" i="20" s="1"/>
  <c r="I525" i="20"/>
  <c r="J525" i="20" s="1"/>
  <c r="M525" i="20"/>
  <c r="AA525" i="20"/>
  <c r="I526" i="20"/>
  <c r="J526" i="20" s="1"/>
  <c r="M526" i="20"/>
  <c r="AA527" i="20"/>
  <c r="I527" i="20"/>
  <c r="J527" i="20" s="1"/>
  <c r="M527" i="20"/>
  <c r="I528" i="20"/>
  <c r="J528" i="20" s="1"/>
  <c r="M528" i="20"/>
  <c r="N528" i="20"/>
  <c r="Z528" i="20" s="1"/>
  <c r="AA528" i="20"/>
  <c r="AA529" i="20"/>
  <c r="I529" i="20"/>
  <c r="J529" i="20" s="1"/>
  <c r="M529" i="20"/>
  <c r="N529" i="20"/>
  <c r="Z529" i="20" s="1"/>
  <c r="I530" i="20"/>
  <c r="J530" i="20"/>
  <c r="M530" i="20"/>
  <c r="I531" i="20"/>
  <c r="J531" i="20" s="1"/>
  <c r="M531" i="20"/>
  <c r="N531" i="20"/>
  <c r="Z531" i="20" s="1"/>
  <c r="AA531" i="20"/>
  <c r="I532" i="20"/>
  <c r="J532" i="20" s="1"/>
  <c r="M532" i="20"/>
  <c r="N532" i="20"/>
  <c r="Z532" i="20" s="1"/>
  <c r="AA532" i="20"/>
  <c r="M533" i="20"/>
  <c r="AA534" i="20"/>
  <c r="I534" i="20"/>
  <c r="J534" i="20" s="1"/>
  <c r="M534" i="20"/>
  <c r="M535" i="20"/>
  <c r="M536" i="20"/>
  <c r="AA537" i="20"/>
  <c r="I537" i="20"/>
  <c r="J537" i="20" s="1"/>
  <c r="M537" i="20"/>
  <c r="N537" i="20"/>
  <c r="Z537" i="20" s="1"/>
  <c r="N538" i="20"/>
  <c r="Z538" i="20" s="1"/>
  <c r="I538" i="20"/>
  <c r="J538" i="20" s="1"/>
  <c r="M538" i="20"/>
  <c r="I539" i="20"/>
  <c r="J539" i="20" s="1"/>
  <c r="M539" i="20"/>
  <c r="M540" i="20"/>
  <c r="N540" i="20"/>
  <c r="Z540" i="20"/>
  <c r="AA540" i="20"/>
  <c r="AA541" i="20"/>
  <c r="I541" i="20"/>
  <c r="J541" i="20"/>
  <c r="M541" i="20"/>
  <c r="N90" i="20"/>
  <c r="Z90" i="20" s="1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2" i="20"/>
  <c r="N68" i="20"/>
  <c r="Z68" i="20" s="1"/>
  <c r="N63" i="20"/>
  <c r="Z63" i="20" s="1"/>
  <c r="N78" i="20"/>
  <c r="Z78" i="20" s="1"/>
  <c r="N79" i="20"/>
  <c r="Z79" i="20" s="1"/>
  <c r="N81" i="20"/>
  <c r="Z81" i="20" s="1"/>
  <c r="N85" i="20"/>
  <c r="Z85" i="20" s="1"/>
  <c r="N64" i="20"/>
  <c r="Z64" i="20" s="1"/>
  <c r="N66" i="20"/>
  <c r="Z66" i="20" s="1"/>
  <c r="N57" i="20"/>
  <c r="Z57" i="20" s="1"/>
  <c r="N55" i="20"/>
  <c r="Z55" i="20" s="1"/>
  <c r="N56" i="20"/>
  <c r="Z56" i="20" s="1"/>
  <c r="I342" i="20" l="1"/>
  <c r="J342" i="20" s="1"/>
  <c r="I219" i="20"/>
  <c r="J219" i="20" s="1"/>
  <c r="N219" i="20"/>
  <c r="Z219" i="20" s="1"/>
  <c r="N197" i="20"/>
  <c r="Z197" i="20" s="1"/>
  <c r="AA197" i="20"/>
  <c r="AA462" i="20"/>
  <c r="N462" i="20"/>
  <c r="Z462" i="20" s="1"/>
  <c r="I284" i="20"/>
  <c r="J284" i="20" s="1"/>
  <c r="AA284" i="20"/>
  <c r="AA173" i="20"/>
  <c r="N173" i="20"/>
  <c r="Z173" i="20" s="1"/>
  <c r="I310" i="20"/>
  <c r="J310" i="20" s="1"/>
  <c r="N310" i="20"/>
  <c r="Z310" i="20" s="1"/>
  <c r="I218" i="20"/>
  <c r="J218" i="20" s="1"/>
  <c r="N218" i="20"/>
  <c r="Z218" i="20" s="1"/>
  <c r="AA218" i="20"/>
  <c r="N518" i="20"/>
  <c r="Z518" i="20" s="1"/>
  <c r="AA129" i="20"/>
  <c r="N129" i="20"/>
  <c r="Z129" i="20" s="1"/>
  <c r="N158" i="20"/>
  <c r="Z158" i="20" s="1"/>
  <c r="AA158" i="20"/>
  <c r="N143" i="20"/>
  <c r="Z143" i="20" s="1"/>
  <c r="AA143" i="20"/>
  <c r="I223" i="20"/>
  <c r="J223" i="20" s="1"/>
  <c r="N223" i="20"/>
  <c r="Z223" i="20" s="1"/>
  <c r="AA223" i="20"/>
  <c r="I186" i="20"/>
  <c r="J186" i="20" s="1"/>
  <c r="N186" i="20"/>
  <c r="Z186" i="20" s="1"/>
  <c r="AA482" i="20"/>
  <c r="I482" i="20"/>
  <c r="J482" i="20" s="1"/>
  <c r="AA481" i="20"/>
  <c r="AA393" i="20"/>
  <c r="AA368" i="20"/>
  <c r="AA335" i="20"/>
  <c r="AA259" i="20"/>
  <c r="N222" i="20"/>
  <c r="Z222" i="20" s="1"/>
  <c r="AA222" i="20"/>
  <c r="AA204" i="20"/>
  <c r="AA446" i="20"/>
  <c r="N374" i="20"/>
  <c r="Z374" i="20" s="1"/>
  <c r="AA374" i="20"/>
  <c r="N329" i="20"/>
  <c r="Z329" i="20" s="1"/>
  <c r="AA329" i="20"/>
  <c r="I267" i="20"/>
  <c r="J267" i="20" s="1"/>
  <c r="AA261" i="20"/>
  <c r="I261" i="20"/>
  <c r="J261" i="20" s="1"/>
  <c r="I243" i="20"/>
  <c r="J243" i="20" s="1"/>
  <c r="I201" i="20"/>
  <c r="J201" i="20" s="1"/>
  <c r="N201" i="20"/>
  <c r="Z201" i="20" s="1"/>
  <c r="AA182" i="20"/>
  <c r="N105" i="20"/>
  <c r="Z105" i="20" s="1"/>
  <c r="AA105" i="20"/>
  <c r="I521" i="20"/>
  <c r="J521" i="20" s="1"/>
  <c r="AA521" i="20"/>
  <c r="N350" i="20"/>
  <c r="Z350" i="20" s="1"/>
  <c r="I350" i="20"/>
  <c r="J350" i="20" s="1"/>
  <c r="N319" i="20"/>
  <c r="Z319" i="20" s="1"/>
  <c r="AA319" i="20"/>
  <c r="I272" i="20"/>
  <c r="J272" i="20" s="1"/>
  <c r="AA524" i="20"/>
  <c r="N520" i="20"/>
  <c r="Z520" i="20" s="1"/>
  <c r="N328" i="20"/>
  <c r="Z328" i="20" s="1"/>
  <c r="I328" i="20"/>
  <c r="J328" i="20" s="1"/>
  <c r="AA293" i="20"/>
  <c r="I293" i="20"/>
  <c r="J293" i="20" s="1"/>
  <c r="N293" i="20"/>
  <c r="Z293" i="20" s="1"/>
  <c r="AA397" i="20"/>
  <c r="N394" i="20"/>
  <c r="Z394" i="20" s="1"/>
  <c r="I394" i="20"/>
  <c r="J394" i="20" s="1"/>
  <c r="N364" i="20"/>
  <c r="Z364" i="20" s="1"/>
  <c r="AA364" i="20"/>
  <c r="AA353" i="20"/>
  <c r="AA511" i="20"/>
  <c r="AA503" i="20"/>
  <c r="N481" i="20"/>
  <c r="Z481" i="20" s="1"/>
  <c r="I432" i="20"/>
  <c r="J432" i="20" s="1"/>
  <c r="AA432" i="20"/>
  <c r="N539" i="20"/>
  <c r="Z539" i="20" s="1"/>
  <c r="N534" i="20"/>
  <c r="Z534" i="20" s="1"/>
  <c r="N527" i="20"/>
  <c r="Z527" i="20" s="1"/>
  <c r="I520" i="20"/>
  <c r="J520" i="20" s="1"/>
  <c r="N507" i="20"/>
  <c r="Z507" i="20" s="1"/>
  <c r="I478" i="20"/>
  <c r="J478" i="20" s="1"/>
  <c r="AA444" i="20"/>
  <c r="N440" i="20"/>
  <c r="Z440" i="20" s="1"/>
  <c r="I390" i="20"/>
  <c r="J390" i="20" s="1"/>
  <c r="AA376" i="20"/>
  <c r="N368" i="20"/>
  <c r="Z368" i="20" s="1"/>
  <c r="N353" i="20"/>
  <c r="Z353" i="20" s="1"/>
  <c r="N331" i="20"/>
  <c r="Z331" i="20" s="1"/>
  <c r="I276" i="20"/>
  <c r="J276" i="20" s="1"/>
  <c r="AA271" i="20"/>
  <c r="I271" i="20"/>
  <c r="J271" i="20" s="1"/>
  <c r="I229" i="20"/>
  <c r="J229" i="20" s="1"/>
  <c r="N229" i="20"/>
  <c r="Z229" i="20" s="1"/>
  <c r="N147" i="20"/>
  <c r="Z147" i="20" s="1"/>
  <c r="AA147" i="20"/>
  <c r="AA306" i="20"/>
  <c r="I256" i="20"/>
  <c r="J256" i="20" s="1"/>
  <c r="N256" i="20"/>
  <c r="Z256" i="20" s="1"/>
  <c r="AA256" i="20"/>
  <c r="AA391" i="20"/>
  <c r="I391" i="20"/>
  <c r="J391" i="20" s="1"/>
  <c r="N110" i="20"/>
  <c r="Z110" i="20" s="1"/>
  <c r="I110" i="20"/>
  <c r="J110" i="20" s="1"/>
  <c r="AA110" i="20"/>
  <c r="I540" i="20"/>
  <c r="J540" i="20" s="1"/>
  <c r="N449" i="20"/>
  <c r="Z449" i="20" s="1"/>
  <c r="I449" i="20"/>
  <c r="J449" i="20" s="1"/>
  <c r="AA539" i="20"/>
  <c r="N524" i="20"/>
  <c r="Z524" i="20" s="1"/>
  <c r="AA507" i="20"/>
  <c r="AA386" i="20"/>
  <c r="I386" i="20"/>
  <c r="J386" i="20" s="1"/>
  <c r="N386" i="20"/>
  <c r="Z386" i="20" s="1"/>
  <c r="AA382" i="20"/>
  <c r="N349" i="20"/>
  <c r="Z349" i="20" s="1"/>
  <c r="N511" i="20"/>
  <c r="Z511" i="20" s="1"/>
  <c r="AA448" i="20"/>
  <c r="I448" i="20"/>
  <c r="J448" i="20" s="1"/>
  <c r="N414" i="20"/>
  <c r="Z414" i="20" s="1"/>
  <c r="AA402" i="20"/>
  <c r="I402" i="20"/>
  <c r="J402" i="20" s="1"/>
  <c r="I397" i="20"/>
  <c r="J397" i="20" s="1"/>
  <c r="N393" i="20"/>
  <c r="Z393" i="20" s="1"/>
  <c r="N385" i="20"/>
  <c r="Z385" i="20" s="1"/>
  <c r="N376" i="20"/>
  <c r="Z376" i="20" s="1"/>
  <c r="I349" i="20"/>
  <c r="J349" i="20" s="1"/>
  <c r="N335" i="20"/>
  <c r="Z335" i="20" s="1"/>
  <c r="N308" i="20"/>
  <c r="Z308" i="20" s="1"/>
  <c r="AA270" i="20"/>
  <c r="I264" i="20"/>
  <c r="J264" i="20" s="1"/>
  <c r="N259" i="20"/>
  <c r="Z259" i="20" s="1"/>
  <c r="AA209" i="20"/>
  <c r="N204" i="20"/>
  <c r="Z204" i="20" s="1"/>
  <c r="I170" i="20"/>
  <c r="J170" i="20" s="1"/>
  <c r="N170" i="20"/>
  <c r="Z170" i="20" s="1"/>
  <c r="AA170" i="20"/>
  <c r="I466" i="20"/>
  <c r="J466" i="20" s="1"/>
  <c r="AA466" i="20"/>
  <c r="AA347" i="20"/>
  <c r="I347" i="20"/>
  <c r="J347" i="20" s="1"/>
  <c r="I207" i="20"/>
  <c r="J207" i="20" s="1"/>
  <c r="N207" i="20"/>
  <c r="Z207" i="20" s="1"/>
  <c r="AA238" i="20"/>
  <c r="I238" i="20"/>
  <c r="J238" i="20" s="1"/>
  <c r="N238" i="20"/>
  <c r="Z238" i="20" s="1"/>
  <c r="I481" i="20"/>
  <c r="J481" i="20" s="1"/>
  <c r="I459" i="20"/>
  <c r="J459" i="20" s="1"/>
  <c r="AA447" i="20"/>
  <c r="AA358" i="20"/>
  <c r="N358" i="20"/>
  <c r="Z358" i="20" s="1"/>
  <c r="N344" i="20"/>
  <c r="Z344" i="20" s="1"/>
  <c r="I331" i="20"/>
  <c r="J331" i="20" s="1"/>
  <c r="N215" i="20"/>
  <c r="Z215" i="20" s="1"/>
  <c r="AA215" i="20"/>
  <c r="AA115" i="20"/>
  <c r="AA514" i="20"/>
  <c r="I507" i="20"/>
  <c r="J507" i="20" s="1"/>
  <c r="AA491" i="20"/>
  <c r="AA495" i="20"/>
  <c r="AA480" i="20"/>
  <c r="N447" i="20"/>
  <c r="Z447" i="20" s="1"/>
  <c r="AA417" i="20"/>
  <c r="AA396" i="20"/>
  <c r="AA388" i="20"/>
  <c r="AA348" i="20"/>
  <c r="AA244" i="20"/>
  <c r="AA214" i="20"/>
  <c r="I214" i="20"/>
  <c r="J214" i="20" s="1"/>
  <c r="N214" i="20"/>
  <c r="Z214" i="20" s="1"/>
  <c r="AA470" i="20"/>
  <c r="N523" i="20"/>
  <c r="Z523" i="20" s="1"/>
  <c r="N514" i="20"/>
  <c r="Z514" i="20" s="1"/>
  <c r="AA506" i="20"/>
  <c r="N491" i="20"/>
  <c r="Z491" i="20" s="1"/>
  <c r="AA487" i="20"/>
  <c r="N458" i="20"/>
  <c r="Z458" i="20" s="1"/>
  <c r="AA443" i="20"/>
  <c r="AA392" i="20"/>
  <c r="AA375" i="20"/>
  <c r="AA361" i="20"/>
  <c r="AA352" i="20"/>
  <c r="N348" i="20"/>
  <c r="Z348" i="20" s="1"/>
  <c r="N338" i="20"/>
  <c r="Z338" i="20" s="1"/>
  <c r="AA334" i="20"/>
  <c r="N330" i="20"/>
  <c r="Z330" i="20" s="1"/>
  <c r="AA213" i="20"/>
  <c r="AA120" i="20"/>
  <c r="AA526" i="20"/>
  <c r="N502" i="20"/>
  <c r="Z502" i="20" s="1"/>
  <c r="N495" i="20"/>
  <c r="Z495" i="20" s="1"/>
  <c r="N480" i="20"/>
  <c r="Z480" i="20" s="1"/>
  <c r="I467" i="20"/>
  <c r="J467" i="20" s="1"/>
  <c r="I455" i="20"/>
  <c r="J455" i="20" s="1"/>
  <c r="N455" i="20"/>
  <c r="Z455" i="20" s="1"/>
  <c r="AA384" i="20"/>
  <c r="N375" i="20"/>
  <c r="Z375" i="20" s="1"/>
  <c r="N367" i="20"/>
  <c r="Z367" i="20" s="1"/>
  <c r="AA367" i="20"/>
  <c r="AA296" i="20"/>
  <c r="N296" i="20"/>
  <c r="Z296" i="20" s="1"/>
  <c r="I291" i="20"/>
  <c r="J291" i="20" s="1"/>
  <c r="N274" i="20"/>
  <c r="Z274" i="20" s="1"/>
  <c r="AA219" i="20"/>
  <c r="N213" i="20"/>
  <c r="Z213" i="20" s="1"/>
  <c r="AA193" i="20"/>
  <c r="AA119" i="20"/>
  <c r="AA523" i="20"/>
  <c r="I533" i="20"/>
  <c r="J533" i="20" s="1"/>
  <c r="N526" i="20"/>
  <c r="Z526" i="20" s="1"/>
  <c r="I523" i="20"/>
  <c r="J523" i="20" s="1"/>
  <c r="N506" i="20"/>
  <c r="Z506" i="20" s="1"/>
  <c r="I447" i="20"/>
  <c r="J447" i="20" s="1"/>
  <c r="N435" i="20"/>
  <c r="Z435" i="20" s="1"/>
  <c r="I396" i="20"/>
  <c r="J396" i="20" s="1"/>
  <c r="AA371" i="20"/>
  <c r="I361" i="20"/>
  <c r="J361" i="20" s="1"/>
  <c r="AA356" i="20"/>
  <c r="N352" i="20"/>
  <c r="Z352" i="20" s="1"/>
  <c r="I348" i="20"/>
  <c r="J348" i="20" s="1"/>
  <c r="AA343" i="20"/>
  <c r="N306" i="20"/>
  <c r="Z306" i="20" s="1"/>
  <c r="AA300" i="20"/>
  <c r="N251" i="20"/>
  <c r="Z251" i="20" s="1"/>
  <c r="AA251" i="20"/>
  <c r="AA226" i="20"/>
  <c r="I208" i="20"/>
  <c r="J208" i="20" s="1"/>
  <c r="AA192" i="20"/>
  <c r="N150" i="20"/>
  <c r="Z150" i="20" s="1"/>
  <c r="I502" i="20"/>
  <c r="J502" i="20" s="1"/>
  <c r="N476" i="20"/>
  <c r="Z476" i="20" s="1"/>
  <c r="I476" i="20"/>
  <c r="J476" i="20" s="1"/>
  <c r="N466" i="20"/>
  <c r="Z466" i="20" s="1"/>
  <c r="I462" i="20"/>
  <c r="J462" i="20" s="1"/>
  <c r="I458" i="20"/>
  <c r="J458" i="20" s="1"/>
  <c r="AA450" i="20"/>
  <c r="AA438" i="20"/>
  <c r="AA429" i="20"/>
  <c r="I417" i="20"/>
  <c r="J417" i="20" s="1"/>
  <c r="I338" i="20"/>
  <c r="J338" i="20" s="1"/>
  <c r="I330" i="20"/>
  <c r="J330" i="20" s="1"/>
  <c r="N300" i="20"/>
  <c r="Z300" i="20" s="1"/>
  <c r="N284" i="20"/>
  <c r="Z284" i="20" s="1"/>
  <c r="AA279" i="20"/>
  <c r="I269" i="20"/>
  <c r="J269" i="20" s="1"/>
  <c r="I257" i="20"/>
  <c r="J257" i="20" s="1"/>
  <c r="N250" i="20"/>
  <c r="Z250" i="20" s="1"/>
  <c r="I197" i="20"/>
  <c r="J197" i="20" s="1"/>
  <c r="I145" i="20"/>
  <c r="J145" i="20" s="1"/>
  <c r="N290" i="20"/>
  <c r="Z290" i="20" s="1"/>
  <c r="AA281" i="20"/>
  <c r="AA253" i="20"/>
  <c r="I188" i="20"/>
  <c r="J188" i="20" s="1"/>
  <c r="N167" i="20"/>
  <c r="Z167" i="20" s="1"/>
  <c r="N163" i="20"/>
  <c r="Z163" i="20" s="1"/>
  <c r="N152" i="20"/>
  <c r="Z152" i="20" s="1"/>
  <c r="AA144" i="20"/>
  <c r="I258" i="20"/>
  <c r="J258" i="20" s="1"/>
  <c r="AA234" i="20"/>
  <c r="I199" i="20"/>
  <c r="J199" i="20" s="1"/>
  <c r="N144" i="20"/>
  <c r="Z144" i="20" s="1"/>
  <c r="N122" i="20"/>
  <c r="Z122" i="20" s="1"/>
  <c r="AA247" i="20"/>
  <c r="N202" i="20"/>
  <c r="Z202" i="20" s="1"/>
  <c r="I191" i="20"/>
  <c r="J191" i="20" s="1"/>
  <c r="I152" i="20"/>
  <c r="J152" i="20" s="1"/>
  <c r="I148" i="20"/>
  <c r="J148" i="20" s="1"/>
  <c r="N247" i="20"/>
  <c r="Z247" i="20" s="1"/>
  <c r="I202" i="20"/>
  <c r="J202" i="20" s="1"/>
  <c r="I210" i="20"/>
  <c r="J210" i="20" s="1"/>
  <c r="AA116" i="20"/>
  <c r="N116" i="20"/>
  <c r="Z116" i="20" s="1"/>
  <c r="I383" i="20"/>
  <c r="J383" i="20" s="1"/>
  <c r="I380" i="20"/>
  <c r="J380" i="20" s="1"/>
  <c r="I362" i="20"/>
  <c r="J362" i="20" s="1"/>
  <c r="AA308" i="20"/>
  <c r="I301" i="20"/>
  <c r="J301" i="20" s="1"/>
  <c r="AA264" i="20"/>
  <c r="I252" i="20"/>
  <c r="J252" i="20" s="1"/>
  <c r="AA252" i="20"/>
  <c r="N252" i="20"/>
  <c r="Z252" i="20" s="1"/>
  <c r="N137" i="20"/>
  <c r="Z137" i="20" s="1"/>
  <c r="N113" i="20"/>
  <c r="Z113" i="20" s="1"/>
  <c r="N333" i="20"/>
  <c r="Z333" i="20" s="1"/>
  <c r="AA333" i="20"/>
  <c r="N311" i="20"/>
  <c r="Z311" i="20" s="1"/>
  <c r="AA311" i="20"/>
  <c r="AA267" i="20"/>
  <c r="AA224" i="20"/>
  <c r="AA220" i="20"/>
  <c r="AA195" i="20"/>
  <c r="I195" i="20"/>
  <c r="J195" i="20" s="1"/>
  <c r="N195" i="20"/>
  <c r="Z195" i="20" s="1"/>
  <c r="AA187" i="20"/>
  <c r="I103" i="20"/>
  <c r="J103" i="20" s="1"/>
  <c r="N103" i="20"/>
  <c r="Z103" i="20" s="1"/>
  <c r="N285" i="20"/>
  <c r="Z285" i="20" s="1"/>
  <c r="AA285" i="20"/>
  <c r="I336" i="20"/>
  <c r="J336" i="20" s="1"/>
  <c r="N315" i="20"/>
  <c r="Z315" i="20" s="1"/>
  <c r="AA315" i="20"/>
  <c r="AA299" i="20"/>
  <c r="I299" i="20"/>
  <c r="J299" i="20" s="1"/>
  <c r="N299" i="20"/>
  <c r="Z299" i="20" s="1"/>
  <c r="N267" i="20"/>
  <c r="Z267" i="20" s="1"/>
  <c r="I217" i="20"/>
  <c r="J217" i="20" s="1"/>
  <c r="I184" i="20"/>
  <c r="J184" i="20" s="1"/>
  <c r="N165" i="20"/>
  <c r="Z165" i="20" s="1"/>
  <c r="I165" i="20"/>
  <c r="J165" i="20" s="1"/>
  <c r="AA165" i="20"/>
  <c r="I154" i="20"/>
  <c r="J154" i="20" s="1"/>
  <c r="I120" i="20"/>
  <c r="J120" i="20" s="1"/>
  <c r="I107" i="20"/>
  <c r="J107" i="20" s="1"/>
  <c r="N494" i="20"/>
  <c r="Z494" i="20" s="1"/>
  <c r="I494" i="20"/>
  <c r="J494" i="20" s="1"/>
  <c r="AA494" i="20"/>
  <c r="I468" i="20"/>
  <c r="J468" i="20" s="1"/>
  <c r="I451" i="20"/>
  <c r="J451" i="20" s="1"/>
  <c r="N416" i="20"/>
  <c r="Z416" i="20" s="1"/>
  <c r="I416" i="20"/>
  <c r="J416" i="20" s="1"/>
  <c r="AA416" i="20"/>
  <c r="I360" i="20"/>
  <c r="J360" i="20" s="1"/>
  <c r="N360" i="20"/>
  <c r="Z360" i="20" s="1"/>
  <c r="AA360" i="20"/>
  <c r="AA314" i="20"/>
  <c r="I287" i="20"/>
  <c r="J287" i="20" s="1"/>
  <c r="N255" i="20"/>
  <c r="Z255" i="20" s="1"/>
  <c r="AA255" i="20"/>
  <c r="I245" i="20"/>
  <c r="J245" i="20" s="1"/>
  <c r="N245" i="20"/>
  <c r="Z245" i="20" s="1"/>
  <c r="AA245" i="20"/>
  <c r="I220" i="20"/>
  <c r="J220" i="20" s="1"/>
  <c r="AA201" i="20"/>
  <c r="I187" i="20"/>
  <c r="J187" i="20" s="1"/>
  <c r="AA151" i="20"/>
  <c r="N151" i="20"/>
  <c r="Z151" i="20" s="1"/>
  <c r="AA128" i="20"/>
  <c r="N128" i="20"/>
  <c r="Z128" i="20" s="1"/>
  <c r="I111" i="20"/>
  <c r="J111" i="20" s="1"/>
  <c r="N111" i="20"/>
  <c r="Z111" i="20" s="1"/>
  <c r="AA111" i="20"/>
  <c r="AA407" i="20"/>
  <c r="N407" i="20"/>
  <c r="Z407" i="20" s="1"/>
  <c r="N439" i="20"/>
  <c r="Z439" i="20" s="1"/>
  <c r="AA410" i="20"/>
  <c r="N410" i="20"/>
  <c r="Z410" i="20" s="1"/>
  <c r="AA178" i="20"/>
  <c r="N178" i="20"/>
  <c r="Z178" i="20" s="1"/>
  <c r="I104" i="20"/>
  <c r="J104" i="20" s="1"/>
  <c r="N104" i="20"/>
  <c r="Z104" i="20" s="1"/>
  <c r="AA104" i="20"/>
  <c r="N121" i="20"/>
  <c r="Z121" i="20" s="1"/>
  <c r="I121" i="20"/>
  <c r="J121" i="20" s="1"/>
  <c r="AA121" i="20"/>
  <c r="AA369" i="20"/>
  <c r="I369" i="20"/>
  <c r="J369" i="20" s="1"/>
  <c r="N369" i="20"/>
  <c r="Z369" i="20" s="1"/>
  <c r="N268" i="20"/>
  <c r="Z268" i="20" s="1"/>
  <c r="AA268" i="20"/>
  <c r="N242" i="20"/>
  <c r="Z242" i="20" s="1"/>
  <c r="I242" i="20"/>
  <c r="J242" i="20" s="1"/>
  <c r="AA242" i="20"/>
  <c r="I221" i="20"/>
  <c r="J221" i="20" s="1"/>
  <c r="N221" i="20"/>
  <c r="Z221" i="20" s="1"/>
  <c r="AA221" i="20"/>
  <c r="N148" i="20"/>
  <c r="Z148" i="20" s="1"/>
  <c r="AA148" i="20"/>
  <c r="N530" i="20"/>
  <c r="Z530" i="20" s="1"/>
  <c r="AA530" i="20"/>
  <c r="I428" i="20"/>
  <c r="J428" i="20" s="1"/>
  <c r="N428" i="20"/>
  <c r="Z428" i="20" s="1"/>
  <c r="AA428" i="20"/>
  <c r="I536" i="20"/>
  <c r="J536" i="20" s="1"/>
  <c r="N536" i="20"/>
  <c r="Z536" i="20" s="1"/>
  <c r="AA536" i="20"/>
  <c r="N454" i="20"/>
  <c r="Z454" i="20" s="1"/>
  <c r="AA454" i="20"/>
  <c r="AA418" i="20"/>
  <c r="N401" i="20"/>
  <c r="Z401" i="20" s="1"/>
  <c r="AA401" i="20"/>
  <c r="N377" i="20"/>
  <c r="Z377" i="20" s="1"/>
  <c r="N318" i="20"/>
  <c r="Z318" i="20" s="1"/>
  <c r="AA318" i="20"/>
  <c r="I168" i="20"/>
  <c r="J168" i="20" s="1"/>
  <c r="N168" i="20"/>
  <c r="Z168" i="20" s="1"/>
  <c r="AA168" i="20"/>
  <c r="N535" i="20"/>
  <c r="Z535" i="20" s="1"/>
  <c r="AA515" i="20"/>
  <c r="I422" i="20"/>
  <c r="J422" i="20" s="1"/>
  <c r="AA422" i="20"/>
  <c r="N422" i="20"/>
  <c r="Z422" i="20" s="1"/>
  <c r="N418" i="20"/>
  <c r="Z418" i="20" s="1"/>
  <c r="AA277" i="20"/>
  <c r="N496" i="20"/>
  <c r="Z496" i="20" s="1"/>
  <c r="I321" i="20"/>
  <c r="J321" i="20" s="1"/>
  <c r="N261" i="20"/>
  <c r="Z261" i="20" s="1"/>
  <c r="I231" i="20"/>
  <c r="J231" i="20" s="1"/>
  <c r="AA175" i="20"/>
  <c r="I175" i="20"/>
  <c r="J175" i="20" s="1"/>
  <c r="N175" i="20"/>
  <c r="Z175" i="20" s="1"/>
  <c r="AA305" i="20"/>
  <c r="N305" i="20"/>
  <c r="Z305" i="20" s="1"/>
  <c r="N265" i="20"/>
  <c r="Z265" i="20" s="1"/>
  <c r="AA265" i="20"/>
  <c r="I227" i="20"/>
  <c r="J227" i="20" s="1"/>
  <c r="N227" i="20"/>
  <c r="Z227" i="20" s="1"/>
  <c r="AA505" i="20"/>
  <c r="N505" i="20"/>
  <c r="Z505" i="20" s="1"/>
  <c r="I499" i="20"/>
  <c r="J499" i="20" s="1"/>
  <c r="AA499" i="20"/>
  <c r="AA439" i="20"/>
  <c r="AA351" i="20"/>
  <c r="N351" i="20"/>
  <c r="Z351" i="20" s="1"/>
  <c r="N257" i="20"/>
  <c r="Z257" i="20" s="1"/>
  <c r="AA257" i="20"/>
  <c r="N145" i="20"/>
  <c r="Z145" i="20" s="1"/>
  <c r="AA145" i="20"/>
  <c r="I508" i="20"/>
  <c r="J508" i="20" s="1"/>
  <c r="N508" i="20"/>
  <c r="Z508" i="20" s="1"/>
  <c r="AA508" i="20"/>
  <c r="N442" i="20"/>
  <c r="Z442" i="20" s="1"/>
  <c r="I312" i="20"/>
  <c r="J312" i="20" s="1"/>
  <c r="N312" i="20"/>
  <c r="Z312" i="20" s="1"/>
  <c r="AA312" i="20"/>
  <c r="N235" i="20"/>
  <c r="Z235" i="20" s="1"/>
  <c r="AA235" i="20"/>
  <c r="I100" i="20"/>
  <c r="J100" i="20" s="1"/>
  <c r="N100" i="20"/>
  <c r="Z100" i="20" s="1"/>
  <c r="AA100" i="20"/>
  <c r="N354" i="20"/>
  <c r="Z354" i="20" s="1"/>
  <c r="AA354" i="20"/>
  <c r="I389" i="20"/>
  <c r="J389" i="20" s="1"/>
  <c r="AA389" i="20"/>
  <c r="I442" i="20"/>
  <c r="J442" i="20" s="1"/>
  <c r="N357" i="20"/>
  <c r="Z357" i="20" s="1"/>
  <c r="AA357" i="20"/>
  <c r="I488" i="20"/>
  <c r="J488" i="20" s="1"/>
  <c r="N488" i="20"/>
  <c r="Z488" i="20" s="1"/>
  <c r="AA488" i="20"/>
  <c r="I124" i="20"/>
  <c r="J124" i="20" s="1"/>
  <c r="N124" i="20"/>
  <c r="Z124" i="20" s="1"/>
  <c r="AA124" i="20"/>
  <c r="N398" i="20"/>
  <c r="Z398" i="20" s="1"/>
  <c r="AA398" i="20"/>
  <c r="AA336" i="20"/>
  <c r="N336" i="20"/>
  <c r="Z336" i="20" s="1"/>
  <c r="I224" i="20"/>
  <c r="J224" i="20" s="1"/>
  <c r="N224" i="20"/>
  <c r="Z224" i="20" s="1"/>
  <c r="N154" i="20"/>
  <c r="Z154" i="20" s="1"/>
  <c r="AA154" i="20"/>
  <c r="AA107" i="20"/>
  <c r="N107" i="20"/>
  <c r="Z107" i="20" s="1"/>
  <c r="AA533" i="20"/>
  <c r="N533" i="20"/>
  <c r="Z533" i="20" s="1"/>
  <c r="N471" i="20"/>
  <c r="Z471" i="20" s="1"/>
  <c r="AA471" i="20"/>
  <c r="N339" i="20"/>
  <c r="Z339" i="20" s="1"/>
  <c r="AA339" i="20"/>
  <c r="N198" i="20"/>
  <c r="Z198" i="20" s="1"/>
  <c r="AA198" i="20"/>
  <c r="I434" i="20"/>
  <c r="J434" i="20" s="1"/>
  <c r="N434" i="20"/>
  <c r="Z434" i="20" s="1"/>
  <c r="AA434" i="20"/>
  <c r="I419" i="20"/>
  <c r="J419" i="20" s="1"/>
  <c r="AA419" i="20"/>
  <c r="N419" i="20"/>
  <c r="Z419" i="20" s="1"/>
  <c r="I356" i="20"/>
  <c r="J356" i="20" s="1"/>
  <c r="N342" i="20"/>
  <c r="Z342" i="20" s="1"/>
  <c r="AA342" i="20"/>
  <c r="AA535" i="20"/>
  <c r="AA474" i="20"/>
  <c r="N474" i="20"/>
  <c r="Z474" i="20" s="1"/>
  <c r="I249" i="20"/>
  <c r="J249" i="20" s="1"/>
  <c r="AA249" i="20"/>
  <c r="N249" i="20"/>
  <c r="Z249" i="20" s="1"/>
  <c r="I232" i="20"/>
  <c r="J232" i="20" s="1"/>
  <c r="AA232" i="20"/>
  <c r="N232" i="20"/>
  <c r="Z232" i="20" s="1"/>
  <c r="AA134" i="20"/>
  <c r="N131" i="20"/>
  <c r="Z131" i="20" s="1"/>
  <c r="AA131" i="20"/>
  <c r="N516" i="20"/>
  <c r="Z516" i="20" s="1"/>
  <c r="AA516" i="20"/>
  <c r="AA473" i="20"/>
  <c r="N470" i="20"/>
  <c r="Z470" i="20" s="1"/>
  <c r="AA457" i="20"/>
  <c r="N457" i="20"/>
  <c r="Z457" i="20" s="1"/>
  <c r="AA400" i="20"/>
  <c r="N321" i="20"/>
  <c r="Z321" i="20" s="1"/>
  <c r="I278" i="20"/>
  <c r="J278" i="20" s="1"/>
  <c r="AA278" i="20"/>
  <c r="N278" i="20"/>
  <c r="Z278" i="20" s="1"/>
  <c r="I157" i="20"/>
  <c r="J157" i="20" s="1"/>
  <c r="AA157" i="20"/>
  <c r="I477" i="20"/>
  <c r="J477" i="20" s="1"/>
  <c r="N477" i="20"/>
  <c r="Z477" i="20" s="1"/>
  <c r="AA477" i="20"/>
  <c r="I460" i="20"/>
  <c r="J460" i="20" s="1"/>
  <c r="N460" i="20"/>
  <c r="Z460" i="20" s="1"/>
  <c r="AA460" i="20"/>
  <c r="I363" i="20"/>
  <c r="J363" i="20" s="1"/>
  <c r="N363" i="20"/>
  <c r="Z363" i="20" s="1"/>
  <c r="AA363" i="20"/>
  <c r="AA317" i="20"/>
  <c r="N302" i="20"/>
  <c r="Z302" i="20" s="1"/>
  <c r="AA302" i="20"/>
  <c r="AA294" i="20"/>
  <c r="N254" i="20"/>
  <c r="Z254" i="20" s="1"/>
  <c r="AA254" i="20"/>
  <c r="AA228" i="20"/>
  <c r="N228" i="20"/>
  <c r="Z228" i="20" s="1"/>
  <c r="N134" i="20"/>
  <c r="Z134" i="20" s="1"/>
  <c r="I106" i="20"/>
  <c r="J106" i="20" s="1"/>
  <c r="N106" i="20"/>
  <c r="Z106" i="20" s="1"/>
  <c r="AA519" i="20"/>
  <c r="N519" i="20"/>
  <c r="Z519" i="20" s="1"/>
  <c r="N515" i="20"/>
  <c r="Z515" i="20" s="1"/>
  <c r="AA476" i="20"/>
  <c r="N473" i="20"/>
  <c r="Z473" i="20" s="1"/>
  <c r="AA459" i="20"/>
  <c r="AA421" i="20"/>
  <c r="AA362" i="20"/>
  <c r="I345" i="20"/>
  <c r="J345" i="20" s="1"/>
  <c r="N345" i="20"/>
  <c r="Z345" i="20" s="1"/>
  <c r="AA345" i="20"/>
  <c r="N324" i="20"/>
  <c r="Z324" i="20" s="1"/>
  <c r="AA301" i="20"/>
  <c r="N258" i="20"/>
  <c r="Z258" i="20" s="1"/>
  <c r="AA258" i="20"/>
  <c r="AA227" i="20"/>
  <c r="AA538" i="20"/>
  <c r="AA518" i="20"/>
  <c r="I470" i="20"/>
  <c r="J470" i="20" s="1"/>
  <c r="AA404" i="20"/>
  <c r="N404" i="20"/>
  <c r="Z404" i="20" s="1"/>
  <c r="I377" i="20"/>
  <c r="J377" i="20" s="1"/>
  <c r="AA344" i="20"/>
  <c r="I535" i="20"/>
  <c r="J535" i="20" s="1"/>
  <c r="I463" i="20"/>
  <c r="J463" i="20" s="1"/>
  <c r="N463" i="20"/>
  <c r="Z463" i="20" s="1"/>
  <c r="AA463" i="20"/>
  <c r="I433" i="20"/>
  <c r="J433" i="20" s="1"/>
  <c r="I418" i="20"/>
  <c r="J418" i="20" s="1"/>
  <c r="I407" i="20"/>
  <c r="J407" i="20" s="1"/>
  <c r="AA383" i="20"/>
  <c r="N380" i="20"/>
  <c r="Z380" i="20" s="1"/>
  <c r="I305" i="20"/>
  <c r="J305" i="20" s="1"/>
  <c r="I265" i="20"/>
  <c r="J265" i="20" s="1"/>
  <c r="N208" i="20"/>
  <c r="Z208" i="20" s="1"/>
  <c r="AA208" i="20"/>
  <c r="I134" i="20"/>
  <c r="J134" i="20" s="1"/>
  <c r="N114" i="20"/>
  <c r="Z114" i="20" s="1"/>
  <c r="AA114" i="20"/>
  <c r="I439" i="20"/>
  <c r="J439" i="20" s="1"/>
  <c r="I431" i="20"/>
  <c r="J431" i="20" s="1"/>
  <c r="N431" i="20"/>
  <c r="Z431" i="20" s="1"/>
  <c r="AA431" i="20"/>
  <c r="N125" i="20"/>
  <c r="Z125" i="20" s="1"/>
  <c r="AA125" i="20"/>
  <c r="N485" i="20"/>
  <c r="Z485" i="20" s="1"/>
  <c r="AA485" i="20"/>
  <c r="AA288" i="20"/>
  <c r="I246" i="20"/>
  <c r="J246" i="20" s="1"/>
  <c r="AA246" i="20"/>
  <c r="N246" i="20"/>
  <c r="Z246" i="20" s="1"/>
  <c r="I225" i="20"/>
  <c r="J225" i="20" s="1"/>
  <c r="AA225" i="20"/>
  <c r="N225" i="20"/>
  <c r="Z225" i="20" s="1"/>
  <c r="AA413" i="20"/>
  <c r="N413" i="20"/>
  <c r="Z413" i="20" s="1"/>
  <c r="I205" i="20"/>
  <c r="J205" i="20" s="1"/>
  <c r="N205" i="20"/>
  <c r="Z205" i="20" s="1"/>
  <c r="AA205" i="20"/>
  <c r="N541" i="20"/>
  <c r="Z541" i="20" s="1"/>
  <c r="I522" i="20"/>
  <c r="J522" i="20" s="1"/>
  <c r="N522" i="20"/>
  <c r="Z522" i="20" s="1"/>
  <c r="AA522" i="20"/>
  <c r="I505" i="20"/>
  <c r="J505" i="20" s="1"/>
  <c r="I400" i="20"/>
  <c r="J400" i="20" s="1"/>
  <c r="I366" i="20"/>
  <c r="J366" i="20" s="1"/>
  <c r="AA366" i="20"/>
  <c r="N366" i="20"/>
  <c r="Z366" i="20" s="1"/>
  <c r="N327" i="20"/>
  <c r="Z327" i="20" s="1"/>
  <c r="I324" i="20"/>
  <c r="J324" i="20" s="1"/>
  <c r="I317" i="20"/>
  <c r="J317" i="20" s="1"/>
  <c r="N317" i="20"/>
  <c r="Z317" i="20" s="1"/>
  <c r="I285" i="20"/>
  <c r="J285" i="20" s="1"/>
  <c r="N211" i="20"/>
  <c r="Z211" i="20" s="1"/>
  <c r="AA113" i="20"/>
  <c r="I444" i="20"/>
  <c r="J444" i="20" s="1"/>
  <c r="I435" i="20"/>
  <c r="J435" i="20" s="1"/>
  <c r="I283" i="20"/>
  <c r="J283" i="20" s="1"/>
  <c r="N276" i="20"/>
  <c r="Z276" i="20" s="1"/>
  <c r="N260" i="20"/>
  <c r="Z260" i="20" s="1"/>
  <c r="AA260" i="20"/>
  <c r="I253" i="20"/>
  <c r="J253" i="20" s="1"/>
  <c r="I250" i="20"/>
  <c r="J250" i="20" s="1"/>
  <c r="N133" i="20"/>
  <c r="Z133" i="20" s="1"/>
  <c r="AA133" i="20"/>
  <c r="I109" i="20"/>
  <c r="J109" i="20" s="1"/>
  <c r="N109" i="20"/>
  <c r="Z109" i="20" s="1"/>
  <c r="N297" i="20"/>
  <c r="Z297" i="20" s="1"/>
  <c r="I236" i="20"/>
  <c r="J236" i="20" s="1"/>
  <c r="N236" i="20"/>
  <c r="Z236" i="20" s="1"/>
  <c r="I320" i="20"/>
  <c r="J320" i="20" s="1"/>
  <c r="N263" i="20"/>
  <c r="Z263" i="20" s="1"/>
  <c r="AA263" i="20"/>
  <c r="AA325" i="20"/>
  <c r="I230" i="20"/>
  <c r="J230" i="20" s="1"/>
  <c r="N230" i="20"/>
  <c r="Z230" i="20" s="1"/>
  <c r="I367" i="20"/>
  <c r="J367" i="20" s="1"/>
  <c r="I233" i="20"/>
  <c r="J233" i="20" s="1"/>
  <c r="N233" i="20"/>
  <c r="Z233" i="20" s="1"/>
  <c r="N136" i="20"/>
  <c r="Z136" i="20" s="1"/>
  <c r="AA136" i="20"/>
  <c r="I112" i="20"/>
  <c r="J112" i="20" s="1"/>
  <c r="N112" i="20"/>
  <c r="Z112" i="20" s="1"/>
  <c r="I411" i="20"/>
  <c r="J411" i="20" s="1"/>
  <c r="N266" i="20"/>
  <c r="Z266" i="20" s="1"/>
  <c r="AA266" i="20"/>
  <c r="N269" i="20"/>
  <c r="Z269" i="20" s="1"/>
  <c r="AA269" i="20"/>
  <c r="I378" i="20"/>
  <c r="J378" i="20" s="1"/>
  <c r="I306" i="20"/>
  <c r="J306" i="20" s="1"/>
  <c r="I282" i="20"/>
  <c r="J282" i="20" s="1"/>
  <c r="AA272" i="20"/>
  <c r="N272" i="20"/>
  <c r="Z272" i="20" s="1"/>
  <c r="AA239" i="20"/>
  <c r="I239" i="20"/>
  <c r="J239" i="20" s="1"/>
  <c r="N239" i="20"/>
  <c r="Z239" i="20" s="1"/>
  <c r="I334" i="20"/>
  <c r="J334" i="20" s="1"/>
  <c r="I179" i="20"/>
  <c r="J179" i="20" s="1"/>
  <c r="N139" i="20"/>
  <c r="Z139" i="20" s="1"/>
  <c r="AA139" i="20"/>
  <c r="I115" i="20"/>
  <c r="J115" i="20" s="1"/>
  <c r="N115" i="20"/>
  <c r="Z115" i="20" s="1"/>
  <c r="N275" i="20"/>
  <c r="Z275" i="20" s="1"/>
  <c r="AA275" i="20"/>
  <c r="N142" i="20"/>
  <c r="Z142" i="20" s="1"/>
  <c r="AA142" i="20"/>
  <c r="AA118" i="20"/>
  <c r="I118" i="20"/>
  <c r="J118" i="20" s="1"/>
  <c r="N118" i="20"/>
  <c r="Z118" i="20" s="1"/>
  <c r="I303" i="20"/>
  <c r="J303" i="20" s="1"/>
  <c r="I292" i="20"/>
  <c r="J292" i="20" s="1"/>
  <c r="I281" i="20"/>
  <c r="J281" i="20" s="1"/>
  <c r="I270" i="20"/>
  <c r="J270" i="20" s="1"/>
  <c r="I259" i="20"/>
  <c r="J259" i="20" s="1"/>
  <c r="I248" i="20"/>
  <c r="J248" i="20" s="1"/>
  <c r="I237" i="20"/>
  <c r="J237" i="20" s="1"/>
  <c r="I226" i="20"/>
  <c r="J226" i="20" s="1"/>
  <c r="I215" i="20"/>
  <c r="J215" i="20" s="1"/>
  <c r="I204" i="20"/>
  <c r="J204" i="20" s="1"/>
  <c r="I193" i="20"/>
  <c r="J193" i="20" s="1"/>
  <c r="I182" i="20"/>
  <c r="J182" i="20" s="1"/>
  <c r="I171" i="20"/>
  <c r="J171" i="20" s="1"/>
  <c r="I160" i="20"/>
  <c r="J160" i="20" s="1"/>
  <c r="I149" i="20"/>
  <c r="J149" i="20" s="1"/>
  <c r="I138" i="20"/>
  <c r="J138" i="20" s="1"/>
  <c r="I127" i="20"/>
  <c r="J127" i="20" s="1"/>
  <c r="I116" i="20"/>
  <c r="J116" i="20" s="1"/>
  <c r="I105" i="20"/>
  <c r="J105" i="20" s="1"/>
  <c r="I94" i="20"/>
  <c r="J94" i="20" s="1"/>
  <c r="AA68" i="20"/>
  <c r="N59" i="20"/>
  <c r="Z59" i="20" s="1"/>
  <c r="AA67" i="20"/>
  <c r="N67" i="20"/>
  <c r="Z67" i="20" s="1"/>
  <c r="AA73" i="20"/>
  <c r="N73" i="20"/>
  <c r="Z73" i="20" s="1"/>
  <c r="N60" i="20"/>
  <c r="Z60" i="20" s="1"/>
  <c r="AA61" i="20"/>
  <c r="N61" i="20"/>
  <c r="Z61" i="20" s="1"/>
  <c r="AA71" i="20"/>
  <c r="N71" i="20"/>
  <c r="Z71" i="20" s="1"/>
  <c r="AA70" i="20"/>
  <c r="N70" i="20"/>
  <c r="Z70" i="20" s="1"/>
  <c r="N82" i="20"/>
  <c r="Z82" i="20" s="1"/>
  <c r="AA76" i="20"/>
  <c r="N76" i="20"/>
  <c r="Z76" i="20" s="1"/>
  <c r="N75" i="20"/>
  <c r="Z75" i="20" s="1"/>
  <c r="N72" i="20"/>
  <c r="Z72" i="20" s="1"/>
  <c r="AA84" i="20"/>
  <c r="N84" i="20"/>
  <c r="Z84" i="20" s="1"/>
  <c r="N80" i="20"/>
  <c r="Z80" i="20" s="1"/>
  <c r="AA69" i="20"/>
  <c r="N69" i="20"/>
  <c r="Z69" i="20" s="1"/>
  <c r="N89" i="20"/>
  <c r="Z89" i="20" s="1"/>
  <c r="AA58" i="20"/>
  <c r="N58" i="20"/>
  <c r="Z58" i="20" s="1"/>
  <c r="N77" i="20"/>
  <c r="Z77" i="20" s="1"/>
  <c r="N65" i="20"/>
  <c r="Z65" i="20" s="1"/>
  <c r="N83" i="20"/>
  <c r="Z83" i="20" s="1"/>
  <c r="N87" i="20"/>
  <c r="Z87" i="20" s="1"/>
  <c r="N86" i="20"/>
  <c r="Z86" i="20" s="1"/>
  <c r="N91" i="20"/>
  <c r="Z91" i="20" s="1"/>
  <c r="AA93" i="20"/>
  <c r="N93" i="20"/>
  <c r="Z93" i="20" s="1"/>
  <c r="AA74" i="20"/>
  <c r="N74" i="20"/>
  <c r="Z74" i="20" s="1"/>
  <c r="N92" i="20"/>
  <c r="Z92" i="20" s="1"/>
  <c r="N62" i="20"/>
  <c r="Z62" i="20" s="1"/>
  <c r="AA88" i="20"/>
  <c r="N88" i="20"/>
  <c r="Z88" i="20" s="1"/>
  <c r="AA90" i="20"/>
  <c r="AA75" i="20"/>
  <c r="AA72" i="20"/>
  <c r="AA91" i="20"/>
  <c r="AA89" i="20"/>
  <c r="AA87" i="20"/>
  <c r="AA83" i="20"/>
  <c r="AA82" i="20"/>
  <c r="AA63" i="20"/>
  <c r="AA62" i="20"/>
  <c r="AA92" i="20"/>
  <c r="AA60" i="20"/>
  <c r="AA79" i="20"/>
  <c r="AA64" i="20"/>
  <c r="AA86" i="20"/>
  <c r="AA57" i="20"/>
  <c r="AA59" i="20"/>
  <c r="AA80" i="20"/>
  <c r="AA78" i="20"/>
  <c r="AA85" i="20"/>
  <c r="AA66" i="20"/>
  <c r="AA81" i="20"/>
  <c r="AA65" i="20"/>
  <c r="I65" i="20"/>
  <c r="J65" i="20" s="1"/>
  <c r="AA77" i="20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N3" i="20"/>
  <c r="Z3" i="20" s="1"/>
  <c r="N5" i="20"/>
  <c r="Z5" i="20" s="1"/>
  <c r="N7" i="20"/>
  <c r="Z7" i="20" s="1"/>
  <c r="N9" i="20"/>
  <c r="Z9" i="20" s="1"/>
  <c r="N14" i="20"/>
  <c r="Z14" i="20" s="1"/>
  <c r="N15" i="20"/>
  <c r="Z15" i="20" s="1"/>
  <c r="AA55" i="20"/>
  <c r="AA56" i="20"/>
  <c r="N2" i="20"/>
  <c r="Z2" i="20" s="1"/>
  <c r="AA52" i="20" l="1"/>
  <c r="N52" i="20"/>
  <c r="Z52" i="20" s="1"/>
  <c r="AA30" i="20"/>
  <c r="N30" i="20"/>
  <c r="Z30" i="20" s="1"/>
  <c r="AA8" i="20"/>
  <c r="N8" i="20"/>
  <c r="Z8" i="20" s="1"/>
  <c r="AA53" i="20"/>
  <c r="N53" i="20"/>
  <c r="Z53" i="20" s="1"/>
  <c r="AA6" i="20"/>
  <c r="N6" i="20"/>
  <c r="Z6" i="20" s="1"/>
  <c r="AA23" i="20"/>
  <c r="N23" i="20"/>
  <c r="Z23" i="20" s="1"/>
  <c r="AA44" i="20"/>
  <c r="N44" i="20"/>
  <c r="Z44" i="20" s="1"/>
  <c r="AA21" i="20"/>
  <c r="N21" i="20"/>
  <c r="Z21" i="20" s="1"/>
  <c r="AA20" i="20"/>
  <c r="N20" i="20"/>
  <c r="Z20" i="20" s="1"/>
  <c r="AA46" i="20"/>
  <c r="N46" i="20"/>
  <c r="Z46" i="20" s="1"/>
  <c r="AA22" i="20"/>
  <c r="N22" i="20"/>
  <c r="Z22" i="20" s="1"/>
  <c r="AA19" i="20"/>
  <c r="N19" i="20"/>
  <c r="Z19" i="20" s="1"/>
  <c r="AA24" i="20"/>
  <c r="N24" i="20"/>
  <c r="Z24" i="20" s="1"/>
  <c r="AA29" i="20"/>
  <c r="N29" i="20"/>
  <c r="Z29" i="20" s="1"/>
  <c r="AA28" i="20"/>
  <c r="N28" i="20"/>
  <c r="Z28" i="20" s="1"/>
  <c r="AA27" i="20"/>
  <c r="N27" i="20"/>
  <c r="Z27" i="20" s="1"/>
  <c r="AA48" i="20"/>
  <c r="N48" i="20"/>
  <c r="Z48" i="20" s="1"/>
  <c r="AA4" i="20"/>
  <c r="N4" i="20"/>
  <c r="Z4" i="20" s="1"/>
  <c r="AA47" i="20"/>
  <c r="N47" i="20"/>
  <c r="Z47" i="20" s="1"/>
  <c r="AA25" i="20"/>
  <c r="N25" i="20"/>
  <c r="Z25" i="20" s="1"/>
  <c r="AA50" i="20"/>
  <c r="N50" i="20"/>
  <c r="Z50" i="20" s="1"/>
  <c r="AA43" i="20"/>
  <c r="N43" i="20"/>
  <c r="Z43" i="20" s="1"/>
  <c r="AA40" i="20"/>
  <c r="N40" i="20"/>
  <c r="Z40" i="20" s="1"/>
  <c r="AA17" i="20"/>
  <c r="N17" i="20"/>
  <c r="Z17" i="20" s="1"/>
  <c r="AA31" i="20"/>
  <c r="N31" i="20"/>
  <c r="Z31" i="20" s="1"/>
  <c r="AA26" i="20"/>
  <c r="N26" i="20"/>
  <c r="Z26" i="20" s="1"/>
  <c r="AA36" i="20"/>
  <c r="N36" i="20"/>
  <c r="Z36" i="20" s="1"/>
  <c r="AA35" i="20"/>
  <c r="N35" i="20"/>
  <c r="Z35" i="20" s="1"/>
  <c r="AA13" i="20"/>
  <c r="N13" i="20"/>
  <c r="Z13" i="20" s="1"/>
  <c r="AA51" i="20"/>
  <c r="N51" i="20"/>
  <c r="Z51" i="20" s="1"/>
  <c r="AA45" i="20"/>
  <c r="N45" i="20"/>
  <c r="Z45" i="20" s="1"/>
  <c r="AA16" i="20"/>
  <c r="N16" i="20"/>
  <c r="Z16" i="20" s="1"/>
  <c r="AA34" i="20"/>
  <c r="N34" i="20"/>
  <c r="Z34" i="20" s="1"/>
  <c r="AA12" i="20"/>
  <c r="N12" i="20"/>
  <c r="Z12" i="20" s="1"/>
  <c r="AA42" i="20"/>
  <c r="N42" i="20"/>
  <c r="Z42" i="20" s="1"/>
  <c r="AA41" i="20"/>
  <c r="N41" i="20"/>
  <c r="Z41" i="20" s="1"/>
  <c r="AA38" i="20"/>
  <c r="N38" i="20"/>
  <c r="Z38" i="20" s="1"/>
  <c r="AA33" i="20"/>
  <c r="N33" i="20"/>
  <c r="Z33" i="20" s="1"/>
  <c r="AA11" i="20"/>
  <c r="N11" i="20"/>
  <c r="Z11" i="20" s="1"/>
  <c r="AA49" i="20"/>
  <c r="N49" i="20"/>
  <c r="Z49" i="20" s="1"/>
  <c r="AA18" i="20"/>
  <c r="N18" i="20"/>
  <c r="Z18" i="20" s="1"/>
  <c r="AA39" i="20"/>
  <c r="N39" i="20"/>
  <c r="Z39" i="20" s="1"/>
  <c r="AA37" i="20"/>
  <c r="N37" i="20"/>
  <c r="Z37" i="20" s="1"/>
  <c r="AA54" i="20"/>
  <c r="N54" i="20"/>
  <c r="Z54" i="20" s="1"/>
  <c r="AA32" i="20"/>
  <c r="N32" i="20"/>
  <c r="Z32" i="20" s="1"/>
  <c r="I10" i="20"/>
  <c r="J10" i="20" s="1"/>
  <c r="N10" i="20"/>
  <c r="Z10" i="20" s="1"/>
  <c r="AA2" i="20"/>
  <c r="AA15" i="20"/>
  <c r="AA14" i="20"/>
  <c r="I9" i="20"/>
  <c r="J9" i="20" s="1"/>
  <c r="I7" i="20"/>
  <c r="J7" i="20" s="1"/>
  <c r="AA5" i="20"/>
  <c r="AA3" i="20"/>
  <c r="AA9" i="20"/>
  <c r="AA10" i="20"/>
  <c r="AA7" i="20"/>
  <c r="I58" i="20"/>
  <c r="J58" i="20" s="1"/>
  <c r="I57" i="20"/>
  <c r="J57" i="20" s="1"/>
  <c r="I43" i="20"/>
  <c r="J43" i="20" s="1"/>
  <c r="I21" i="20"/>
  <c r="J21" i="20" s="1"/>
  <c r="I16" i="20"/>
  <c r="J16" i="20" s="1"/>
  <c r="I14" i="20"/>
  <c r="J14" i="20" s="1"/>
  <c r="I74" i="20"/>
  <c r="J74" i="20" s="1"/>
  <c r="I66" i="20"/>
  <c r="J66" i="20" s="1"/>
  <c r="I63" i="20"/>
  <c r="J63" i="20" s="1"/>
  <c r="I42" i="20"/>
  <c r="J42" i="20" s="1"/>
  <c r="I32" i="20"/>
  <c r="J32" i="20" s="1"/>
  <c r="I31" i="20"/>
  <c r="J31" i="20" s="1"/>
  <c r="I2" i="20"/>
  <c r="J2" i="20" s="1"/>
  <c r="I54" i="20"/>
  <c r="J54" i="20" s="1"/>
  <c r="I53" i="20"/>
  <c r="J53" i="20" s="1"/>
  <c r="I60" i="20"/>
  <c r="J60" i="20" s="1"/>
  <c r="I20" i="20"/>
  <c r="J20" i="20" s="1"/>
  <c r="I19" i="20"/>
  <c r="J19" i="20" s="1"/>
  <c r="I56" i="20"/>
  <c r="J56" i="20" s="1"/>
  <c r="I55" i="20"/>
  <c r="J55" i="20" s="1"/>
  <c r="I13" i="20"/>
  <c r="J13" i="20" s="1"/>
  <c r="I12" i="20"/>
  <c r="J12" i="20" s="1"/>
  <c r="I11" i="20"/>
  <c r="J11" i="20" s="1"/>
  <c r="I46" i="20"/>
  <c r="J46" i="20" s="1"/>
  <c r="I45" i="20"/>
  <c r="J45" i="20" s="1"/>
  <c r="I24" i="20"/>
  <c r="J24" i="20" s="1"/>
  <c r="I41" i="20"/>
  <c r="J41" i="20" s="1"/>
  <c r="I77" i="20"/>
  <c r="J77" i="20" s="1"/>
  <c r="I38" i="20"/>
  <c r="J38" i="20" s="1"/>
  <c r="I23" i="20"/>
  <c r="J23" i="20" s="1"/>
  <c r="I76" i="20"/>
  <c r="J76" i="20" s="1"/>
  <c r="I36" i="20"/>
  <c r="J36" i="20" s="1"/>
  <c r="I75" i="20"/>
  <c r="J75" i="20" s="1"/>
  <c r="I35" i="20"/>
  <c r="J35" i="20" s="1"/>
  <c r="I34" i="20"/>
  <c r="J34" i="20" s="1"/>
  <c r="I73" i="20"/>
  <c r="J73" i="20" s="1"/>
  <c r="I33" i="20"/>
  <c r="J33" i="20" s="1"/>
  <c r="I62" i="20"/>
  <c r="J62" i="20" s="1"/>
  <c r="I40" i="20"/>
  <c r="J40" i="20" s="1"/>
  <c r="I18" i="20"/>
  <c r="J18" i="20" s="1"/>
  <c r="I61" i="20"/>
  <c r="J61" i="20" s="1"/>
  <c r="I39" i="20"/>
  <c r="J39" i="20" s="1"/>
  <c r="I17" i="20"/>
  <c r="J17" i="20" s="1"/>
  <c r="I59" i="20"/>
  <c r="J59" i="20" s="1"/>
  <c r="I37" i="20"/>
  <c r="J37" i="20" s="1"/>
  <c r="I15" i="20"/>
  <c r="J15" i="20" s="1"/>
  <c r="I72" i="20"/>
  <c r="J72" i="20" s="1"/>
  <c r="I52" i="20"/>
  <c r="J52" i="20" s="1"/>
  <c r="I30" i="20"/>
  <c r="J30" i="20" s="1"/>
  <c r="I8" i="20"/>
  <c r="J8" i="20" s="1"/>
  <c r="I71" i="20"/>
  <c r="J71" i="20" s="1"/>
  <c r="I51" i="20"/>
  <c r="J51" i="20" s="1"/>
  <c r="I29" i="20"/>
  <c r="J29" i="20" s="1"/>
  <c r="I70" i="20"/>
  <c r="J70" i="20" s="1"/>
  <c r="I50" i="20"/>
  <c r="J50" i="20" s="1"/>
  <c r="I28" i="20"/>
  <c r="J28" i="20" s="1"/>
  <c r="I6" i="20"/>
  <c r="J6" i="20" s="1"/>
  <c r="I69" i="20"/>
  <c r="J69" i="20" s="1"/>
  <c r="I49" i="20"/>
  <c r="J49" i="20" s="1"/>
  <c r="I27" i="20"/>
  <c r="J27" i="20" s="1"/>
  <c r="I5" i="20"/>
  <c r="J5" i="20" s="1"/>
  <c r="I68" i="20"/>
  <c r="J68" i="20" s="1"/>
  <c r="I48" i="20"/>
  <c r="J48" i="20" s="1"/>
  <c r="I26" i="20"/>
  <c r="J26" i="20" s="1"/>
  <c r="I4" i="20"/>
  <c r="J4" i="20" s="1"/>
  <c r="I67" i="20"/>
  <c r="J67" i="20" s="1"/>
  <c r="I47" i="20"/>
  <c r="J47" i="20" s="1"/>
  <c r="I25" i="20"/>
  <c r="J25" i="20" s="1"/>
  <c r="I3" i="20"/>
  <c r="J3" i="20" s="1"/>
  <c r="I64" i="20"/>
  <c r="J64" i="20" s="1"/>
  <c r="I44" i="20"/>
  <c r="J44" i="20" s="1"/>
  <c r="I22" i="20"/>
  <c r="J22" i="20" s="1"/>
</calcChain>
</file>

<file path=xl/sharedStrings.xml><?xml version="1.0" encoding="utf-8"?>
<sst xmlns="http://schemas.openxmlformats.org/spreadsheetml/2006/main" count="15404" uniqueCount="6393">
  <si>
    <t>ChangeLog</t>
  </si>
  <si>
    <t>时间</t>
  </si>
  <si>
    <t>Sheet</t>
  </si>
  <si>
    <t>内容</t>
  </si>
  <si>
    <t>变更人</t>
  </si>
  <si>
    <t>2025.08.07</t>
  </si>
  <si>
    <t>Sys_ComIf
ComRx_Bus
SAM_Bus
TCM_Bus
CCM_Bus</t>
  </si>
  <si>
    <t>1、"Sys_ComIf" #150：新增CAN接收信号CanRx_HvBattActSOC；
2、"ComRx_Bus"  &amp; “SAM_Bus” &amp; “TCM_Bus” &amp; “CCM_Bus” P列数据类型更新为带有前缀的；</t>
  </si>
  <si>
    <t>Mu Wenjie</t>
  </si>
  <si>
    <t>2025.08.08</t>
  </si>
  <si>
    <t>TextTables
ADTTables</t>
  </si>
  <si>
    <t>1、"TextTables"  A列 &amp; “ADTTables” B列名字分别添加“TMS_Enum_”和“TMS_ADT_”前缀；</t>
  </si>
  <si>
    <t>2025.08.11</t>
  </si>
  <si>
    <t>Sys_ComIf</t>
  </si>
  <si>
    <t>1、"Sys_ComIf"  G列模型信号名称删除前缀，保持和矩阵信号命名一致；</t>
  </si>
  <si>
    <t>2025.08.19</t>
  </si>
  <si>
    <t>适配PufafengUIM接口更新模型接口</t>
  </si>
  <si>
    <t>LS</t>
  </si>
  <si>
    <t>2025.08.20</t>
  </si>
  <si>
    <t>新增占位接口
OccupantStsFL
OccupantStsFR
OccupantStsRL
OccupantStsRM
OccupantStsRR</t>
  </si>
  <si>
    <t>新增TCM_Bus 
TCM_DfgType
TCM_CabMode_FL
TCM_CabMode_FR
TCM_DesPwr
TCM_HeatSource_Cab</t>
  </si>
  <si>
    <t>新增AC充电信号
ACChrgSt
ACChrgnHndlSts</t>
  </si>
  <si>
    <t>2025.08.25</t>
  </si>
  <si>
    <t>Sys_IoIf</t>
  </si>
  <si>
    <t>新增19个RCP专用输入接口（温度传感器原始电阻kΩ，数据类型默认是double），适配RCP直接采样传感器电阻值，亦方便ASW直接进行RT值转换。</t>
  </si>
  <si>
    <t>UIM_Bus</t>
  </si>
  <si>
    <t>删除：
HMI_MaxHeatDsp_Fr
HMI_MaxACDsp_Rr
HMI_MaxHeatDsp_Rr
新增：
HMI_OutletMode_FL
HMI_OutletModeDsp_FL</t>
  </si>
  <si>
    <t>2025.08.29</t>
  </si>
  <si>
    <t>ADTTables</t>
  </si>
  <si>
    <t>#2列的TMS_ADT_Perc1的无符号fixdt(0,16,0.1,0)改成有符号fixdt(1,16,0.1,0)。</t>
  </si>
  <si>
    <t>2025.09.01</t>
  </si>
  <si>
    <t>SenCorr_Bus
SysReq_Bus
ComRx_Bus</t>
  </si>
  <si>
    <t>1、新增2个bus：“SenCorr_Bus”&amp;“SysReq_Bus”；
2、新增"ComRx_Bus" 中#213~253行UIM相关CAN输入（橘色部分）；</t>
  </si>
  <si>
    <t>按照水泵spec，更新“Sys_IoIf”中#60#63#66行J列故障信息。</t>
  </si>
  <si>
    <t>ComRx_Bus
TCM_Bus
CCM_Bus</t>
  </si>
  <si>
    <t>在Enum量前增加前缀“Enum:”，如“TMS_Enum_Flt”改为“Enum:TMS_Enum_Flt”。</t>
  </si>
  <si>
    <t>ComRx_Bus</t>
  </si>
  <si>
    <t>ComRx_TSet_FL
ComRx_TSet_FR
ComRx_TSet_RL数据类型改为 Uint16</t>
  </si>
  <si>
    <t>2025.09.02</t>
  </si>
  <si>
    <t>TCM_Bus</t>
  </si>
  <si>
    <t>1. TCM_EctvCmdVlvSpdLvlReq 更正数据类型
2. TCM_GrlAutoCalibReq 更正数据类型 Boolean -&gt; boolean</t>
  </si>
  <si>
    <t>2025.09.05</t>
  </si>
  <si>
    <t>增加#254#255行接口“ComRx_ACChrgSt”&amp;“ComRx_ACChrgnHndlSts”</t>
  </si>
  <si>
    <t>2025.09.24</t>
  </si>
  <si>
    <t>随DBC变更 新增以下接口
Cal_Sig_CooltT1Ena
Cal_Sig_CooltT1
Cal_Sig_CooltT2Ena
Cal_Sig_CooltT2
Cal_Sig_CooltT3Ena
Cal_Sig_CooltT3</t>
  </si>
  <si>
    <t>Linhongyi  Sheng</t>
  </si>
  <si>
    <t>inlet新增 coding值，0x3:  Auto</t>
  </si>
  <si>
    <t>2025.11.06</t>
  </si>
  <si>
    <t>No</t>
  </si>
  <si>
    <t>Request type</t>
  </si>
  <si>
    <t>Net</t>
  </si>
  <si>
    <t>Direction</t>
  </si>
  <si>
    <t>Mode Name</t>
  </si>
  <si>
    <t>Signal Short Name</t>
  </si>
  <si>
    <t>Model Signal Name</t>
  </si>
  <si>
    <t>BSW Name</t>
  </si>
  <si>
    <t>Signal Length(Bit)</t>
  </si>
  <si>
    <t>Signal Type</t>
  </si>
  <si>
    <t>Signal Initial Value</t>
  </si>
  <si>
    <t>Signal Range</t>
  </si>
  <si>
    <t>Signal Conversion</t>
  </si>
  <si>
    <t>Data Type</t>
  </si>
  <si>
    <t>InitialValue</t>
  </si>
  <si>
    <t>Alias Data Type</t>
  </si>
  <si>
    <t>Min</t>
  </si>
  <si>
    <t>Max</t>
  </si>
  <si>
    <t>Factor</t>
  </si>
  <si>
    <t>Offset</t>
  </si>
  <si>
    <t>Value Range</t>
  </si>
  <si>
    <t>Unit</t>
  </si>
  <si>
    <t>Enumerations</t>
  </si>
  <si>
    <t>Comment</t>
  </si>
  <si>
    <t>XCP_Sig</t>
  </si>
  <si>
    <t>EnumCheck</t>
  </si>
  <si>
    <t>是否在SDB中</t>
  </si>
  <si>
    <t>Tx</t>
  </si>
  <si>
    <t>0x0：Init
0x1：Manu
0x2：Auto
0x3：FastVent
0x4：MaxDef
0x5：MaxAC
0x6：MaxHeat
0x7：SmartClear
0x8：Off
0x9：PowerOff</t>
  </si>
  <si>
    <t>TX</t>
  </si>
  <si>
    <t>HMI_HMISts_Rr</t>
  </si>
  <si>
    <t>HMI_HMIOnSts_Fr</t>
  </si>
  <si>
    <t>0x0：Off
0x1：On</t>
  </si>
  <si>
    <t>HMI_HMIOnSts_Rr</t>
  </si>
  <si>
    <t>HMI_OnOffDsp_Fr</t>
  </si>
  <si>
    <t>HMI_OnOffDsp_Rr</t>
  </si>
  <si>
    <t>HMI_AutoManuDsp_Fr</t>
  </si>
  <si>
    <t>0x0：Auto
0x1：Not Auto</t>
  </si>
  <si>
    <t>HMI_AutoManuDsp_Rr</t>
  </si>
  <si>
    <t>HMI_MaxDefDsp</t>
  </si>
  <si>
    <t>HMI_MaxACDsp_Fr</t>
  </si>
  <si>
    <t>HMI_MaxHeatDsp_Fr</t>
  </si>
  <si>
    <t>HMI_FastVentDsp</t>
  </si>
  <si>
    <t>HMI_MaxACDsp_Rr</t>
  </si>
  <si>
    <t>HMI_MaxHeatDsp_Rr</t>
  </si>
  <si>
    <t>HMI_AC_Fr</t>
  </si>
  <si>
    <t>HMI_AC_Rr</t>
  </si>
  <si>
    <t>HMI_ACDsp_Fr</t>
  </si>
  <si>
    <t>HMI_ACDsp_Rr</t>
  </si>
  <si>
    <t>HMI_Heat_Fr</t>
  </si>
  <si>
    <t>HMI_Heat_Rr</t>
  </si>
  <si>
    <t>HMI_HeatDsp_Fr</t>
  </si>
  <si>
    <t>HMI_HeatDsp_Rr</t>
  </si>
  <si>
    <t>HMI_Vent_Fr</t>
  </si>
  <si>
    <t>HMI_Vent_Rr</t>
  </si>
  <si>
    <t>HMI_VentDsp_Fr</t>
  </si>
  <si>
    <t>HMI_VentDsp_Rr</t>
  </si>
  <si>
    <t>HMI_TSet_FL</t>
  </si>
  <si>
    <t>HMI_TSet_FR</t>
  </si>
  <si>
    <t>HMI_TSet_Rr</t>
  </si>
  <si>
    <t>HMI_TSetDsp_FL</t>
  </si>
  <si>
    <t>HMI_TSetDsp_FR</t>
  </si>
  <si>
    <t>HMI_TSetDsp_Rr</t>
  </si>
  <si>
    <t>HMI_WindLvl_FL</t>
  </si>
  <si>
    <t>0x0：Close
0x1：Level1
0x2：Level2
0x3：Level3
0x4：Level4
0x5：Level5
0x6：Level6
0x7：Level7
0x3E：MaxLevel
0x3F：Auto</t>
  </si>
  <si>
    <t>HMI_WindLvl_FR</t>
  </si>
  <si>
    <t>HMI_WindLvl_Rr</t>
  </si>
  <si>
    <t>HMI_WindLvlDsp_FL</t>
  </si>
  <si>
    <t>0x0：Close
0x1：Level1
0x2：Level2
0x3：Level3
0x4：Level4
0x5：Level5
0x6：Level6
0x7：Level7</t>
  </si>
  <si>
    <t>HMI_WindLvlDsp_FR</t>
  </si>
  <si>
    <t>HMI_WindLvlDsp_Rr</t>
  </si>
  <si>
    <t>HMI_OutletMode_Fr</t>
  </si>
  <si>
    <t>0x0：Reserved
0x1：Face
0x2：Bilevel
0x3：Foot
0x4：FootDefrost
0x5：Defrost
0x6：FaceDefrost
0x7：FaceFootDefrost
0x3F：Auto</t>
  </si>
  <si>
    <t>HMI_OutletMode_Rr</t>
  </si>
  <si>
    <t>0x0：Reserved
0x1：Face
0x2：Bilevel
0x3：Foot
0x3F：Auto</t>
  </si>
  <si>
    <t>HMI_OutletModeDsp_Fr</t>
  </si>
  <si>
    <t>0x0：Reserved
0x1：Face
0x2：Bilevel
0x3：Foot
0x4：FootDefrost
0x5：Defrost
0x6：FaceDefrost
0x7：FaceFootDefrost</t>
  </si>
  <si>
    <t>HMI_OutletModeDsp_Rr</t>
  </si>
  <si>
    <t>0x0：Reserved
0x1：Face
0x2：Bilevel
0x3：Foot</t>
  </si>
  <si>
    <t>HMI_Sync</t>
  </si>
  <si>
    <t>HMI_SyncDsp</t>
  </si>
  <si>
    <t>HMI_Inlet</t>
  </si>
  <si>
    <t>0x0：Reserved
0x1：Rec
0x2：Fresh
0x3F：Auto</t>
  </si>
  <si>
    <t>HMI_InletDsp</t>
  </si>
  <si>
    <t>HMI_ECO</t>
  </si>
  <si>
    <t>HMI_ECODsp</t>
  </si>
  <si>
    <t>HMI_AQS</t>
  </si>
  <si>
    <t>HMI_AQSDsp</t>
  </si>
  <si>
    <t>HMI_RrWndHet</t>
  </si>
  <si>
    <t>HMI_RrWndHetDsp</t>
  </si>
  <si>
    <t>HMI_CfgAutoWindLvl</t>
  </si>
  <si>
    <t>0x0：Close
0x1：Level1
0x2：Level2
0x3：Level3
0x4：Level4</t>
  </si>
  <si>
    <t>HMI_CfgAutoWindLvlDsp</t>
  </si>
  <si>
    <t>HMI_ACFrtPnlLckRrPnlDsp</t>
  </si>
  <si>
    <t>0x0：OFF
0x1：ON</t>
  </si>
  <si>
    <t>RX</t>
  </si>
  <si>
    <t>0x0：No Request
 0x1：OFF
0x2：ON</t>
  </si>
  <si>
    <t>0x0：No Request
0x1：Level1
0x2：Level2
0x3：Level3
0x4：Level4
0x5：Level5
0x6：Level6
0x7：Level7</t>
  </si>
  <si>
    <t>0x0：No Request
0x1：Face
0x2：Bilevel
0x3：Foot
0x4：FootDefrost
0x5：Defrost
0x6：FaceDefrost
0x7：FaceFootDefrost</t>
  </si>
  <si>
    <t>0x0：No Request
0x1：Rec
0x2：Fresh
0x3:  Auto</t>
  </si>
  <si>
    <t>Rx</t>
  </si>
  <si>
    <t>ComRx_CmptmtFrntWindDewT</t>
  </si>
  <si>
    <t>TMS_ADT_T1</t>
  </si>
  <si>
    <t>ComRx_CmptmtFrntWindT</t>
  </si>
  <si>
    <t>ComRx_CmptmtRelHum</t>
  </si>
  <si>
    <t>TMS_ADT_Hum1</t>
  </si>
  <si>
    <t>ComRx_RiSolarData</t>
  </si>
  <si>
    <t>uint16</t>
  </si>
  <si>
    <t>ComRx_LeSolarData</t>
  </si>
  <si>
    <t>ComRx_VehSpd</t>
  </si>
  <si>
    <t>TMS_ADT_V1</t>
  </si>
  <si>
    <t>ComRx_CarModSts</t>
  </si>
  <si>
    <t>Enum:TMS_Enum_CarModSts1</t>
  </si>
  <si>
    <t>ComRx_UsgModSts</t>
  </si>
  <si>
    <t>Enum:TMS_Enum_UsgModSts1</t>
  </si>
  <si>
    <t>ComRx_Cal_Sig_AmbTEna</t>
  </si>
  <si>
    <t>Enum:TMS_Enum_OnOff1</t>
  </si>
  <si>
    <t>ComRx_Cal_Sig_AmbT</t>
  </si>
  <si>
    <t>ComRx_Cal_Sig_InCarTEna</t>
  </si>
  <si>
    <t>ComRx_Cal_Sig_InCarT</t>
  </si>
  <si>
    <t>ComRx_Cal_Sig_HvacEvaprTFrntEna</t>
  </si>
  <si>
    <t>ComRx_Cal_Sig_HvacEvaprTFrntT</t>
  </si>
  <si>
    <t>ComRx_Cal_Sig_HvacEvaprTReEna</t>
  </si>
  <si>
    <t>ComRx_Cal_Sig_HvacEvaprTReT</t>
  </si>
  <si>
    <t>ComRx_Cal_Sig_HvacCondsorTFrntTEna</t>
  </si>
  <si>
    <t>ComRx_Cal_Sig_HvacCondsorTFrntT</t>
  </si>
  <si>
    <t>ComRx_Cal_Sig_CooltT1</t>
  </si>
  <si>
    <t>ComRx_Cal_Sig_CooltT2Ena</t>
  </si>
  <si>
    <t>ComRx_Cal_Sig_CooltT2</t>
  </si>
  <si>
    <t>ComRx_Cal_Sig_CooltT3Ena</t>
  </si>
  <si>
    <t>ComRx_Cal_Sig_CooltT3</t>
  </si>
  <si>
    <t>ComRx_HvBattThermRunAway</t>
  </si>
  <si>
    <t>Enum:TMS_Enum_OnOffSts</t>
  </si>
  <si>
    <t>ComRx_WhlMotCooltFlowMinReq</t>
  </si>
  <si>
    <t>TMS_ADT_Mf1</t>
  </si>
  <si>
    <t>ComRx_WhlMotSysCoolgReq</t>
  </si>
  <si>
    <t>Enum:TMS_Enum_HvCoolg1</t>
  </si>
  <si>
    <t>ComRx_WhlMotSysCooltT</t>
  </si>
  <si>
    <t>ComRx_WhlMotSysInvrT</t>
  </si>
  <si>
    <t>ComRx_WhlMotSysMotT</t>
  </si>
  <si>
    <t>ComRx_DCChrgSt</t>
  </si>
  <si>
    <t>Enum:TMS_Enum_DCChrgrSts</t>
  </si>
  <si>
    <t>ComRx_DCChrgnHndlSts</t>
  </si>
  <si>
    <t>Enum:TMS_Enum_OnBdChrgrHndlSts</t>
  </si>
  <si>
    <t>ComRx_HvBattCooltFlowReq</t>
  </si>
  <si>
    <t>ComRx_HvBattCooltMaxTReq</t>
  </si>
  <si>
    <t>ComRx_HvBattCooltMinTReq</t>
  </si>
  <si>
    <t>ComRx_HvBattCooltTReq</t>
  </si>
  <si>
    <t>ComRx_HvBattThermReq</t>
  </si>
  <si>
    <t>Enum:TMS_Enum_HvBattThermMod</t>
  </si>
  <si>
    <t>ComRx_HvBattTAvg</t>
  </si>
  <si>
    <t>ComRx_HvBattTMax</t>
  </si>
  <si>
    <t>ComRx_HvBattTMin</t>
  </si>
  <si>
    <t>ComRx_HvBattActSOC</t>
  </si>
  <si>
    <t>TMS_ADT_Perc1</t>
  </si>
  <si>
    <t>ComRx_HvSysRlyStsChks</t>
  </si>
  <si>
    <t>uint8</t>
  </si>
  <si>
    <t>ComRx_HvSysRlyStsCntr</t>
  </si>
  <si>
    <t>ComRx_HvSysRlyStsHvSysRlySts</t>
  </si>
  <si>
    <t>Enum:TMS_Enum_HvActvnSts</t>
  </si>
  <si>
    <t>ComRx_HvCmprPwrAllwd</t>
  </si>
  <si>
    <t>ComRx_HvHeatrPwrAllwd</t>
  </si>
  <si>
    <t>ComRx_FragGenErr</t>
  </si>
  <si>
    <t>ComRx_FragCh1AvlTi</t>
  </si>
  <si>
    <t>ComRx_FragCh1RunngSts</t>
  </si>
  <si>
    <t>ComRx_FragCh1Type</t>
  </si>
  <si>
    <t>ComRx_FragCh2AvlTi</t>
  </si>
  <si>
    <t>ComRx_FragCh2RunngSts</t>
  </si>
  <si>
    <t>ComRx_FragCh2Type</t>
  </si>
  <si>
    <t>ComRx_FragCh3AvlTi</t>
  </si>
  <si>
    <t>ComRx_FragCh3RunngSts</t>
  </si>
  <si>
    <t>ComRx_FragCh3Type</t>
  </si>
  <si>
    <t>ComRx_FragCh4AvlTi</t>
  </si>
  <si>
    <t>ComRx_FragCh4RunngSts</t>
  </si>
  <si>
    <t>ComRx_FragCh4Type</t>
  </si>
  <si>
    <t>ComRx_FragCh5AvlTi</t>
  </si>
  <si>
    <t>ComRx_FragCh5RunngSts</t>
  </si>
  <si>
    <t>ComRx_FragCh5Type</t>
  </si>
  <si>
    <t>ComRx_FragChgSts</t>
  </si>
  <si>
    <t>Enum:TMS_Enum_ChagSts</t>
  </si>
  <si>
    <t>ComRx_FragFanErr</t>
  </si>
  <si>
    <t>Enum:TMS_Enum_Err1</t>
  </si>
  <si>
    <t>ComRx_FragInitSts</t>
  </si>
  <si>
    <t>Enum:TMS_Enum_InitSts</t>
  </si>
  <si>
    <t>ComRx_FragLvlRspn</t>
  </si>
  <si>
    <t>Enum:TMS_Enum_RatUse</t>
  </si>
  <si>
    <t>ComRx_FragMot1Err</t>
  </si>
  <si>
    <t>ComRx_FragMot2Err</t>
  </si>
  <si>
    <t>ComRx_FragMot3Err</t>
  </si>
  <si>
    <t>ComRx_FragMot4Err</t>
  </si>
  <si>
    <t>ComRx_FragMot5Err</t>
  </si>
  <si>
    <t>ComRx_FragOvrVoltErr</t>
  </si>
  <si>
    <t>ComRx_FragTempErr</t>
  </si>
  <si>
    <t>Enum:TMS_Enum_TempErr</t>
  </si>
  <si>
    <t>ComRx_FragUndVoltErr</t>
  </si>
  <si>
    <t>ComRx_CmpmtInAirPmAQI</t>
  </si>
  <si>
    <t>Enum:TMS_Enum_CmpmtAirPmLvl</t>
  </si>
  <si>
    <t>ComRx_CmpmtInAirPmDnsty</t>
  </si>
  <si>
    <t>ComRx_InPm25FanErr</t>
  </si>
  <si>
    <t>Enum:TMS_Enum_FanErr</t>
  </si>
  <si>
    <t>ComRx_InPm25SensrIntErr</t>
  </si>
  <si>
    <t>Enum:TMS_Enum_VentnActr01UrgcExist</t>
  </si>
  <si>
    <t>ComRx_InPm25SnrTempErr</t>
  </si>
  <si>
    <t>ComRx_InPm25SnrVoltgRangErr</t>
  </si>
  <si>
    <t>Enum:TMS_Enum_PmSnrVoltgRangErr</t>
  </si>
  <si>
    <t>ComRx_InPm25SnsrElecErr</t>
  </si>
  <si>
    <t>Enum:TMS_Enum_PmSnsrErrSts</t>
  </si>
  <si>
    <t>ComRx_InPm25SnsrSts</t>
  </si>
  <si>
    <t>Enum:TMS_Enum_PmSnsrSts</t>
  </si>
  <si>
    <t>ComRx_CmprEEPROMFault</t>
  </si>
  <si>
    <t>Enum:TMS_Enum_Flt</t>
  </si>
  <si>
    <t>ComRx_CmprHVoltResonanceStat</t>
  </si>
  <si>
    <t>Enum:TMS_Enum_AcHVoltResonanceStat</t>
  </si>
  <si>
    <t>ComRx_CmprInCurrOverCurrStat</t>
  </si>
  <si>
    <t>ComRx_CmprLiquidSluggingStat</t>
  </si>
  <si>
    <t>ComRx_CmprLostCommStat</t>
  </si>
  <si>
    <t>ComRx_CmprMotorCurrOverCurrStat</t>
  </si>
  <si>
    <t>ComRx_CmprOverMotorCurrStat</t>
  </si>
  <si>
    <t>Enum:TMS_Enum_CompOverMotorCurrStat</t>
  </si>
  <si>
    <t>ComRx_CmprOverPowerStat</t>
  </si>
  <si>
    <t>Enum:TMS_Enum_CompOverPowerStat</t>
  </si>
  <si>
    <t>ComRx_CmprRAMFault</t>
  </si>
  <si>
    <t>ComRx_CmprROMFault</t>
  </si>
  <si>
    <t>ComRx_CmprRotorLockStat</t>
  </si>
  <si>
    <t>ComRx_CmprSpdIncrReq</t>
  </si>
  <si>
    <t>Enum:TMS_Enum_Validity</t>
  </si>
  <si>
    <t>ComRx_CmprDiagcFbCmprCmprSpdErr</t>
  </si>
  <si>
    <t>ComRx_CmprDiagcFbCmprCtrlrErr</t>
  </si>
  <si>
    <t>ComRx_CmprDiagcFbCmprDrvrCircSnsr</t>
  </si>
  <si>
    <t>ComRx_CmprDiagcFbCmprDrvrCircSnsrPlaus</t>
  </si>
  <si>
    <t>ComRx_CmprDiagcFbCmprHvSnsr1</t>
  </si>
  <si>
    <t>ComRx_CmprDiagcFbCmprHvSnsr2</t>
  </si>
  <si>
    <t>ComRx_CmprDiagcFbCmprHvSnsrI</t>
  </si>
  <si>
    <t>ComRx_CmprDiagcFbCmprHvSnsrICrct</t>
  </si>
  <si>
    <t>ComRx_CmprDiagcFbCmprHvSnsrIPlaus</t>
  </si>
  <si>
    <t>ComRx_CmprDiagcFbCmprHvSnsrPlaus</t>
  </si>
  <si>
    <t>ComRx_CmprDiagcFbCmprHvSplyErr</t>
  </si>
  <si>
    <t>ComRx_CmprDiagcFbCmprPhaseWire</t>
  </si>
  <si>
    <t>ComRx_CmprDiagcFbCmprT1</t>
  </si>
  <si>
    <t>ComRx_CmprDiagcFbCmprT2</t>
  </si>
  <si>
    <t>ComRx_CmprDiagcFbCmprTOperErr1</t>
  </si>
  <si>
    <t>ComRx_CmprDiagcFbCmprTOperErr2</t>
  </si>
  <si>
    <t>ComRx_CmprDiagcFbCmprTPlaus</t>
  </si>
  <si>
    <t>ComRx_CmprDiagcFbCmprUSplyErr</t>
  </si>
  <si>
    <t>ComRx_CmprFbCmprI</t>
  </si>
  <si>
    <t>TMS_ADT_Curr2</t>
  </si>
  <si>
    <t>ComRx_CmprFbCmprIPha</t>
  </si>
  <si>
    <t>TMS_ADT_Curr1</t>
  </si>
  <si>
    <t>ComRx_CmprFbCmprSpd</t>
  </si>
  <si>
    <t>ComRx_CmprFbCmprSts1</t>
  </si>
  <si>
    <t>Enum:TMS_Enum_CmprSts</t>
  </si>
  <si>
    <t>ComRx_CmprFbCmprSts2</t>
  </si>
  <si>
    <t>Enum:TMS_Enum_CompStat</t>
  </si>
  <si>
    <t>ComRx_CmprFbCmprT1</t>
  </si>
  <si>
    <t>ComRx_CmprFbCmprT2</t>
  </si>
  <si>
    <t>ComRx_CmprFbCmprU</t>
  </si>
  <si>
    <t>TMS_ADT_U2</t>
  </si>
  <si>
    <t>ComRx_HvCooltHeatrICnsSig</t>
  </si>
  <si>
    <t>ComRx_HvCooltHeatrInfoCompProtn</t>
  </si>
  <si>
    <t>ComRx_HvCooltHeatrSplyUForCtrlUnitValSig</t>
  </si>
  <si>
    <t>ComRx_HvCooltHeatrStsSig</t>
  </si>
  <si>
    <t>Enum:TMS_Enum_HvCooltHeatrSts</t>
  </si>
  <si>
    <t>ComRx_HvCooltWtrHeatrWtrTInIntk</t>
  </si>
  <si>
    <t>ComRx_HvCooltWtrHeatrWtrTInOutl</t>
  </si>
  <si>
    <t>ComRx_HvHeatrPwrCns</t>
  </si>
  <si>
    <t>ComRx_HvHeatrPwrCnsDes</t>
  </si>
  <si>
    <t>ComRx_HvCooltHeatrProtnOfSelfTmpSigHwProtn</t>
  </si>
  <si>
    <t>boolean</t>
  </si>
  <si>
    <t>ComRx_HvCooltHeatrProtnOfSelfTmpSigOvrheatg</t>
  </si>
  <si>
    <t>ComRx_HvCooltHeatrProtnOfSelfTmpSigProtnOfSelfTmp</t>
  </si>
  <si>
    <t>ComRx_HvCooltHeatrProtnOfSelfTmpSigProtnOfSelfTmpResd</t>
  </si>
  <si>
    <t>ComRx_HvCooltHeatrSnsrFltSigCooltTInSnsrFlt</t>
  </si>
  <si>
    <t>ComRx_HvCooltHeatrSnsrFltSigCooltTOutSnsrFlt</t>
  </si>
  <si>
    <t>ComRx_HvCooltHeatrSnsrFltSigResdForSnsrFlt</t>
  </si>
  <si>
    <t>ComRx_HvCooltHeatrSnsrFltSigTInMtrlSnsrFlt</t>
  </si>
  <si>
    <t>ComRx_HvCooltHeatrSrvRqrdSigCircForDrvrShoOrOpen</t>
  </si>
  <si>
    <t>ComRx_HvCooltHeatrSrvRqrdSigICnsOutOfRng</t>
  </si>
  <si>
    <t>ComRx_HvCooltHeatrSrvRqrdSigMemErr</t>
  </si>
  <si>
    <t>ComRx_HvCooltHeatrSrvRqrdSigSrvRqrd</t>
  </si>
  <si>
    <t>ComRx_HvCooltHeatrSrvRqrdSigSrvRqrdResd</t>
  </si>
  <si>
    <t>ComRx_HvCooltHeatrStsWhE2EChks</t>
  </si>
  <si>
    <t>ComRx_HvCooltHeatrStsWhE2ECntr</t>
  </si>
  <si>
    <t>ComRx_HvCooltHeatrStsWhE2EHvchSts</t>
  </si>
  <si>
    <t>ComRx_HvCooltHeatrWarnSigCooltTOutOfRng</t>
  </si>
  <si>
    <t>ComRx_HvCooltHeatrWarnSigFltInCom</t>
  </si>
  <si>
    <t>ComRx_HvCooltHeatrWarnSigFltPrsnt</t>
  </si>
  <si>
    <t>ComRx_HvCooltHeatrWarnSigFltPrsntResd</t>
  </si>
  <si>
    <t>ComRx_HvCooltHeatrWarnSigHvOutOfRng</t>
  </si>
  <si>
    <t>ComRx_HvCooltHeatrWarnSigULoOutOfRng</t>
  </si>
  <si>
    <t>ComRx_AGMNVMFlt</t>
  </si>
  <si>
    <t>ComRx_GrlActTrqBoost</t>
  </si>
  <si>
    <t>Enum:TMS_Enum_TorqueBoost</t>
  </si>
  <si>
    <t>ComRx_GrlHldTrqActive</t>
  </si>
  <si>
    <t>ComRx_GrlShttrMoveActive</t>
  </si>
  <si>
    <t>Enum:TMS_Enum_VlvRunSts</t>
  </si>
  <si>
    <t>ComRx_GrlShttrOverVolt</t>
  </si>
  <si>
    <t>ComRx_GrlShttrOvertravelErr</t>
  </si>
  <si>
    <t>ComRx_GrlShttrStsShttrActrFlt</t>
  </si>
  <si>
    <t>Enum:TMS_Enum_ShttrActrFlt</t>
  </si>
  <si>
    <t>ComRx_GrlShttrStsShttrBlkd</t>
  </si>
  <si>
    <t>Enum:TMS_Enum_ShttrBlkd</t>
  </si>
  <si>
    <t>ComRx_GrlShttrStsShttrCalActv</t>
  </si>
  <si>
    <t>Enum:TMS_Enum_ShttrCalActv</t>
  </si>
  <si>
    <t>ComRx_GrlShttrStsShttrCalIndcd</t>
  </si>
  <si>
    <t>Enum:TMS_Enum_ShttrCalIndcd</t>
  </si>
  <si>
    <t>ComRx_GrlShttrStsShttrElecErr</t>
  </si>
  <si>
    <t>Enum:TMS_Enum_ShttrElecErr</t>
  </si>
  <si>
    <t>ComRx_GrlShttrStsShttrPosnRaw</t>
  </si>
  <si>
    <t>ComRx_GrlShttrStsShttrSnsrFlt</t>
  </si>
  <si>
    <t>Enum:TMS_Enum_ShttrSnsrFlt</t>
  </si>
  <si>
    <t>ComRx_GrlShttrStsShttrTErr</t>
  </si>
  <si>
    <t>Enum:TMS_Enum_ShttrTErr</t>
  </si>
  <si>
    <t>ComRx_GrlShttrStsShttrULoErr</t>
  </si>
  <si>
    <t>Enum:TMS_Enum_ShttrULoErr</t>
  </si>
  <si>
    <t>ComRx_EexvStsExvActrPosn</t>
  </si>
  <si>
    <t>ComRx_EexvStsExvBlkErr</t>
  </si>
  <si>
    <t>ComRx_EexvStsExvCalibSts</t>
  </si>
  <si>
    <t>Enum:TMS_Enum_ExvCalibSts</t>
  </si>
  <si>
    <t>ComRx_EexvStsExvElecStsErr</t>
  </si>
  <si>
    <t>Enum:TMS_Enum_ExvElecStsErr</t>
  </si>
  <si>
    <t>ComRx_EexvStsExvMovSts</t>
  </si>
  <si>
    <t>Enum:TMS_Enum_ExvMovSts</t>
  </si>
  <si>
    <t>ComRx_EexvStsExvOvrTempErr</t>
  </si>
  <si>
    <t>ComRx_EexvStsExvOvrTrvlErr</t>
  </si>
  <si>
    <t>ComRx_EexvStsExvPreHeatgSts</t>
  </si>
  <si>
    <t>ComRx_EexvStsExvVoltgRangErr</t>
  </si>
  <si>
    <t>Enum:TMS_Enum_ExvVoltgRangErr</t>
  </si>
  <si>
    <t>ComRx_EexvNVMFlt</t>
  </si>
  <si>
    <t>ComRx_BexvStsExvActrPosn</t>
  </si>
  <si>
    <t>ComRx_BexvStsExvBlkErr</t>
  </si>
  <si>
    <t>ComRx_BexvStsExvCalibSts</t>
  </si>
  <si>
    <t>ComRx_BexvStsExvElecStsErr</t>
  </si>
  <si>
    <t>ComRx_BexvStsExvMovSts</t>
  </si>
  <si>
    <t>ComRx_BexvStsExvOvrTempErr</t>
  </si>
  <si>
    <t>ComRx_BexvStsExvOvrTrvlErr</t>
  </si>
  <si>
    <t>ComRx_BexvStsExvPreHeatgSts</t>
  </si>
  <si>
    <t>ComRx_BexvStsExvVoltgRangErr</t>
  </si>
  <si>
    <t>ComRx_BexvNVMFlt</t>
  </si>
  <si>
    <t>ComRx_CexvStsExvActrPosn</t>
  </si>
  <si>
    <t>ComRx_CexvStsExvBlkErr</t>
  </si>
  <si>
    <t>ComRx_CexvStsExvCalibSts</t>
  </si>
  <si>
    <t>ComRx_CexvStsExvElecStsErr</t>
  </si>
  <si>
    <t>ComRx_CexvStsExvMovSts</t>
  </si>
  <si>
    <t>ComRx_CexvStsExvOvrTempErr</t>
  </si>
  <si>
    <t>ComRx_CexvStsExvOvrTrvlErr</t>
  </si>
  <si>
    <t>ComRx_CexvStsExvPreHeatgSts</t>
  </si>
  <si>
    <t>ComRx_CexvStsExvVoltgRangErr</t>
  </si>
  <si>
    <t>ComRx_CexvNVMFlt</t>
  </si>
  <si>
    <t>ComRx_BctvNVMFlt</t>
  </si>
  <si>
    <t>ComRx_HpBattVlvFltSts</t>
  </si>
  <si>
    <t>Enum:TMS_Enum_FaultSts</t>
  </si>
  <si>
    <t>ComRx_HpBattVlvMode</t>
  </si>
  <si>
    <t>Enum:TMS_Enum_VlvMode</t>
  </si>
  <si>
    <t>ComRx_HpBattVlvPosRec</t>
  </si>
  <si>
    <t>ComRx_HpBattVlvRunSts</t>
  </si>
  <si>
    <t>ComRx_HpBattVlvSpdLvl</t>
  </si>
  <si>
    <t>Enum:TMS_Enum_SpeedLvl</t>
  </si>
  <si>
    <t>ComRx_HpBattVlvTempSts</t>
  </si>
  <si>
    <t>Enum:TMS_Enum_TempSts</t>
  </si>
  <si>
    <t>ComRx_HpBattVlvVoltSts</t>
  </si>
  <si>
    <t>Enum:TMS_Enum_VoltSts</t>
  </si>
  <si>
    <t>ComRx_BcfvNVMFlt</t>
  </si>
  <si>
    <t>ComRx_HpBattFwvFltSts</t>
  </si>
  <si>
    <t>ComRx_HpBattFwvMode</t>
  </si>
  <si>
    <t>ComRx_HpBattFwvPosRec</t>
  </si>
  <si>
    <t>ComRx_HpBattFwvRunSts</t>
  </si>
  <si>
    <t>ComRx_HpBattFwvSpdLvl</t>
  </si>
  <si>
    <t>ComRx_HpBattFwvTempSts</t>
  </si>
  <si>
    <t>ComRx_HpBattFwvVoltSts</t>
  </si>
  <si>
    <t>ComRx_EctvStatVlvFaultSts</t>
  </si>
  <si>
    <t>Enum:TMS_Enum_VlvFaultSts</t>
  </si>
  <si>
    <t>ComRx_EctvStatVlvPosSts</t>
  </si>
  <si>
    <t>Enum:TMS_Enum_VlvPosSts</t>
  </si>
  <si>
    <t>ComRx_EctvStatVlvRunSts</t>
  </si>
  <si>
    <t>ComRx_EctvStatVlvSpdLvl</t>
  </si>
  <si>
    <t>Enum:TMS_Enum_VlvSpdLvl</t>
  </si>
  <si>
    <t>ComRx_EctvStatVlvTempSts</t>
  </si>
  <si>
    <t>Enum:TMS_Enum_VlvTempSts</t>
  </si>
  <si>
    <t>ComRx_EctvStatVoltSts</t>
  </si>
  <si>
    <t> </t>
  </si>
  <si>
    <t>ComRx_OnOffReq_FL</t>
  </si>
  <si>
    <t>ComRx_OnOffReq_FR</t>
  </si>
  <si>
    <t>ComRx_OnOffReq_RL</t>
  </si>
  <si>
    <t>ComRx_AutoReq_FL</t>
  </si>
  <si>
    <t>ComRx_AutoReq_FR</t>
  </si>
  <si>
    <t>ComRx_AutoReq_RL</t>
  </si>
  <si>
    <t>ComRx_MaxDefReq</t>
  </si>
  <si>
    <t>ComRx_FastVent</t>
  </si>
  <si>
    <t>ComRx_MaxACReq</t>
  </si>
  <si>
    <t>ComRx_MaxHeatReq</t>
  </si>
  <si>
    <t>ComRx_SmartClearReq</t>
  </si>
  <si>
    <t>ComRx_ACReq_FL</t>
  </si>
  <si>
    <t>ComRx_ACReq_FR</t>
  </si>
  <si>
    <t>ComRx_ACReq_RL</t>
  </si>
  <si>
    <t>ComRx_HeatReq_FL</t>
  </si>
  <si>
    <t>ComRx_HeatReq_FR</t>
  </si>
  <si>
    <t>ComRx_HeatReq_RL</t>
  </si>
  <si>
    <t>ComRx_VentReq_FL</t>
  </si>
  <si>
    <t>ComRx_VentReq_FR</t>
  </si>
  <si>
    <t>ComRx_VentReq_RL</t>
  </si>
  <si>
    <t>ComRx_TSet_FL</t>
  </si>
  <si>
    <t>ComRx_TSet_FR</t>
  </si>
  <si>
    <t>ComRx_TSet_RL</t>
  </si>
  <si>
    <t>ComRx_WindLvl_FL</t>
  </si>
  <si>
    <t>ComRx_WindLvl_FR</t>
  </si>
  <si>
    <t>ComRx_WindLvl_RL</t>
  </si>
  <si>
    <t>ComRx_OutletMode_FL</t>
  </si>
  <si>
    <t>ComRx_OutletMode_FR</t>
  </si>
  <si>
    <t>ComRx_OutletMode_RL</t>
  </si>
  <si>
    <t>ComRx_Sync</t>
  </si>
  <si>
    <t>ComRx_Inlet</t>
  </si>
  <si>
    <t>ComRx_ECO</t>
  </si>
  <si>
    <t>ComRx_AQS</t>
  </si>
  <si>
    <t>ComRx_RrWndHet</t>
  </si>
  <si>
    <t>ComRx_CfgAutoWindLvl</t>
  </si>
  <si>
    <t>ComRx_ACFrtPnlLckRrPnl</t>
  </si>
  <si>
    <t>ComRx_OccupantStsFL</t>
  </si>
  <si>
    <t>ComRx_OccupantStsFR</t>
  </si>
  <si>
    <t>ComRx_OccupantStsRL</t>
  </si>
  <si>
    <t>ComRx_OccupantStsRM</t>
  </si>
  <si>
    <t>ComRx_OccupantStsRR</t>
  </si>
  <si>
    <t>ComRx_ACChrgSt</t>
  </si>
  <si>
    <t>ComRx_ACChrgnHndlSts</t>
  </si>
  <si>
    <t>HMI_HMISts_Fr</t>
  </si>
  <si>
    <t>TMS_ADT_DT_Temp</t>
  </si>
  <si>
    <t>HMI_OutletMode_FL</t>
  </si>
  <si>
    <t>HMI_OutletMode_FR</t>
  </si>
  <si>
    <t>HMI_OutletModeDsp_FL</t>
  </si>
  <si>
    <t>SAM_FrntBlwActSpd</t>
  </si>
  <si>
    <t>TMS_ADT_Rev1</t>
  </si>
  <si>
    <t>SAM_ReBlwActSpd</t>
  </si>
  <si>
    <t>SAM_FrntLeModMotActPosn</t>
  </si>
  <si>
    <t>SAM_FrntRiModMotActPosn</t>
  </si>
  <si>
    <t>SAM_FrntLeMixMotActPosn</t>
  </si>
  <si>
    <t>SAM_FrntRiMixMotActPosn</t>
  </si>
  <si>
    <t>SAM_OsaRecMotActPosn</t>
  </si>
  <si>
    <t>SAM_ReLeModMotActPosn</t>
  </si>
  <si>
    <t>SAM_ReLeMixMotActPosn</t>
  </si>
  <si>
    <t>SAM_FrntCbnTFil</t>
  </si>
  <si>
    <t>SAM_FrntHexTFil</t>
  </si>
  <si>
    <t>SAM_FrntEvapTFil</t>
  </si>
  <si>
    <t>SAM_FrntLeFaceTFil</t>
  </si>
  <si>
    <t>SAM_FrntLeFootTFil</t>
  </si>
  <si>
    <t>SAM_FrntRiFaceTFil</t>
  </si>
  <si>
    <t>SAM_FrntRiFootTFil</t>
  </si>
  <si>
    <t>SAM_ReLeFaceTFil</t>
  </si>
  <si>
    <t>SAM_ReLeFootTFil</t>
  </si>
  <si>
    <t>SAM_AmbTFil</t>
  </si>
  <si>
    <t>SAM_FrntCbnTQf</t>
  </si>
  <si>
    <t>SAM_HexTQf</t>
  </si>
  <si>
    <t>SAM_FrntEvapTQf</t>
  </si>
  <si>
    <t>SAM_FrntLeFaceTQf</t>
  </si>
  <si>
    <t>SAM_FrntLeFootTQf</t>
  </si>
  <si>
    <t>SAM_FrntRiFaceTQf</t>
  </si>
  <si>
    <t>SAM_FrntRiFootTQf</t>
  </si>
  <si>
    <t>SAM_ReLeFaceTQf</t>
  </si>
  <si>
    <t>SAM_ReLeFootTQf</t>
  </si>
  <si>
    <t>SAM_AmbTQf</t>
  </si>
  <si>
    <t>SAM_EnvtAQSActPwm</t>
  </si>
  <si>
    <t>SAM_EnvtAQSQf</t>
  </si>
  <si>
    <t>SAM_RfgP1Fil</t>
  </si>
  <si>
    <t>TMS_ADT_P1</t>
  </si>
  <si>
    <t>SAM_RfgT1Fil</t>
  </si>
  <si>
    <t>SAM_RfgT2Fil</t>
  </si>
  <si>
    <t>SAM_RfgT3Fil</t>
  </si>
  <si>
    <t>SAM_RfgT4Fil</t>
  </si>
  <si>
    <t>SAM_RfgPT1PFil</t>
  </si>
  <si>
    <t>SAM_RfgPT1TFil</t>
  </si>
  <si>
    <t>SAM_CooltT1Fil</t>
  </si>
  <si>
    <t>SAM_CooltT2Fil</t>
  </si>
  <si>
    <t>SAM_CooltT3Fil</t>
  </si>
  <si>
    <t>SAM_CooltT4Fil</t>
  </si>
  <si>
    <t>SAM_RfgP1Qf</t>
  </si>
  <si>
    <t>SAM_RfgT1Qf</t>
  </si>
  <si>
    <t>SAM_RfgT2Qf</t>
  </si>
  <si>
    <t>SAM_RfgT3Qf</t>
  </si>
  <si>
    <t>SAM_RfgT4Qf</t>
  </si>
  <si>
    <t>SAM_RfgPT1PQf</t>
  </si>
  <si>
    <t>SAM_RfgPT1TQf</t>
  </si>
  <si>
    <t>SAM_CooltT1Qf</t>
  </si>
  <si>
    <t>SAM_CooltT2Qf</t>
  </si>
  <si>
    <t>SAM_CooltT3Qf</t>
  </si>
  <si>
    <t>SAM_CooltT4Qf</t>
  </si>
  <si>
    <t>SAM_FrntBlwFltSts</t>
  </si>
  <si>
    <t>SAM_ReBlwFltSts</t>
  </si>
  <si>
    <t>SAM_FrntLeModMotRunSts</t>
  </si>
  <si>
    <t>SAM_FrntRiModMotRunSts</t>
  </si>
  <si>
    <t>SAM_FrntLeMixMotRunSts</t>
  </si>
  <si>
    <t>SAM_FrntRiMixMotRunSts</t>
  </si>
  <si>
    <t>SAM_OsaRecMotRunSts</t>
  </si>
  <si>
    <t>SAM_ReLeModMotRunSts</t>
  </si>
  <si>
    <t>SAM_ReLeMixMotRunSts</t>
  </si>
  <si>
    <t>SAM_FrntLeModMotFltSts</t>
  </si>
  <si>
    <t>SAM_FrntRiModMotFltSts</t>
  </si>
  <si>
    <t>SAM_FrntLeMixMotFltSts</t>
  </si>
  <si>
    <t>SAM_FrntRiMixMotFltSts</t>
  </si>
  <si>
    <t>SAM_OsaRecMotFltSts</t>
  </si>
  <si>
    <t>SAM_ReLeModMotFltSts</t>
  </si>
  <si>
    <t>SAM_ReLeMixMotFltSts</t>
  </si>
  <si>
    <t>SAM_FrntCbnTFanFltSts</t>
  </si>
  <si>
    <t>SAM_ClimtRlyFltSts</t>
  </si>
  <si>
    <t>SAM_ClimtPwrRlyFltSts</t>
  </si>
  <si>
    <t>SAM_HvBattPmpFltSts</t>
  </si>
  <si>
    <t>SAM_EldtPmpFltSts</t>
  </si>
  <si>
    <t>SAM_HeatrPmpFltSts</t>
  </si>
  <si>
    <t>SAM_CoolgFanFltSts</t>
  </si>
  <si>
    <t>SAM_SOV1OnoffSts</t>
  </si>
  <si>
    <t>SAM_SOV2OnoffSts</t>
  </si>
  <si>
    <t>SAM_SOV3OnoffSts</t>
  </si>
  <si>
    <t>SAM_SOV1FltSts</t>
  </si>
  <si>
    <t>SAM_SOV2FltSts</t>
  </si>
  <si>
    <t>SAM_SOV3FltSts</t>
  </si>
  <si>
    <t>SAM_ThermPwr1FltSts</t>
  </si>
  <si>
    <t>SAM_ThermPwr2FltSts</t>
  </si>
  <si>
    <t>SAM_ThermPwr3FltSts</t>
  </si>
  <si>
    <t>SAM_CoolgFanRlyFltSts</t>
  </si>
  <si>
    <t>SAM_PmpRlyFltSts</t>
  </si>
  <si>
    <t>DDM/COM</t>
  </si>
  <si>
    <t>TCM_HvBattPmpTarDuty</t>
  </si>
  <si>
    <t>TCM_EldtPmpTarDuty</t>
  </si>
  <si>
    <t>TCM_HeatrPmpTarDuty</t>
  </si>
  <si>
    <t>DDM</t>
  </si>
  <si>
    <t>TCM_CoolgFanTarDuty</t>
  </si>
  <si>
    <t>TCM_SOV1OnOffCmd</t>
  </si>
  <si>
    <t>TCM_SOV2OnOffCmd</t>
  </si>
  <si>
    <t>TCM_SOV3OnOffCmd</t>
  </si>
  <si>
    <t>ACCM</t>
  </si>
  <si>
    <t>TCM_CmprReqCmprPwrLim</t>
  </si>
  <si>
    <t>TCM_CmprReqCmprRunReq</t>
  </si>
  <si>
    <t>Enum:TMS_Enum_CmprRunReq</t>
  </si>
  <si>
    <t>TCM_CmprReqCmprSpdReq</t>
  </si>
  <si>
    <t>HVCH</t>
  </si>
  <si>
    <t>TCM_CooltFlowInCmptmtCirc</t>
  </si>
  <si>
    <t>TMS_ADT_Mf2</t>
  </si>
  <si>
    <t>制冷剂流量</t>
  </si>
  <si>
    <t>TCM_HvCooltHeatrEnad</t>
  </si>
  <si>
    <t>TCM_HvWtrHeatrPwrCnsAllwd</t>
  </si>
  <si>
    <t>TCM_HvWtrHeatrWtrTDes</t>
  </si>
  <si>
    <t>AGM</t>
  </si>
  <si>
    <t>TCM_GrlAutoCalibReq</t>
  </si>
  <si>
    <t>TCM_GrlTrqBoostReq</t>
  </si>
  <si>
    <t>TCM_GrlShttrDmdShttrCalEna</t>
  </si>
  <si>
    <t>Enum:TMS_Enum_ShttrCalEna</t>
  </si>
  <si>
    <t>TCM_GrlShttrDmdShttrPosnReq</t>
  </si>
  <si>
    <t>EEXV</t>
  </si>
  <si>
    <t>TCM_EexvPosnReqExvCalibReq</t>
  </si>
  <si>
    <t>Enum:TMS_Enum_ExvCalibReq</t>
  </si>
  <si>
    <t>TCM_EexvPosnReqExvHeatdReq</t>
  </si>
  <si>
    <t>Enum:TMS_Enum_ExvHeatdReq</t>
  </si>
  <si>
    <t>exv加热请求</t>
  </si>
  <si>
    <t>TCM_EexvPosnReqExvMovEnable</t>
  </si>
  <si>
    <t>Enum:TMS_Enum_ExvMovEnable</t>
  </si>
  <si>
    <t>TCM_EexvPosnReqExvPosnReq</t>
  </si>
  <si>
    <t>BEXV</t>
  </si>
  <si>
    <t>TCM_BexvPosnReqExvCalibReq</t>
  </si>
  <si>
    <t>TCM_BexvPosnReqExvHeatdReq</t>
  </si>
  <si>
    <t>TCM_BexvPosnReqExvMovEnable</t>
  </si>
  <si>
    <t>TCM_BexvPosnReqExvPosnReq</t>
  </si>
  <si>
    <t>CEXV</t>
  </si>
  <si>
    <t>TCM_CexvPosnReqExvCalibReq</t>
  </si>
  <si>
    <t>TCM_CexvPosnReqExvHeatdReq</t>
  </si>
  <si>
    <t>TCM_CexvPosnReqExvMovEnable</t>
  </si>
  <si>
    <t>TCM_CexvPosnReqExvPosnReq</t>
  </si>
  <si>
    <t>BCTV</t>
  </si>
  <si>
    <t>TCM_HpBattVlvActvSaveReq</t>
  </si>
  <si>
    <t>Enum:TMS_Enum_ActiveSaveReq</t>
  </si>
  <si>
    <t>电源关闭前电池三通阀保存的阀位置</t>
  </si>
  <si>
    <t>TCM_HpBattVlvPosSetReq</t>
  </si>
  <si>
    <t>电池三通阀位置请求</t>
  </si>
  <si>
    <t>TCM_HpBattVlvRefDrvReq</t>
  </si>
  <si>
    <t>Enum:TMS_Enum_RefDrvReq</t>
  </si>
  <si>
    <t>电池三通阀自学习请求</t>
  </si>
  <si>
    <t>TCM_HpBattVlvSpdLvlReq</t>
  </si>
  <si>
    <t>Enum:TMS_Enum_SpdLvlReq</t>
  </si>
  <si>
    <t>电池三通阀移动速度要求</t>
  </si>
  <si>
    <t>BCFV</t>
  </si>
  <si>
    <t>TCM_HpBattFwvActvSaveReq</t>
  </si>
  <si>
    <t>TCM_HpBattFwvPosSetReq</t>
  </si>
  <si>
    <t>TCM_HpBattFwvRefDrvReq</t>
  </si>
  <si>
    <t>TCM_HpBattFwvSpdLvlReq</t>
  </si>
  <si>
    <t>ECRV</t>
  </si>
  <si>
    <t>TCM_EctvCmdVlvMovEna</t>
  </si>
  <si>
    <t>Enum:TMS_Enum_VlvMovEna</t>
  </si>
  <si>
    <t>TCM_EctvCmdVlvPosSetReq</t>
  </si>
  <si>
    <t>Enum:TMS_Enum_VlvPosSetReq</t>
  </si>
  <si>
    <t>TCM_EctvCmdVlvSpdLvlReq</t>
  </si>
  <si>
    <t>TCM_HvCooltHeatrEnadWhE2EHvchEnad</t>
  </si>
  <si>
    <t>高压冷却液加热器使能</t>
  </si>
  <si>
    <t>COM</t>
  </si>
  <si>
    <t>TCM_WhlMotCooltFlwEstimd</t>
  </si>
  <si>
    <t>电机估计冷却剂流量</t>
  </si>
  <si>
    <t>TCM_HvBattCooltFlwEstimd</t>
  </si>
  <si>
    <t>电池估计冷却剂流量</t>
  </si>
  <si>
    <t>TCM_HvBattThermReqFb</t>
  </si>
  <si>
    <t>Enum:TMS_Enum_HvBattThermReqFb</t>
  </si>
  <si>
    <t>电池加热请求反馈</t>
  </si>
  <si>
    <t>TCM_HvCmprNormPwrDes</t>
  </si>
  <si>
    <t>邮件有写</t>
  </si>
  <si>
    <t>TCM_HvHeatrNormPwrDes</t>
  </si>
  <si>
    <t>TCM_HvCmprCritPwrDes</t>
  </si>
  <si>
    <t>TCM_HvHeatrCritPwrDes</t>
  </si>
  <si>
    <t>TCM_ThermDeiceReq</t>
  </si>
  <si>
    <t>Enum:TMS_Enum_DeiceReq</t>
  </si>
  <si>
    <t>TCM_ThermRfgModReq</t>
  </si>
  <si>
    <t>Enum:TMS_Enum_HeatPmpModCmd</t>
  </si>
  <si>
    <t>TCM_ThermRfgModSts</t>
  </si>
  <si>
    <t>TCM_ThermRfgModSwtSts</t>
  </si>
  <si>
    <t>Enum:TMS_Enum_ClimaSts</t>
  </si>
  <si>
    <t>TCM_ThermCooltModReq</t>
  </si>
  <si>
    <t>TCM_ThermCooltModSts</t>
  </si>
  <si>
    <t>TCM_ThermCooltModSwtSts</t>
  </si>
  <si>
    <t>TCM_CRFMAirMFlwEstimd</t>
  </si>
  <si>
    <t>TCM_CRFMAirQFlwEstimd</t>
  </si>
  <si>
    <t>前端模块体积流量</t>
  </si>
  <si>
    <t>TCM_ThermCptsSts</t>
  </si>
  <si>
    <t>uint32</t>
  </si>
  <si>
    <t>零部件故障状态（每一位代表零部件是否有Err，具体的bit位TBD）</t>
  </si>
  <si>
    <t>TCM_ThermProtnSts</t>
  </si>
  <si>
    <t>零部件保护状态（每一位代表零部件是否有保护，具体的bit位TBD）</t>
  </si>
  <si>
    <t>TCM_ThermSysSts</t>
  </si>
  <si>
    <t>系统状态（具体的Bit位TBD）</t>
  </si>
  <si>
    <t>TCM_RsvdSigForTherm01</t>
  </si>
  <si>
    <t>TCM_RsvdSigForTherm02</t>
  </si>
  <si>
    <t>TCM_RsvdSigForTherm03</t>
  </si>
  <si>
    <t>TCM_RsvdSigForTherm04</t>
  </si>
  <si>
    <t>TCM_RsvdSigForTherm05</t>
  </si>
  <si>
    <t>TCM_RsvdSigForTherm06</t>
  </si>
  <si>
    <t>TCM_RsvdSigForTherm07</t>
  </si>
  <si>
    <t>TCM_RsvdSigForTherm08</t>
  </si>
  <si>
    <t>TCM_RsvdSigForTherm09</t>
  </si>
  <si>
    <t>TCM_RsvdSigForTherm10</t>
  </si>
  <si>
    <t>TCM_RsvdSigForTherm11</t>
  </si>
  <si>
    <t>TCM_RsvdSigForTherm12</t>
  </si>
  <si>
    <t>TCM_RsvdSigForTherm13</t>
  </si>
  <si>
    <t>TCM_RsvdSigForTherm14</t>
  </si>
  <si>
    <t>TCM_RsvdSigForTherm15</t>
  </si>
  <si>
    <t>TCM_RsvdSigForTherm16</t>
  </si>
  <si>
    <t>TCM_RsvdSigForTherm17</t>
  </si>
  <si>
    <t>TCM_RsvdSigForTherm18</t>
  </si>
  <si>
    <t>TCM_RsvdSigForTherm19</t>
  </si>
  <si>
    <t>TCM_RsvdSigForTherm20</t>
  </si>
  <si>
    <t>TCM_RsvdSigForTherm21</t>
  </si>
  <si>
    <t>TCM_RsvdSigForTherm22</t>
  </si>
  <si>
    <t>TCM_RsvdSigForTherm23</t>
  </si>
  <si>
    <t>TCM_DfgType</t>
  </si>
  <si>
    <t>TCM_CabMode_FL</t>
  </si>
  <si>
    <t>TCM_CabMode_FR</t>
  </si>
  <si>
    <t>TCM_DesPwr</t>
  </si>
  <si>
    <t>int16</t>
  </si>
  <si>
    <t>TCM_HeatSource_Cab</t>
  </si>
  <si>
    <t>CCM_FrntBlwTgtDuty</t>
  </si>
  <si>
    <t>CCM_FrntLeModMotTarPosn</t>
  </si>
  <si>
    <t>Enum:TMS_Enum_HmiCmptmtAirDistbnFrnt</t>
  </si>
  <si>
    <t>CCM_FrntRiModMotTarPosn</t>
  </si>
  <si>
    <t>CCM_FrntLeMixMotTarPosn</t>
  </si>
  <si>
    <t>CCM_FrntRiMixMotTarPosn</t>
  </si>
  <si>
    <t>CCM_OsaMotTarPosn</t>
  </si>
  <si>
    <t>CCM_RecMotTarPosn</t>
  </si>
  <si>
    <t>CCM_ReLeModMotTarPosn</t>
  </si>
  <si>
    <t>CCM_ReRiModMotTarPosn</t>
  </si>
  <si>
    <t>CCM_ReLeMixMotTarPosn</t>
  </si>
  <si>
    <t>CCM_ReRiMixMotTarPosn</t>
  </si>
  <si>
    <t>CCM_DefrstMotTarPosn</t>
  </si>
  <si>
    <t>CCM_AutoDeHumPopUp</t>
  </si>
  <si>
    <t>Enum:TMS_Enum_ReqSts1</t>
  </si>
  <si>
    <t>弹出车厢自动除湿到HMI系统。</t>
  </si>
  <si>
    <t>CCM_AutoDefrstPopUp</t>
  </si>
  <si>
    <t>自动除霜请求弹出。</t>
  </si>
  <si>
    <t>CCM_AutoFreshPopUp</t>
  </si>
  <si>
    <t>自动循环请求弹出。</t>
  </si>
  <si>
    <t>CCM_ClimaDefrstSts</t>
  </si>
  <si>
    <t>CCM_ClimaDefrstMaxSts</t>
  </si>
  <si>
    <t>CCM_HvacAirMFlwFrntEstimd</t>
  </si>
  <si>
    <t>质量风量</t>
  </si>
  <si>
    <t>CCM_HvacAirMFlwReEstimd</t>
  </si>
  <si>
    <t>CCM_HvacAirQFlwFrntEstimd</t>
  </si>
  <si>
    <t>体积风量</t>
  </si>
  <si>
    <t>CCM_HvacAirQFlwReEstimd</t>
  </si>
  <si>
    <t>COM/TCM</t>
  </si>
  <si>
    <t>CCM_HvacCoolgEnaFrnt</t>
  </si>
  <si>
    <t>CCM_HvacCoolgEnaRe</t>
  </si>
  <si>
    <t>CCM_HvacEvaprTSpFrnt</t>
  </si>
  <si>
    <t>目标蒸发器温度</t>
  </si>
  <si>
    <t>CCM_HvacEvaprTSpRe</t>
  </si>
  <si>
    <t>CCM_HvacRecircActRat</t>
  </si>
  <si>
    <t>CCM_HvacTgtAirTForRowFirstLe</t>
  </si>
  <si>
    <t>目标出风温度</t>
  </si>
  <si>
    <t>CCM_HvacTgtAirTForRowFirstRi</t>
  </si>
  <si>
    <t>CCM_HvacTgtAirTForRowSecLe</t>
  </si>
  <si>
    <t>CCM_HvacTgtAirTForRowSecRi</t>
  </si>
  <si>
    <t>CCM_AmbTEstimdAmbTEstimd</t>
  </si>
  <si>
    <t>环境温度预估值</t>
  </si>
  <si>
    <t>CCM_CmptmtTFrntCmptmtTFrnt</t>
  </si>
  <si>
    <t>前排车内温度</t>
  </si>
  <si>
    <t>CCM_CmptmtTFrntFanForCmptmtTRunng</t>
  </si>
  <si>
    <t>Enum:TMS_Enum_Flg1</t>
  </si>
  <si>
    <t>前排车内温度风扇运转状态</t>
  </si>
  <si>
    <t>CCM_CmptmtTReCmptmtTFrnt</t>
  </si>
  <si>
    <t>后排车内温度</t>
  </si>
  <si>
    <t>CCM_CmptmtTReFanForCmptmtTRunng</t>
  </si>
  <si>
    <t>后排车内温度风扇运转状态</t>
  </si>
  <si>
    <t>CCM_HvacCondsorTspFrntTHvac</t>
  </si>
  <si>
    <t>目标冷凝器温度</t>
  </si>
  <si>
    <t>CCM_ClimaThermReq</t>
  </si>
  <si>
    <t>Enum:TMS_Enum_ModeCmptHp</t>
  </si>
  <si>
    <t>热泵模式请求</t>
  </si>
  <si>
    <t>CCM_ClimaThermSts</t>
  </si>
  <si>
    <t>热泵模式状态</t>
  </si>
  <si>
    <t>CCM_HvacAirTHvacIntkT</t>
  </si>
  <si>
    <t>进风温度计算</t>
  </si>
  <si>
    <t>CCM_RsvdSigForClima01</t>
  </si>
  <si>
    <t>预留观测量信号01，发到CAN上</t>
  </si>
  <si>
    <t>CCM_RsvdSigForClima02</t>
  </si>
  <si>
    <t>CCM_RsvdSigForClima03</t>
  </si>
  <si>
    <t>CCM_RsvdSigForClima04</t>
  </si>
  <si>
    <t>CCM_RsvdSigForClima05</t>
  </si>
  <si>
    <t>CCM_RsvdSigForClima06</t>
  </si>
  <si>
    <t>CCM_RsvdSigForClima07</t>
  </si>
  <si>
    <t>CCM_RsvdSigForClima08</t>
  </si>
  <si>
    <t>CCM_RsvdSigForClima09</t>
  </si>
  <si>
    <t>CCM_RsvdSigForClima10</t>
  </si>
  <si>
    <t>CCM_RsvdSigForClima11</t>
  </si>
  <si>
    <t>CCM_RsvdSigForClima12</t>
  </si>
  <si>
    <t>CCM_RsvdSigForClima13</t>
  </si>
  <si>
    <t>CCM_RsvdSigForClima14</t>
  </si>
  <si>
    <t>CCM_RsvdSigForClima15</t>
  </si>
  <si>
    <t>CCM_RsvdSigForClima16</t>
  </si>
  <si>
    <t>CCM_RsvdSigForClima17</t>
  </si>
  <si>
    <t>CCM_RsvdSigForClima18</t>
  </si>
  <si>
    <t>CCM_RsvdSigForClima19</t>
  </si>
  <si>
    <t>CCM_RsvdSigForClima20</t>
  </si>
  <si>
    <t>CCM_RsvdSigForClima21</t>
  </si>
  <si>
    <t>CCM_RsvdSigForClima22</t>
  </si>
  <si>
    <t>CCM_RsvdSigForClima23</t>
  </si>
  <si>
    <t>AFU</t>
  </si>
  <si>
    <t>CCM_AirFragActEnad</t>
  </si>
  <si>
    <t>CCM_AirFragCh1</t>
  </si>
  <si>
    <t>CCM_AirFragCh2</t>
  </si>
  <si>
    <t>CCM_AirFragCh3</t>
  </si>
  <si>
    <t>CCM_AirFragCh4</t>
  </si>
  <si>
    <t>CCM_AirFragCh5</t>
  </si>
  <si>
    <t>CCM_AirFragConcReq</t>
  </si>
  <si>
    <t>Enum:TMS_Enum_ReqFragLvlTelm</t>
  </si>
  <si>
    <t>CCM_HvacAirMFlowVent</t>
  </si>
  <si>
    <t>前空调箱风道质量流量</t>
  </si>
  <si>
    <t>CCM_HvacRecircAct</t>
  </si>
  <si>
    <t>前空调箱的再循环空气量</t>
  </si>
  <si>
    <t>PMSI</t>
  </si>
  <si>
    <t>CCM_InPm25SnsrActnReq</t>
  </si>
  <si>
    <t>内部PM2.5传感器激活请求</t>
  </si>
  <si>
    <t>CCM_CmptmtAirTEstimdExtdComptmtT</t>
  </si>
  <si>
    <t>车内温度</t>
  </si>
  <si>
    <t>CCM_CmptmtAirTEstimdExtdQlyFlg</t>
  </si>
  <si>
    <t>Enum:TMS_Enum_GenQf1</t>
  </si>
  <si>
    <t>车内温度Qf</t>
  </si>
  <si>
    <t>CCM_VehMktForPmSnsrAirMtrlSnsrReq</t>
  </si>
  <si>
    <t>Enum:TMS_Enum_AirMtrlSnsrReq</t>
  </si>
  <si>
    <t>PM2.5的配置信息</t>
  </si>
  <si>
    <t>CCM_VehMktForPmSnsrVehMktGlb</t>
  </si>
  <si>
    <t>Enum:TMS_Enum_VehGlb</t>
  </si>
  <si>
    <t>PM2.5的车辆国家信息</t>
  </si>
  <si>
    <t>SC_IncarT_FL</t>
  </si>
  <si>
    <t>DT_Tmp</t>
  </si>
  <si>
    <t>主驾车内温度</t>
  </si>
  <si>
    <t>SC_IncarT_FR</t>
  </si>
  <si>
    <t>副驾车内温度</t>
  </si>
  <si>
    <t>SC_IncarT_Rr</t>
  </si>
  <si>
    <t>SC_IncarT</t>
  </si>
  <si>
    <t>SC_AirIntake_Fr</t>
  </si>
  <si>
    <t>前排进气温度</t>
  </si>
  <si>
    <t>SC_AirIntake_Rr</t>
  </si>
  <si>
    <t>后排进气温度</t>
  </si>
  <si>
    <t>SC_AmbT</t>
  </si>
  <si>
    <t>环境温度</t>
  </si>
  <si>
    <t>SC_EvpT_Fr</t>
  </si>
  <si>
    <t>前蒸发器实际温度</t>
  </si>
  <si>
    <t>SC_EvpT_Rr</t>
  </si>
  <si>
    <t>后蒸发器实际温度</t>
  </si>
  <si>
    <t>SC_Solar_Lft</t>
  </si>
  <si>
    <t>主驾阳光强度</t>
  </si>
  <si>
    <t>SC_Solar_Rgt</t>
  </si>
  <si>
    <t>副驾阳光强度</t>
  </si>
  <si>
    <t>SC_DuctT_FL</t>
  </si>
  <si>
    <t>主驾风道温度</t>
  </si>
  <si>
    <t>SC_DuctT_FR</t>
  </si>
  <si>
    <t>副驾风道温度</t>
  </si>
  <si>
    <t>SC_DuctT_ML</t>
  </si>
  <si>
    <t>二排左风道温度</t>
  </si>
  <si>
    <t>SC_DuctT_MR</t>
  </si>
  <si>
    <t>二排右风道温度</t>
  </si>
  <si>
    <t>SC_DuctT_Rr</t>
  </si>
  <si>
    <t>后（三）排风道温度</t>
  </si>
  <si>
    <t>SC_PTCOutT</t>
  </si>
  <si>
    <t>PTC出口实际水温</t>
  </si>
  <si>
    <t>SC_BattOutletT</t>
  </si>
  <si>
    <t>电池包出口水温</t>
  </si>
  <si>
    <t>SC_BattInletT</t>
  </si>
  <si>
    <t>电池包进口水温</t>
  </si>
  <si>
    <t>SC_ChillerOutT</t>
  </si>
  <si>
    <t>Chiller出口水温</t>
  </si>
  <si>
    <t>SC_MotoInT</t>
  </si>
  <si>
    <t>电机进口水温</t>
  </si>
  <si>
    <t>SC_MotoOutT</t>
  </si>
  <si>
    <t>电机出口水温</t>
  </si>
  <si>
    <t>SC_ColCorSurfT</t>
  </si>
  <si>
    <t>冷芯表面温度</t>
  </si>
  <si>
    <t>SC_ChilrOut_SH</t>
  </si>
  <si>
    <t>Chiller出口过热度</t>
  </si>
  <si>
    <t>SC_EvpOut_SH</t>
  </si>
  <si>
    <t>蒸发器出口过热度</t>
  </si>
  <si>
    <t>SC_CmpIn_SH</t>
  </si>
  <si>
    <t>压缩机吸气过热度</t>
  </si>
  <si>
    <t>SC_CmpOut_SH</t>
  </si>
  <si>
    <t>压缩机排气过热度</t>
  </si>
  <si>
    <t>SC_OHXOut_SC</t>
  </si>
  <si>
    <t>外换出口过冷度</t>
  </si>
  <si>
    <t>SC_IHXIn_SC</t>
  </si>
  <si>
    <t>内冷进口过冷度</t>
  </si>
  <si>
    <t>SC_CmpInT</t>
  </si>
  <si>
    <t>压缩机吸气温度</t>
  </si>
  <si>
    <t>SC_CmpInP</t>
  </si>
  <si>
    <t>压缩机吸气压力</t>
  </si>
  <si>
    <t>SC_CmpOutT</t>
  </si>
  <si>
    <t>压缩机排气温度</t>
  </si>
  <si>
    <t>SC_CmpOutP</t>
  </si>
  <si>
    <t>压缩机排气压力</t>
  </si>
  <si>
    <t>SC_HetCorSurfT</t>
  </si>
  <si>
    <t>暖芯表面温度</t>
  </si>
  <si>
    <t>SC_BattMaxT</t>
  </si>
  <si>
    <t>动力电池电芯最高温度</t>
  </si>
  <si>
    <t>SC_BattMinT</t>
  </si>
  <si>
    <t>动力电池电芯最低温度</t>
  </si>
  <si>
    <t>SC_BattAvgT</t>
  </si>
  <si>
    <t>动力电池电芯平均温度</t>
  </si>
  <si>
    <t>SC_VehSpd</t>
  </si>
  <si>
    <t>车速</t>
  </si>
  <si>
    <t>SC_ParkTime</t>
  </si>
  <si>
    <t>停车时间</t>
  </si>
  <si>
    <t>SC_CmpSpdAct</t>
  </si>
  <si>
    <t>压缩机反馈实际转速</t>
  </si>
  <si>
    <t>SC_CmpPwrAct</t>
  </si>
  <si>
    <t>压缩机反馈功率</t>
  </si>
  <si>
    <t>SC_CmpActState</t>
  </si>
  <si>
    <t>Enum: EM_LoadActStateMd</t>
  </si>
  <si>
    <t>压缩机实际状态</t>
  </si>
  <si>
    <t>SC_PTC1ActState</t>
  </si>
  <si>
    <t>PTC1实际状态</t>
  </si>
  <si>
    <t>SC_BlwActState_Fr</t>
  </si>
  <si>
    <t>前鼓风机实际状态</t>
  </si>
  <si>
    <t>SC_BlwActState_Rr</t>
  </si>
  <si>
    <t>后鼓风机实际状态</t>
  </si>
  <si>
    <t>SC_EvpEXVActState</t>
  </si>
  <si>
    <t>蒸发器EXV关闭状态</t>
  </si>
  <si>
    <t>SC_ChilrEXVActState</t>
  </si>
  <si>
    <t>Chiller EXV关闭状态</t>
  </si>
  <si>
    <t>SC_FedBak_LftMixDorVol</t>
  </si>
  <si>
    <t>DT_LVol</t>
  </si>
  <si>
    <t>主驾冷暖电机反馈电压</t>
  </si>
  <si>
    <t>SC_FedBak_RgtMixDorVol</t>
  </si>
  <si>
    <t>副驾冷暖电机反馈电压</t>
  </si>
  <si>
    <t>SC_FedBak_ModeVol_Fr</t>
  </si>
  <si>
    <t>前空调模式电机反馈电压</t>
  </si>
  <si>
    <t>SC_FedBak_ModeVol_Rr</t>
  </si>
  <si>
    <t>后空调模式电机反馈电压</t>
  </si>
  <si>
    <t>SC_FedBak_DefVol</t>
  </si>
  <si>
    <t>除霜电机反馈电压</t>
  </si>
  <si>
    <t>SC_FedBak_RecirVol</t>
  </si>
  <si>
    <t>循环电机反馈电压</t>
  </si>
  <si>
    <t>SC_FedBak_BlwVol_Fr</t>
  </si>
  <si>
    <t>前鼓风机反馈电压</t>
  </si>
  <si>
    <t>SC_FedBak_BlwVol_Rr</t>
  </si>
  <si>
    <t>后鼓风机反馈电压</t>
  </si>
  <si>
    <t>SC_Current_Time</t>
  </si>
  <si>
    <t>当前时间（用于记忆）</t>
  </si>
  <si>
    <t>SC_AmbLevel</t>
  </si>
  <si>
    <t>Enum: EM_AmbLvl</t>
  </si>
  <si>
    <t>SC_EvapSOVCloseFlg_Rr</t>
  </si>
  <si>
    <t>SC_DewPotTemp</t>
  </si>
  <si>
    <t>SC_FrWindTemp</t>
  </si>
  <si>
    <t>SC_FrWindRH</t>
  </si>
  <si>
    <t>SS_IGOnTime</t>
  </si>
  <si>
    <t>IG使能时间</t>
  </si>
  <si>
    <t>SS_LVPwr_ON</t>
  </si>
  <si>
    <t>低压上电信号</t>
  </si>
  <si>
    <t>SS_HVPwr_ON</t>
  </si>
  <si>
    <t>高压上电信号</t>
  </si>
  <si>
    <t>SS_ChargeStatus</t>
  </si>
  <si>
    <t>系统充放电状态</t>
  </si>
  <si>
    <t>SS_VehicleType</t>
  </si>
  <si>
    <t>车辆类型</t>
  </si>
  <si>
    <t>SS_KeyOffClean</t>
  </si>
  <si>
    <t>KeyOff清除信号</t>
  </si>
  <si>
    <t>SS_ASWVersonA</t>
  </si>
  <si>
    <t>ASW版本号A-阶段</t>
  </si>
  <si>
    <t>SS_ASWVersonB</t>
  </si>
  <si>
    <t>ASW版本号B-分支</t>
  </si>
  <si>
    <t>SS_ASWVersonC</t>
  </si>
  <si>
    <t>ASW版本号C-版本</t>
  </si>
  <si>
    <t>SS_ASWVerson</t>
  </si>
  <si>
    <t>ASW版本号-汇总</t>
  </si>
  <si>
    <t>SS_HMIPwr_ON</t>
  </si>
  <si>
    <t>HMI上电信号</t>
  </si>
  <si>
    <t>ICD Name</t>
  </si>
  <si>
    <t>PIN脚</t>
  </si>
  <si>
    <t>所属芯片</t>
  </si>
  <si>
    <t>BSW developer</t>
  </si>
  <si>
    <t>BSW commment</t>
  </si>
  <si>
    <t>ZCUR</t>
  </si>
  <si>
    <t>FrntBlowerPwm</t>
  </si>
  <si>
    <t>J6_32</t>
  </si>
  <si>
    <t>4th_TLE75602</t>
  </si>
  <si>
    <t>0-1000</t>
  </si>
  <si>
    <t>前排鼓风机PWM占空比请求</t>
  </si>
  <si>
    <t>fixdt(0,16,0.1,0)</t>
  </si>
  <si>
    <t>IoTx_FrntBlwFrqCmd_u16</t>
  </si>
  <si>
    <t>20-800</t>
  </si>
  <si>
    <t>前排鼓风机PWM频率请求</t>
  </si>
  <si>
    <t>IoRx_FrntBlwPwmFlt_u8</t>
  </si>
  <si>
    <t>0-255</t>
  </si>
  <si>
    <t>前排鼓风机PWM驱动端故障</t>
  </si>
  <si>
    <t>Bit0：SCB
Bit1：SCG
Bit2：OL</t>
  </si>
  <si>
    <t>IoRx_FrntBlwFrqFb_u16</t>
  </si>
  <si>
    <t>FrntBlowerPwmFb</t>
  </si>
  <si>
    <t>J2_20</t>
  </si>
  <si>
    <t>0-800</t>
  </si>
  <si>
    <t>前排鼓风机频率反馈</t>
  </si>
  <si>
    <t>IoTx_DCMot1RunDir_u8</t>
  </si>
  <si>
    <t>HvacModFlapFrstRowLe +
HvacModFlapFrstRowLe -</t>
  </si>
  <si>
    <t>J3_7
J3_24</t>
  </si>
  <si>
    <t>2nd TLE94112</t>
  </si>
  <si>
    <t>0-3</t>
  </si>
  <si>
    <t>Mot1驱动指令</t>
  </si>
  <si>
    <t>MotRunCmd</t>
  </si>
  <si>
    <t>0 = Stop
1 = CW
2 = CCW
3 = Low Side Brake</t>
  </si>
  <si>
    <t>Mot1：前左模式电机
Mot2：前右模式电机
Mot3：前左温度电机
Mot4：前右温度电机
Mot5：循环电机
Mot6：后左模式电机
Mot7：后左温度电机</t>
  </si>
  <si>
    <t>IoTx_DCMot2RunDir_u8</t>
  </si>
  <si>
    <t>HvacModFlapFrstRowRi +
HvacModFlapFrstRowRi -</t>
  </si>
  <si>
    <t>J3_19
J3_4</t>
  </si>
  <si>
    <t>Mot2驱动指令</t>
  </si>
  <si>
    <t>IoTx_DCMot3RunDir_u8</t>
  </si>
  <si>
    <t>HvacTempFlapFrstRowLe +
HvacTempFlapFrstRowLe -</t>
  </si>
  <si>
    <t>J3_6
J3_23</t>
  </si>
  <si>
    <t>Mot3驱动指令</t>
  </si>
  <si>
    <t>IoTx_DCMot4RunDir_u8</t>
  </si>
  <si>
    <t>HvacTempFlapFrstRowRi +
HvacTempFlapFrstRowRi -</t>
  </si>
  <si>
    <t>J3_18
J3_20</t>
  </si>
  <si>
    <t>Mot4驱动指令</t>
  </si>
  <si>
    <t>IoTx_DCMot5RunDir_u8</t>
  </si>
  <si>
    <t>HvacRecircFlap +
HvacRecircFlap -</t>
  </si>
  <si>
    <t>J1_43
J1_28</t>
  </si>
  <si>
    <t>1st TLE94112</t>
  </si>
  <si>
    <t>Mot5驱动指令</t>
  </si>
  <si>
    <t>IoTx_DCMot6RunDir_u8</t>
  </si>
  <si>
    <t>HvacModFlapSecRowLe +
HvacModFlapSecRowLe -</t>
  </si>
  <si>
    <t>J3_8
J3_5</t>
  </si>
  <si>
    <t>Mot6驱动指令</t>
  </si>
  <si>
    <t>IoTx_DCMot7RunDir_u8</t>
  </si>
  <si>
    <t>HvacTempFlapSecRowLe +
HvacTempFlapSecRowLe -</t>
  </si>
  <si>
    <t>J3_21
J3_22</t>
  </si>
  <si>
    <t>Mot7驱动指令</t>
  </si>
  <si>
    <t>IoTx_DCMot1PwmCmd_u16</t>
  </si>
  <si>
    <t>Mot1PWM占空比请求</t>
  </si>
  <si>
    <t>IoTx_DCMot2PwmCmd_u16</t>
  </si>
  <si>
    <t>Mot2PWM占空比请求</t>
  </si>
  <si>
    <t>IoTx_DCMot3PwmCmd_u16</t>
  </si>
  <si>
    <t>Mot3PWM占空比请求</t>
  </si>
  <si>
    <t>IoTx_DCMot4PwmCmd_u16</t>
  </si>
  <si>
    <t>Mot4PWM占空比请求</t>
  </si>
  <si>
    <t>IoTx_DCMot5PwmCmd_u16</t>
  </si>
  <si>
    <t>Mot5PWM占空比请求</t>
  </si>
  <si>
    <t>IoTx_DCMot6PwmCmd_u16</t>
  </si>
  <si>
    <t>Mot6PWM占空比请求</t>
  </si>
  <si>
    <t>IoTx_DCMot7PwmCmd_u16</t>
  </si>
  <si>
    <t>Mot7PWM占空比请求</t>
  </si>
  <si>
    <t>IoTx_DCMot1FrqCmd_u16</t>
  </si>
  <si>
    <t>Mot1PWM频率请求</t>
  </si>
  <si>
    <t>IoTx_DCMot2FrqCmd_u16</t>
  </si>
  <si>
    <t>Mot2PWM频率请求</t>
  </si>
  <si>
    <t>IoTx_DCMot3FrqCmd_u16</t>
  </si>
  <si>
    <t>Mot3PWM频率请求</t>
  </si>
  <si>
    <t>IoTx_DCMot4FrqCmd_u16</t>
  </si>
  <si>
    <t>Mot4PWM频率请求</t>
  </si>
  <si>
    <t>IoTx_DCMot5FrqCmd_u16</t>
  </si>
  <si>
    <t>Mot5PWM频率请求</t>
  </si>
  <si>
    <t>IoTx_DCMot6FrqCmd_u16</t>
  </si>
  <si>
    <t>Mot6PWM频率请求</t>
  </si>
  <si>
    <t>IoTx_DCMot7FrqCmd_u16</t>
  </si>
  <si>
    <t>Mot7PWM频率请求</t>
  </si>
  <si>
    <t>IoRx_DCMot1ActVoltRaw_u16</t>
  </si>
  <si>
    <t>HvacModFlapActlPosnFrstRowLe</t>
  </si>
  <si>
    <t>J3_48</t>
  </si>
  <si>
    <t>0-5000</t>
  </si>
  <si>
    <t>Mot1实际电压反馈</t>
  </si>
  <si>
    <t>mV</t>
  </si>
  <si>
    <t>引脚电压值</t>
  </si>
  <si>
    <t>IoRx_DCMot2ActVoltRaw_u16</t>
  </si>
  <si>
    <t>HvacModFlapActlPosnFrstRowRi</t>
  </si>
  <si>
    <t>J1_26</t>
  </si>
  <si>
    <t>Mot2实际电压反馈</t>
  </si>
  <si>
    <t>IoRx_DCMot3ActVoltRaw_u16</t>
  </si>
  <si>
    <t>HvacTempFlapActlPosnFrstRowLe</t>
  </si>
  <si>
    <t>J3_46</t>
  </si>
  <si>
    <t>Mot3实际电压反馈</t>
  </si>
  <si>
    <t>IoRx_DCMot4ActVoltRaw_u16</t>
  </si>
  <si>
    <t>HvacTempFlapActlPosnFrstRowRi</t>
  </si>
  <si>
    <t>J2_24</t>
  </si>
  <si>
    <t>Mot4实际电压反馈</t>
  </si>
  <si>
    <t>IoRx_DCMot5ActVoltRaw_u16</t>
  </si>
  <si>
    <t>HvacRecircFlapActlPosn</t>
  </si>
  <si>
    <t>J3_49</t>
  </si>
  <si>
    <t>Mot5实际电压反馈</t>
  </si>
  <si>
    <t>IoRx_DCMot6ActVoltRaw_u16</t>
  </si>
  <si>
    <t>HvacModFlapActlPosnSecRowLe</t>
  </si>
  <si>
    <t>J3_36</t>
  </si>
  <si>
    <t>Mot6实际电压反馈</t>
  </si>
  <si>
    <t>IoRx_DCMot7ActVoltRaw_u16</t>
  </si>
  <si>
    <t>HvacTempFlapActlPosnSecRowLe</t>
  </si>
  <si>
    <t>J3_34</t>
  </si>
  <si>
    <t>Mot7实际电压反馈</t>
  </si>
  <si>
    <t>IoRx_DCMot1HbrFltFb_u8</t>
  </si>
  <si>
    <t>Mot1H桥故障反馈</t>
  </si>
  <si>
    <t>Bit0：Open
Bit1：Hbr1SCG
Bit2：Hbr1SCB
Bit3：Hbr2SCG
Bit4：Hbr2SCB</t>
  </si>
  <si>
    <t>IoRx_DCMot2HbrFltFb_u8</t>
  </si>
  <si>
    <t>Mot2H桥故障反馈</t>
  </si>
  <si>
    <t>IoRx_DCMot3HbrFltFb_u8</t>
  </si>
  <si>
    <t>Mot3H桥故障反馈</t>
  </si>
  <si>
    <t>IoRx_DCMot4HbrFltFb_u8</t>
  </si>
  <si>
    <t>Mot4H桥故障反馈</t>
  </si>
  <si>
    <t>IoRx_DCMot5HbrFltFb_u8</t>
  </si>
  <si>
    <t>Mot5H桥故障反馈</t>
  </si>
  <si>
    <t>IoRx_DCMot6HbrFltFb_u8</t>
  </si>
  <si>
    <t>Mot6H桥故障反馈</t>
  </si>
  <si>
    <t>IoRx_DCMot7HbrFltFb_u8</t>
  </si>
  <si>
    <t>Mot7H桥故障反馈</t>
  </si>
  <si>
    <t>IoRx_FrntCbnTVoltRaw_u16</t>
  </si>
  <si>
    <t>HvacAirTInCar</t>
  </si>
  <si>
    <t>J2_11</t>
  </si>
  <si>
    <t>车内温度原始电压（前排）</t>
  </si>
  <si>
    <t>IoRx_FrntHexTVoltRaw_u16</t>
  </si>
  <si>
    <t>HvacCondsorTFrnt</t>
  </si>
  <si>
    <t>J2_40</t>
  </si>
  <si>
    <t>Hex传感器温度原始电压</t>
  </si>
  <si>
    <t>IoRx_FrntEvapTVoltRaw_u16</t>
  </si>
  <si>
    <t>HvacEvaprTFrnt</t>
  </si>
  <si>
    <t>J2_42</t>
  </si>
  <si>
    <t>Evap传感器温度原始电压（前排）</t>
  </si>
  <si>
    <t>IoRx_FrntLeFaceTVoltRaw_u16</t>
  </si>
  <si>
    <t>HvacAirTForRowFirstAtFaceLe</t>
  </si>
  <si>
    <t>J3_39</t>
  </si>
  <si>
    <t>前排左吹面温度原始电压</t>
  </si>
  <si>
    <t>IoRx_FrntLeFootTVoltRaw_u16</t>
  </si>
  <si>
    <t>HvacAirTForRowFirstAtFlrLe</t>
  </si>
  <si>
    <t>J3_52</t>
  </si>
  <si>
    <t>前排左吹脚温度原始电压</t>
  </si>
  <si>
    <t>IoRx_FrntRiFaceTVoltRaw_u16</t>
  </si>
  <si>
    <t>HvacAirTForRowFirstAtFaceRi</t>
  </si>
  <si>
    <t>J3_37</t>
  </si>
  <si>
    <t>前排右吹面温度原始电压</t>
  </si>
  <si>
    <t>IoRx_FrntRiFootTVoltRaw_u16</t>
  </si>
  <si>
    <t>HvacAirTForRowFirstAtFlrRi</t>
  </si>
  <si>
    <t>J3_51</t>
  </si>
  <si>
    <t>前排右吹脚温度原始电压</t>
  </si>
  <si>
    <t>IoRx_ReLeFaceTVoltRaw_u16</t>
  </si>
  <si>
    <t>HvacAirTForRowSecAtFaceLe</t>
  </si>
  <si>
    <t>J1_21</t>
  </si>
  <si>
    <t>后排左吹面温度原始电压</t>
  </si>
  <si>
    <t>IoRx_ReLeFootTVoltRaw_u16</t>
  </si>
  <si>
    <t>HvacAirTForRowSecAtFlrLe</t>
  </si>
  <si>
    <t>J3_38</t>
  </si>
  <si>
    <t>后排左吹脚温度原始电压</t>
  </si>
  <si>
    <t>引脚电压值 0-5000</t>
  </si>
  <si>
    <t>IoRx_AmbTVoltRaw_u16</t>
  </si>
  <si>
    <t>AmbTEstimd</t>
  </si>
  <si>
    <t>J5_4</t>
  </si>
  <si>
    <t>环境温度原始电压</t>
  </si>
  <si>
    <t>IoRx_EnvtAQSPwmFb_u16</t>
  </si>
  <si>
    <t>AQSPwmFb</t>
  </si>
  <si>
    <t>J2_8</t>
  </si>
  <si>
    <t>车外AQS的PWM占空比反馈</t>
  </si>
  <si>
    <t>IoTx_FrntCbnTFanRly_b</t>
  </si>
  <si>
    <t>HvacInCarSnsrFan</t>
  </si>
  <si>
    <t>J1_49</t>
  </si>
  <si>
    <t>1st_VN9D30Q100F_1</t>
  </si>
  <si>
    <t>0-1</t>
  </si>
  <si>
    <t>车内温度风扇HSD</t>
  </si>
  <si>
    <t>OnOff1</t>
  </si>
  <si>
    <t>IoRx_FrntCbnTFanRlyFlt_u8</t>
  </si>
  <si>
    <t>车内温度风扇HSD故障</t>
  </si>
  <si>
    <t>IoTx_ClimtRly_b</t>
  </si>
  <si>
    <t>ClimaRelay</t>
  </si>
  <si>
    <t>J6_10</t>
  </si>
  <si>
    <t>1st_TLE75602</t>
  </si>
  <si>
    <t>鼓风机供电继电器LSD</t>
  </si>
  <si>
    <t>IoRx_ClimtRlyFlt_u8</t>
  </si>
  <si>
    <t>鼓风机供电继电器LSD故障</t>
  </si>
  <si>
    <t>IoTx_ClimtPwrRly_b</t>
  </si>
  <si>
    <t>ClimaPwr-1-12V (Lin)</t>
  </si>
  <si>
    <t>J6_18</t>
  </si>
  <si>
    <t>7th_VN9D30Q100F_1</t>
  </si>
  <si>
    <t>CCM的LIN节点供电继电器HSD</t>
  </si>
  <si>
    <t>IoRx_ClimtPwrRlyFlt_u8</t>
  </si>
  <si>
    <t>CCM的LIN节点供电继电器HSD故障</t>
  </si>
  <si>
    <t>IoTx_HvBattPmpPwmCmd_u16</t>
  </si>
  <si>
    <t>HvBattPmpPWM</t>
  </si>
  <si>
    <t>J2_49</t>
  </si>
  <si>
    <t>电池水泵PWM占空比请求</t>
  </si>
  <si>
    <t>IoTx_HvBattPmpFrqCmd_u16</t>
  </si>
  <si>
    <t>50-150</t>
  </si>
  <si>
    <t>电池水泵PWM频率请求</t>
  </si>
  <si>
    <t>IoRx_HvBattPmpPwmFlt_u8</t>
  </si>
  <si>
    <t>HvBattPmpPwmFb</t>
  </si>
  <si>
    <t>J6_21</t>
  </si>
  <si>
    <t>电池水泵故障反馈</t>
  </si>
  <si>
    <t>Bit0：干运行
Bit1：失步/过流
Bit2：过温停止
Bit3：欠压和过压</t>
  </si>
  <si>
    <t>IoTx_EldtPmpPwmCmd_u16</t>
  </si>
  <si>
    <t>EldtPmpPWM</t>
  </si>
  <si>
    <t>J2_45</t>
  </si>
  <si>
    <t>2nd_TLE75602</t>
  </si>
  <si>
    <t>电机水泵PWM占空比请求</t>
  </si>
  <si>
    <t>IoTx_EldtPmpFrqCmd_u16</t>
  </si>
  <si>
    <t>电机水泵PWM频率请求</t>
  </si>
  <si>
    <t>IoRx_EldtPmpPwmFlt_u8</t>
  </si>
  <si>
    <t>EldtPmpPwmFb</t>
  </si>
  <si>
    <t>J7_2</t>
  </si>
  <si>
    <t>电机水泵故障反馈</t>
  </si>
  <si>
    <t>IoTx_HeatrPmpPwmCmd_u16</t>
  </si>
  <si>
    <t>HeatrPmpPWM</t>
  </si>
  <si>
    <t>J2_52</t>
  </si>
  <si>
    <t>暖风水泵PWM占空比请求</t>
  </si>
  <si>
    <t>IoTx_HeatrPmpFrqCmd_u16</t>
  </si>
  <si>
    <t>暖风水泵PWM频率请求</t>
  </si>
  <si>
    <t>IoRx_HeatrPmpPwmFlt_u8</t>
  </si>
  <si>
    <t>HeatrPmpPwmFb</t>
  </si>
  <si>
    <t>J6_25</t>
  </si>
  <si>
    <t>暖风水泵故障反馈</t>
  </si>
  <si>
    <t>CoolgFanPwm</t>
  </si>
  <si>
    <t>J5_21</t>
  </si>
  <si>
    <t>冷却风扇PWM占空比请求</t>
  </si>
  <si>
    <t>IoTx_CoolgFanFrqCmd_u16</t>
  </si>
  <si>
    <t>97-309</t>
  </si>
  <si>
    <t>冷却风扇PWM频率请求</t>
  </si>
  <si>
    <t>IoRx_CoolgFanPwmFlt_u8</t>
  </si>
  <si>
    <t>CoolgFanPWMFb</t>
  </si>
  <si>
    <t>J3_33</t>
  </si>
  <si>
    <t>冷却风扇故障反馈</t>
  </si>
  <si>
    <t>Bit0：High temperature
Bit1：Under / Over voltage
Bit2：Fan Motor Permanently Blocked
Bit3：Over Temperature
Bit4：Internal Failure"</t>
  </si>
  <si>
    <t>IoTx_SOV1Rly_b</t>
  </si>
  <si>
    <t>SOV1</t>
  </si>
  <si>
    <t>J5_28</t>
  </si>
  <si>
    <t>4th_VN9D30Q100F_1</t>
  </si>
  <si>
    <t>电磁阀1HSD</t>
  </si>
  <si>
    <t>IoRx_SOV1RlyFlt_u8</t>
  </si>
  <si>
    <t>电磁阀1HSD故障</t>
  </si>
  <si>
    <t>IoTx_SOV2Rly_b</t>
  </si>
  <si>
    <t>SOV2</t>
  </si>
  <si>
    <t>J5_31</t>
  </si>
  <si>
    <t>5th_VN9D30Q100F_1</t>
  </si>
  <si>
    <t>电磁阀2HSD</t>
  </si>
  <si>
    <t>IoRx_SOV2RlyFlt_u8</t>
  </si>
  <si>
    <t>电磁阀2HSD故障</t>
  </si>
  <si>
    <t>IoTx_SOV3Rly_b</t>
  </si>
  <si>
    <t>SOV3</t>
  </si>
  <si>
    <t>J5_32</t>
  </si>
  <si>
    <t>电磁阀3HSD</t>
  </si>
  <si>
    <t>IoRx_SOV3RlyFlt_u8</t>
  </si>
  <si>
    <t>电磁阀3HSD故障</t>
  </si>
  <si>
    <t>IoRx_RfgP1VoltRaw_u16</t>
  </si>
  <si>
    <t>RfgP1</t>
  </si>
  <si>
    <t>J3_35</t>
  </si>
  <si>
    <t>制冷剂路压力传感器原始电压</t>
  </si>
  <si>
    <t>IoRx_RfgT1VoltRaw_u16</t>
  </si>
  <si>
    <t>RfgT1</t>
  </si>
  <si>
    <t>J5_6</t>
  </si>
  <si>
    <t>制冷剂路温度传感器1原始电压</t>
  </si>
  <si>
    <t>IoRx_RfgT2VoltRaw_u16</t>
  </si>
  <si>
    <t>RfgT2</t>
  </si>
  <si>
    <t>J3_50</t>
  </si>
  <si>
    <t>制冷剂路温度传感器2原始电压</t>
  </si>
  <si>
    <t>IoRx_RfgT3VoltRaw_u16</t>
  </si>
  <si>
    <t>RfgT3</t>
  </si>
  <si>
    <t>J5_9</t>
  </si>
  <si>
    <t>制冷剂路温度传感器3原始电压</t>
  </si>
  <si>
    <t>IoRx_RfgT4VoltRaw_u16</t>
  </si>
  <si>
    <t>RfgT4</t>
  </si>
  <si>
    <t>J5_2</t>
  </si>
  <si>
    <t>制冷剂路温度传感器4原始电压</t>
  </si>
  <si>
    <t>IoRx_RfgPT1PVoltRaw_u16</t>
  </si>
  <si>
    <t>RfgPT1P</t>
  </si>
  <si>
    <t>J2_10</t>
  </si>
  <si>
    <t>制冷剂路温压传感器1压力原始电压</t>
  </si>
  <si>
    <t>IoRx_RfgPT1TVoltRaw_u16</t>
  </si>
  <si>
    <t>RfgPT1T</t>
  </si>
  <si>
    <t>J2_41</t>
  </si>
  <si>
    <t>制冷剂路温压传感器1温度原始电压</t>
  </si>
  <si>
    <t>IoRx_CooltT1VoltRaw_u16</t>
  </si>
  <si>
    <t>CooltT1</t>
  </si>
  <si>
    <t>J5_8</t>
  </si>
  <si>
    <t>水回路电池进口温度原始电压</t>
  </si>
  <si>
    <t>IoRx_CooltT2VoltRaw_u16</t>
  </si>
  <si>
    <t>CooltT2</t>
  </si>
  <si>
    <t>J5_5</t>
  </si>
  <si>
    <t>水回路电池出口温度原始电压</t>
  </si>
  <si>
    <t>IoRx_CooltT3VoltRaw_u16</t>
  </si>
  <si>
    <t>CooltT3</t>
  </si>
  <si>
    <t>J5_7</t>
  </si>
  <si>
    <t>水回路LTR出口温度原始电压</t>
  </si>
  <si>
    <t>IoRx_CooltT4VoltRaw_u16</t>
  </si>
  <si>
    <t>CooltT4Resrvd</t>
  </si>
  <si>
    <t>J5_3</t>
  </si>
  <si>
    <t>水回路温度传感器原始电压（预留）</t>
  </si>
  <si>
    <t>IoTx_ThermPwr1Rly_b</t>
  </si>
  <si>
    <t>ThermPwr-1-12V（Lin1）</t>
  </si>
  <si>
    <t>J5_27</t>
  </si>
  <si>
    <t>TCM的LIN1节点供电HSD</t>
  </si>
  <si>
    <t>IoRx_ThermPwr1RlyFlt_u8</t>
  </si>
  <si>
    <t>TCM的LIN1节点供电HSD故障</t>
  </si>
  <si>
    <t>IoTx_ThermPwr2Rly_b</t>
  </si>
  <si>
    <t>ThermPwr-2-12V（Lin3）</t>
  </si>
  <si>
    <t>J3_15</t>
  </si>
  <si>
    <t>TCM的LIN3节点供电HSD</t>
  </si>
  <si>
    <t>IoRx_ThermPwr2RlyFlt_u8</t>
  </si>
  <si>
    <t>TCM的LIN3节点供电HSD故障</t>
  </si>
  <si>
    <t>IoTx_ThermPwr3Rly_b</t>
  </si>
  <si>
    <t>ThermPwr-2-12V（Lin4）</t>
  </si>
  <si>
    <t>J3_11</t>
  </si>
  <si>
    <t>TCM的LIN4节点供电HSD</t>
  </si>
  <si>
    <t>IoRx_ThermPwr3RlyFlt_u8</t>
  </si>
  <si>
    <t>TCM的LIN4节点供电HSD故障</t>
  </si>
  <si>
    <t>IoTx_CoolgFanRly_b</t>
  </si>
  <si>
    <t>ThermFanRelay</t>
  </si>
  <si>
    <t>J5_39</t>
  </si>
  <si>
    <t>冷却风扇供电LSD</t>
  </si>
  <si>
    <t>IoRx_CoolgFanRlyFlt_u8</t>
  </si>
  <si>
    <t>冷却风扇供电LSD故障</t>
  </si>
  <si>
    <t>IoTx_PmpRly_b</t>
  </si>
  <si>
    <t>ThermPmpRelay</t>
  </si>
  <si>
    <t>J6_37</t>
  </si>
  <si>
    <t>3rd_TLE75602</t>
  </si>
  <si>
    <t>水泵供电LSD</t>
  </si>
  <si>
    <t>IoRx_PmpRlyFlt_u8</t>
  </si>
  <si>
    <t>水泵供电LSD故障</t>
  </si>
  <si>
    <t>RcpR_AmbTRawR</t>
  </si>
  <si>
    <t>环境温度原始电阻</t>
  </si>
  <si>
    <t>kΩ</t>
  </si>
  <si>
    <t>RcpR_RfgT1RawR</t>
  </si>
  <si>
    <t>制冷剂路温度传感器1原始电阻</t>
  </si>
  <si>
    <t>RcpR_RfgT2RawR</t>
  </si>
  <si>
    <t>制冷剂路温度传感器2原始电阻</t>
  </si>
  <si>
    <t>RcpR_RfgT3RawR</t>
  </si>
  <si>
    <t>制冷剂路温度传感器3原始电阻</t>
  </si>
  <si>
    <t>RcpR_RfgT4RawR</t>
  </si>
  <si>
    <t>制冷剂路温度传感器4原始电阻</t>
  </si>
  <si>
    <t>RcpR_RfgPT1TRawR</t>
  </si>
  <si>
    <t>制冷剂路温压传感器1温度原始电阻</t>
  </si>
  <si>
    <t>RcpR_CooltT1RawR</t>
  </si>
  <si>
    <t>水回路电池进口原始电阻</t>
  </si>
  <si>
    <t>RcpR_CooltT2RawR</t>
  </si>
  <si>
    <t>水回路电池出口温度原始电阻</t>
  </si>
  <si>
    <t>RcpR_CooltT3RawR</t>
  </si>
  <si>
    <t>水回路LTR出口温度原始电阻</t>
  </si>
  <si>
    <t>RcpR_CooltT4RawR</t>
  </si>
  <si>
    <t>水回路温度传感器原始电阻（预留）</t>
  </si>
  <si>
    <t>RcpR_FrntCbnTRawR</t>
  </si>
  <si>
    <t>车内温度原始电阻（前排）</t>
  </si>
  <si>
    <t>RcpR_FrntHexTRawR</t>
  </si>
  <si>
    <t>Hex传感器温度原始电阻</t>
  </si>
  <si>
    <t>RcpR_FrntEvapTRawR</t>
  </si>
  <si>
    <t>Evap传感器温度原始电阻（前排）</t>
  </si>
  <si>
    <t>RcpR_FrntLeFaceTRawR</t>
  </si>
  <si>
    <t>前排左吹面温度原始电阻</t>
  </si>
  <si>
    <t>RcpR_FrntLeFootTRawR</t>
  </si>
  <si>
    <t>前排左吹脚温度原始电阻</t>
  </si>
  <si>
    <t>RcpR_FrntRiFaceTRawR</t>
  </si>
  <si>
    <t>前排右吹面温度原始电阻</t>
  </si>
  <si>
    <t>RcpR_FrntRiFootTRawR</t>
  </si>
  <si>
    <t>前排右吹脚温度原始电阻</t>
  </si>
  <si>
    <t>RcpR_ReLeFaceTRawR</t>
  </si>
  <si>
    <t>后排左吹面温度原始电阻</t>
  </si>
  <si>
    <t>RcpR_ReLeFootTRawR</t>
  </si>
  <si>
    <t>后排左吹脚温度原始电阻</t>
  </si>
  <si>
    <t>建议ADT名</t>
  </si>
  <si>
    <t>uint</t>
  </si>
  <si>
    <t>IntToPhy</t>
  </si>
  <si>
    <t>IDT</t>
  </si>
  <si>
    <t>Phy Min</t>
  </si>
  <si>
    <t>Phy Max</t>
  </si>
  <si>
    <t>comments</t>
  </si>
  <si>
    <t>fixdt(0,16,0.25,0)</t>
  </si>
  <si>
    <t>rpm</t>
  </si>
  <si>
    <t>*0.25</t>
  </si>
  <si>
    <t>转速（压缩机/水泵/风扇/鼓风机）</t>
  </si>
  <si>
    <t>fixdt(1,16,0.1,0)</t>
  </si>
  <si>
    <t>%</t>
  </si>
  <si>
    <t>*0.1</t>
  </si>
  <si>
    <t>百分比</t>
  </si>
  <si>
    <t>fixdt(0,16,0.00391,0)</t>
  </si>
  <si>
    <t>m/s</t>
  </si>
  <si>
    <t>*0.00391</t>
  </si>
  <si>
    <t>TMS_ADT_U1</t>
  </si>
  <si>
    <t>fixdt(0,16,0.001221,0)</t>
  </si>
  <si>
    <t>V</t>
  </si>
  <si>
    <t>*0.001221</t>
  </si>
  <si>
    <t>电压1（传感器等）</t>
  </si>
  <si>
    <t>电压2</t>
  </si>
  <si>
    <t>kg/h</t>
  </si>
  <si>
    <t>质量流量1</t>
  </si>
  <si>
    <t>fixdt(0,16,0.05,0)</t>
  </si>
  <si>
    <t>L/min</t>
  </si>
  <si>
    <t>*0.05</t>
  </si>
  <si>
    <t>NA</t>
  </si>
  <si>
    <t>质量流量2</t>
  </si>
  <si>
    <t>A</t>
  </si>
  <si>
    <t>电流1</t>
  </si>
  <si>
    <t>电流2</t>
  </si>
  <si>
    <t>kPa</t>
  </si>
  <si>
    <t>压力</t>
  </si>
  <si>
    <t>fixdt(1,16,0.1,-60)</t>
  </si>
  <si>
    <t>℃</t>
  </si>
  <si>
    <t>*0.1-60</t>
  </si>
  <si>
    <t>sint16</t>
  </si>
  <si>
    <t>温度</t>
  </si>
  <si>
    <t>TMS_ADT_De1</t>
  </si>
  <si>
    <t>fixdt(0,32,0.0001,0)</t>
  </si>
  <si>
    <t>kg/m3</t>
  </si>
  <si>
    <t>*0.0001</t>
  </si>
  <si>
    <t>密度</t>
  </si>
  <si>
    <t>TMS_ADT_En1</t>
  </si>
  <si>
    <t>fixdt(0,16,0.01,0)</t>
  </si>
  <si>
    <t>kJ/kg</t>
  </si>
  <si>
    <t>*0.01</t>
  </si>
  <si>
    <t>焓</t>
  </si>
  <si>
    <t>TMS_ADT_CP1</t>
  </si>
  <si>
    <t>fixdt(0,32,0.001,0)</t>
  </si>
  <si>
    <t>kJ/kgk</t>
  </si>
  <si>
    <t>*0.001</t>
  </si>
  <si>
    <t>比热</t>
  </si>
  <si>
    <t>g/kg</t>
  </si>
  <si>
    <t>湿度</t>
  </si>
  <si>
    <t>用户设定温度</t>
  </si>
  <si>
    <t>Texttable</t>
  </si>
  <si>
    <t>Value</t>
  </si>
  <si>
    <t>TMS_Enum_AbsWarnIndcnReq</t>
  </si>
  <si>
    <t>0 = AbsWarnIndcnReq_AbsWarnIndcnOnReq</t>
  </si>
  <si>
    <t>1 = AbsWarnIndcnReq_AbsWarnIndcnFlsgReq</t>
  </si>
  <si>
    <t>2 = AbsWarnIndcnReq_Resd2</t>
  </si>
  <si>
    <t>3 = AbsWarnIndcnReq_AbsWarnIndcnOffReq</t>
  </si>
  <si>
    <t>TMS_Enum_AcHVoltResonanceStat</t>
  </si>
  <si>
    <t>0 = AcHVoltResonanceStat_Normal</t>
  </si>
  <si>
    <t>1 = AcHVoltResonanceStat_SpeedDecreased</t>
  </si>
  <si>
    <t>2 = AcHVoltResonanceStat_Inoperative</t>
  </si>
  <si>
    <t>3 = AcHVoltResonanceStat_Reserved</t>
  </si>
  <si>
    <t>TMS_Enum_ActiveSaveReq</t>
  </si>
  <si>
    <t>0 = ActiveSaveReq_NoReq</t>
  </si>
  <si>
    <t>1 = ActiveSaveReq_ActiveSave_Req</t>
  </si>
  <si>
    <t>2 = ActiveSaveReq_Reserved</t>
  </si>
  <si>
    <t>3 = ActiveSaveReq_SNA</t>
  </si>
  <si>
    <t>TMS_Enum_ActrActvForLgtCtrl</t>
  </si>
  <si>
    <t>0 = ActrActvForLgtCtrl_ActrNotEnadForCmft</t>
  </si>
  <si>
    <t>1 = ActrActvForLgtCtrl_PrpsnActrEnadForCmft</t>
  </si>
  <si>
    <t>2 = ActrActvForLgtCtrl_BrkActrEnadForCmft</t>
  </si>
  <si>
    <t>TMS_Enum_ActrDefrstSts</t>
  </si>
  <si>
    <t>0 = ActrDefrstSts_Off</t>
  </si>
  <si>
    <t>1 = ActrDefrstSts_On</t>
  </si>
  <si>
    <t>2 = ActrDefrstSts_Limited</t>
  </si>
  <si>
    <t>3 = ActrDefrstSts_NotAvailable</t>
  </si>
  <si>
    <t>4 = ActrDefrstSts_TmrOff</t>
  </si>
  <si>
    <t>5 = ActrDefrstSts_AutoCdn</t>
  </si>
  <si>
    <t>TMS_Enum_ActrReq</t>
  </si>
  <si>
    <t>0 = ActrReq_Off</t>
  </si>
  <si>
    <t>1 = ActrReq_On</t>
  </si>
  <si>
    <t>2 = ActrReq_AutOn</t>
  </si>
  <si>
    <t>TMS_Enum_ActvInActv</t>
  </si>
  <si>
    <t>0 = ActvInActv_Active</t>
  </si>
  <si>
    <t>1 = ActvInActv_Inactive</t>
  </si>
  <si>
    <t>TMS_Enum_ActvnAvl1</t>
  </si>
  <si>
    <t>0 = ActvnAvl1_NotAvl</t>
  </si>
  <si>
    <t>1 = ActvnAvl1_Avl</t>
  </si>
  <si>
    <t>2 = ActvnAvl1_Deactvd</t>
  </si>
  <si>
    <t>3 = ActvnAvl1_Actvd</t>
  </si>
  <si>
    <t>TMS_Enum_ActvnAvl4</t>
  </si>
  <si>
    <t>0 = ActvnAvl4_Idle</t>
  </si>
  <si>
    <t>1 = ActvnAvl4_Actvn</t>
  </si>
  <si>
    <t>2 = ActvnAvl4_Deactvn</t>
  </si>
  <si>
    <t>3 = ActvnAvl4_Recommand</t>
  </si>
  <si>
    <t>TMS_Enum_ActvnReqOfRtrctrRvsb1</t>
  </si>
  <si>
    <t>0 = NoActvn</t>
  </si>
  <si>
    <t>1 = ActvnFLo</t>
  </si>
  <si>
    <t>2 = ActvnFHi</t>
  </si>
  <si>
    <t>3 = Resd1</t>
  </si>
  <si>
    <t>4 = Resd2</t>
  </si>
  <si>
    <t>TMS_Enum_ActvnWithMsg</t>
  </si>
  <si>
    <t>0 = ActvnWithMsg_Idle</t>
  </si>
  <si>
    <t>1 = ActvnWithMsg_Activation_Successful</t>
  </si>
  <si>
    <t>2 = ActvnWithMsg_Activation_Fail</t>
  </si>
  <si>
    <t>TMS_Enum_ActvSplr</t>
  </si>
  <si>
    <t>0 = ActvSplr_Ukwn</t>
  </si>
  <si>
    <t>1 = ActvSplr_P0</t>
  </si>
  <si>
    <t>2 = ActvSplr_P1</t>
  </si>
  <si>
    <t>3 = ActvSplr_P2</t>
  </si>
  <si>
    <t>4 = ActvSplr_P3</t>
  </si>
  <si>
    <t>5 = ActvSplr_Shifting</t>
  </si>
  <si>
    <t>6 = ActvSplr_Reserved</t>
  </si>
  <si>
    <t>7 = Error</t>
  </si>
  <si>
    <t>TMS_Enum_ActvSplrCmd</t>
  </si>
  <si>
    <t>0 = ActvSplrCmd_NoCmd</t>
  </si>
  <si>
    <t>1 = ActvSplrCmd_P0</t>
  </si>
  <si>
    <t>2 = ActvSplrCmd_P1</t>
  </si>
  <si>
    <t>3 = ActvSplrCmd_P2</t>
  </si>
  <si>
    <t>4 = ActvSplrCmd_P3</t>
  </si>
  <si>
    <t>5 = ActvSplrCmd_Reserved1</t>
  </si>
  <si>
    <t>6 = ActvSplrCmd_Reserved2</t>
  </si>
  <si>
    <t>7 = ActvSplrCmd_Reserved3</t>
  </si>
  <si>
    <t>TMS_Enum_Adjmt5</t>
  </si>
  <si>
    <t>0 = Adjmt4_Idle</t>
  </si>
  <si>
    <t>1 = Adjmt4_Save</t>
  </si>
  <si>
    <t>2 = Adjmt4_Move</t>
  </si>
  <si>
    <t>TMS_Enum_AdjSpdLimnMsg1</t>
  </si>
  <si>
    <t>0 = AdjSpdLimnMsg1_NoMsg0</t>
  </si>
  <si>
    <t>1 = AdjSpdLimnMsg1_AdjSpdLimnCncl</t>
  </si>
  <si>
    <t>2 = AdjSpdLimnMsg1_AdjSpdLimnInhb</t>
  </si>
  <si>
    <t>3 = AdjSpdLimnMsg1_AVSLDegradated</t>
  </si>
  <si>
    <t>TMS_Enum_AdjSpdLimnSts2</t>
  </si>
  <si>
    <t>1 = AdjSpdLimnSts2_Off</t>
  </si>
  <si>
    <t>2 = AdjSpdLimnSts2_Stb</t>
  </si>
  <si>
    <t>3 = AdjSpdLimnSts2_Actv</t>
  </si>
  <si>
    <t>4 = AdjSpdLimnSts2_Ovrd</t>
  </si>
  <si>
    <t>TMS_Enum_AdjSpdLimnWarnCoding</t>
  </si>
  <si>
    <t>0 = AdjSpdLimnWarnCoding_NoWarn</t>
  </si>
  <si>
    <t>1 = AdjSpdLimnWarnCoding_SoundWarn</t>
  </si>
  <si>
    <t>2 = AdjSpdLimnWarnCoding_VisWarn</t>
  </si>
  <si>
    <t>3 = AdjSpdLimnWarnCoding_SoundAndVisWarn</t>
  </si>
  <si>
    <t>TMS_Enum_AdjustStatus</t>
  </si>
  <si>
    <t>0 = AdjustStatus_StaticPosition</t>
  </si>
  <si>
    <t>1 = AdjustStatus_RaisingToNewTargetLevel</t>
  </si>
  <si>
    <t>2 = AdjustStatus_LoweringToNewTargetlevel</t>
  </si>
  <si>
    <t>3 = AdjustStatus_FrozenOrPendingOfTargetLevelChange</t>
  </si>
  <si>
    <t>4 = AdjustStatus_RaisingForLevelAdjustment</t>
  </si>
  <si>
    <t>5 = AdjustStatus_LoweringForLevelAdjustment</t>
  </si>
  <si>
    <t>6 = AdjustStatus_FrozenorPendingForLevelAdjustment</t>
  </si>
  <si>
    <t>7 = AdjustStatus_Reserved</t>
  </si>
  <si>
    <t>TMS_Enum_ADModCtrlInhbn</t>
  </si>
  <si>
    <t>0 = NoInhb</t>
  </si>
  <si>
    <t>1 = L12LgtCtrlModInhb</t>
  </si>
  <si>
    <t>2 = AutoParkingModInhb</t>
  </si>
  <si>
    <t>3 = L12AndAutoParkingModInhb</t>
  </si>
  <si>
    <t>4 = L3ADModInhb</t>
  </si>
  <si>
    <t>5 = L3ADAndL12LgtCtrlModInhb</t>
  </si>
  <si>
    <t>6 = L3ADAndAutoParkingModInhb</t>
  </si>
  <si>
    <t>7 = L3ADAndAutoParkingAndL12LgtCtrlModInhb</t>
  </si>
  <si>
    <t>TMS_Enum_ADMode2</t>
  </si>
  <si>
    <t>0 = ADMod_NAD_Mod</t>
  </si>
  <si>
    <t>1 = ADMod_MarsParking</t>
  </si>
  <si>
    <t>2 = ADMod_ANP</t>
  </si>
  <si>
    <t>3 = ADMod_Reserved</t>
  </si>
  <si>
    <t>TMS_Enum_ADSecCtrlsts</t>
  </si>
  <si>
    <t>0 = ADSecCtrlsts_Red</t>
  </si>
  <si>
    <t>1 = ADSecCtrlsts_Yellow1</t>
  </si>
  <si>
    <t>2 = ADSecCtrlsts_Yellow2</t>
  </si>
  <si>
    <t>3 = ADSecCtrlsts_Green</t>
  </si>
  <si>
    <t>4 = ADSecCtrlsts_Reserved1</t>
  </si>
  <si>
    <t>5 = ADSecCtrlsts_Reserved2</t>
  </si>
  <si>
    <t>6 = ADSecCtrlsts_Reserved3</t>
  </si>
  <si>
    <t>7 = ADSecCtrlsts_Reserved4</t>
  </si>
  <si>
    <t>TMS_Enum_AirCdnrSetg</t>
  </si>
  <si>
    <t>0 = AirCdnrSetg_Normal</t>
  </si>
  <si>
    <t>1 = AirCdnrSetg_ECO</t>
  </si>
  <si>
    <t>2 = AirCdnrSetg_Reserved1</t>
  </si>
  <si>
    <t>TMS_Enum_AirDirModReq</t>
  </si>
  <si>
    <t>0 = AirDirModReq_Normal</t>
  </si>
  <si>
    <t>1 = AirDirModReq_Focus</t>
  </si>
  <si>
    <t>2 = AirDirModReq_Avoid</t>
  </si>
  <si>
    <t>3 = AirDirModReq_Customize</t>
  </si>
  <si>
    <t>TMS_Enum_AirFrgSts</t>
  </si>
  <si>
    <t>1 = AirFragSts_OFF</t>
  </si>
  <si>
    <t>2 = AirFragSts_ON</t>
  </si>
  <si>
    <t>3 = AirFragSts_Error</t>
  </si>
  <si>
    <t>TMS_Enum_AirMtrlSnsrReq</t>
  </si>
  <si>
    <t>0 = AirMtrlSnsrReq_SNA</t>
  </si>
  <si>
    <t>1 = AirMtrlSnsrReq_Off</t>
  </si>
  <si>
    <t>2 = AirMtrlSnsrReq_On</t>
  </si>
  <si>
    <t>3 = AirMtrlSnsrReq_Calibrate</t>
  </si>
  <si>
    <t>TMS_Enum_AirQly</t>
  </si>
  <si>
    <t>0 = AirQly_No</t>
  </si>
  <si>
    <t>1 = AirQly_LvlLo</t>
  </si>
  <si>
    <t>2 = AirQly_LvlMed</t>
  </si>
  <si>
    <t>3 = AirQly_LvlHi</t>
  </si>
  <si>
    <t>TMS_Enum_AlrmIssue</t>
  </si>
  <si>
    <t>0 = AlrmIssue_Idle</t>
  </si>
  <si>
    <t>1 = AlrmIssue_NotCorrect</t>
  </si>
  <si>
    <t>TMS_Enum_AlrmSt</t>
  </si>
  <si>
    <t>0 = AlrmSt_Disarmd</t>
  </si>
  <si>
    <t>1 = AlrmSt_Armd</t>
  </si>
  <si>
    <t>2 = AlrmSt_Actv</t>
  </si>
  <si>
    <t>TMS_Enum_AlrmTrgSrc</t>
  </si>
  <si>
    <t>0 = AlrmTrgSrc_NoTrigSrc</t>
  </si>
  <si>
    <t>1 = AlrmTrgSrc_SnsrSoundrBattBacked</t>
  </si>
  <si>
    <t>2 = AlrmTrgSrc_SnsrIncln</t>
  </si>
  <si>
    <t>3 = AlrmTrgSrc_SnsrIntrScanr</t>
  </si>
  <si>
    <t>4 = AlrmTrgSrc_Hood</t>
  </si>
  <si>
    <t>5 = AlrmTrgSrc_Tr</t>
  </si>
  <si>
    <t>6 = AlrmTrgSrc_DoorDrvr</t>
  </si>
  <si>
    <t>7 = AlrmTrgSrc_DoorPass</t>
  </si>
  <si>
    <t>8 = AlrmTrgSrc_DoorReLe</t>
  </si>
  <si>
    <t>9 = AlrmTrgSrc_DoorReRi</t>
  </si>
  <si>
    <t>10 = AlrmTrgSrc_VehImobnInvld</t>
  </si>
  <si>
    <t>11 = AlrmTrgSrc_VSTD</t>
  </si>
  <si>
    <t>12 = AlrmTrgSrc_Alcoloch</t>
  </si>
  <si>
    <t>TMS_Enum_AmbTIndcdUnit</t>
  </si>
  <si>
    <t>0 = AmbTIndcdUnit_Celsius</t>
  </si>
  <si>
    <t>1 = AmbTIndcdUnit_Fahrenheit</t>
  </si>
  <si>
    <t>2 = AmbTIndcdUnit_UkwnUnit</t>
  </si>
  <si>
    <t>TMS_Enum_AmntSnsr</t>
  </si>
  <si>
    <t>0 = AmntSnsr_Amnt</t>
  </si>
  <si>
    <t>14 = AmntSnsr_InitValue</t>
  </si>
  <si>
    <t>15 = AmntSnsr_Error</t>
  </si>
  <si>
    <t>TMS_Enum_ANPFuncStatus</t>
  </si>
  <si>
    <t>0 = ANPFuncStatus_Passive</t>
  </si>
  <si>
    <t>1 = ANPFuncStatus_MPStandby</t>
  </si>
  <si>
    <t>2 = ANPFuncStatus_MDStandby</t>
  </si>
  <si>
    <t>3 = ANPFuncStatus_MPNormal</t>
  </si>
  <si>
    <t>4 = ANPFuncStatus_MDNormal</t>
  </si>
  <si>
    <t>5 = ANPFuncStatus_ACCNormal</t>
  </si>
  <si>
    <t>6 = ANPFuncStatus_MPOverride</t>
  </si>
  <si>
    <t>7 = ANPFuncStatus_MDOverride</t>
  </si>
  <si>
    <t>8 = ANPFuncStatus_MPTakeover</t>
  </si>
  <si>
    <t>9 = ANPFuncStatus_MDTakeover</t>
  </si>
  <si>
    <t>10 = ANPFuncStatus_MPSafeStop</t>
  </si>
  <si>
    <t>11 = ANPFuncStatus_MDSafeStop</t>
  </si>
  <si>
    <t>12 = ANPFuncStatus_Fault</t>
  </si>
  <si>
    <t>13 = ANPFuncStatus_MPTempPassive</t>
  </si>
  <si>
    <t>14 = ANPFuncStatus_MDTempPassive</t>
  </si>
  <si>
    <t>15 = ANPFuncStatus_ACCTakeOver</t>
  </si>
  <si>
    <t>16 = ANPFuncStatus_ACCSafeStop</t>
  </si>
  <si>
    <t>17 = ANPFuncStatus_BACUSafeStop</t>
  </si>
  <si>
    <t>18 = ANPFuncStatus_Reserved1</t>
  </si>
  <si>
    <t>19 = ANPFuncStatus_Reserved2</t>
  </si>
  <si>
    <t>20 = ANPFuncStatus_Reserved3</t>
  </si>
  <si>
    <t>TMS_Enum_AntithftActvnNotif1</t>
  </si>
  <si>
    <t>0 = AntithftActvnNotif1_NotActvd</t>
  </si>
  <si>
    <t>1 = AntithftActvnNotif1_Actvd</t>
  </si>
  <si>
    <t>TMS_Enum_AppRel</t>
  </si>
  <si>
    <t>0 = AppRel_Applied</t>
  </si>
  <si>
    <t>1 = AppRel_Released</t>
  </si>
  <si>
    <t>2 = AppRel_Applying</t>
  </si>
  <si>
    <t>3 = AppRel_Releasing</t>
  </si>
  <si>
    <t>4 = AppRel_Unknown</t>
  </si>
  <si>
    <t>5 = AppRel_HoldApplied</t>
  </si>
  <si>
    <t>6 = AppRel_CompletelyReleased</t>
  </si>
  <si>
    <t>7 = AppRel_HapPrepared</t>
  </si>
  <si>
    <t>TMS_Enum_ApproachLiSetReq</t>
  </si>
  <si>
    <t>0 = ApproachLiSetReq_Off</t>
  </si>
  <si>
    <t>1 = ApproachLiSetReq_ONStatic</t>
  </si>
  <si>
    <t>2 = ApproachLiSetReq_ONDynamic</t>
  </si>
  <si>
    <t>TMS_Enum_AsyALgtCtrlMod1</t>
  </si>
  <si>
    <t>0 = AsyALgtCtrlMod_NoReq</t>
  </si>
  <si>
    <t>11 = AsyALgtCtrlMod_APA</t>
  </si>
  <si>
    <t>10 = AsyALgtCtrlMod_PEB</t>
  </si>
  <si>
    <t>13 = AsyALgtCtrlMod_HPA</t>
  </si>
  <si>
    <t>12 = AsyALgtCtrlMod_RPA</t>
  </si>
  <si>
    <t>TMS_Enum_AsyALgtSts</t>
  </si>
  <si>
    <t>0 = AsyALgtSts_Reserved1</t>
  </si>
  <si>
    <t>1 = AsyALgtSts_AccSts1_StandBy</t>
  </si>
  <si>
    <t>2 = AsyALgtSts_AccSts1_Active</t>
  </si>
  <si>
    <t>3 = AsyALgtSts_Reserved2</t>
  </si>
  <si>
    <t>4 = AsyALgtSts_AccSts1_Override</t>
  </si>
  <si>
    <t>5 = AsyALgtSts_AccSts1_StandActive</t>
  </si>
  <si>
    <t>6 = AsyALgtSts_AccSts1_StandWait</t>
  </si>
  <si>
    <t>7 = AsyALgtSts_AccSts1_TemporaryFailure</t>
  </si>
  <si>
    <t>8 = AsyALgtSts_AccSts1_PermanentFailure</t>
  </si>
  <si>
    <t>9 = AsyALgtSts_Reserved3</t>
  </si>
  <si>
    <t>TMS_Enum_AsyAutDrvCtrlTyp</t>
  </si>
  <si>
    <t>0 = AsyAutDrvCtrlTyp_Inactive</t>
  </si>
  <si>
    <t>1 = AsyAutDrvCtrlTyp_ACC</t>
  </si>
  <si>
    <t>2 = AsyAutDrvCtrlTyp_GPilot</t>
  </si>
  <si>
    <t>TMS_Enum_AsyLatCtrlModReq</t>
  </si>
  <si>
    <t>0 = AsyLatCtrlModReq_NoReq</t>
  </si>
  <si>
    <t>1 = AsyLatCtrlModReq_HighWayAssist</t>
  </si>
  <si>
    <t>2 = AsyLatCtrlModReq_EmgyLaneKeepAidForObjRe</t>
  </si>
  <si>
    <t>3 = AsyLatCtrlModReq_EmgyLaneKeepAidForStat</t>
  </si>
  <si>
    <t>4 = AsyLatCtrlModReq_SftyLaneKeepAid</t>
  </si>
  <si>
    <t>5 = AsyLatCtrlModReq_SteerAssc</t>
  </si>
  <si>
    <t>6 = AsyLatCtrlModReq_Reserved1</t>
  </si>
  <si>
    <t>7 = AsyLatCtrlModReq_Reserved2</t>
  </si>
  <si>
    <t>8 = AsyLatCtrlModReq_Reserved3</t>
  </si>
  <si>
    <t>9 = AsyLatCtrlModReq_EmgyManvAssi</t>
  </si>
  <si>
    <t>10 = AsyLatCtrlModReq_Reserved4</t>
  </si>
  <si>
    <t>11 = AsyLatCtrlModReq_Reserved5</t>
  </si>
  <si>
    <t>12 = AsyLatCtrlModReq_SHWA</t>
  </si>
  <si>
    <t>13 = AsyLatCtrlModReq_APA</t>
  </si>
  <si>
    <t>14 = AsyLatCtrlModReq_RPA</t>
  </si>
  <si>
    <t>15 = AsyLatCtrlModReq_HPA</t>
  </si>
  <si>
    <t>TMS_Enum_AsyObjType</t>
  </si>
  <si>
    <t>0 = AsyObjType_Car</t>
  </si>
  <si>
    <t>1 = AsyObjType_Pedestrian</t>
  </si>
  <si>
    <t>2 = AsyObjType_Cyclist</t>
  </si>
  <si>
    <t>3 = AsyObjType_Motorbike</t>
  </si>
  <si>
    <t>4 = AsyObjType_Bus</t>
  </si>
  <si>
    <t>5 = AsyObjType_Truck</t>
  </si>
  <si>
    <t>6 = AsyObjType_Tree</t>
  </si>
  <si>
    <t>7 = AsyObjType_Wall</t>
  </si>
  <si>
    <t>8 = AsyObjType_Animal</t>
  </si>
  <si>
    <t>9 = AsyObjType_Unknown</t>
  </si>
  <si>
    <t>TMS_Enum_AsyPrimADSts</t>
  </si>
  <si>
    <t>0 = AsyPrimADSts_Passive</t>
  </si>
  <si>
    <t>1 = AsyPrimADSts_Standby</t>
  </si>
  <si>
    <t>2 = AsyPrimADSts_Active</t>
  </si>
  <si>
    <t>3 = AsyPrimADSts_OtherStatus</t>
  </si>
  <si>
    <t>TMS_Enum_AsySecADSts</t>
  </si>
  <si>
    <t>0 = AsySecADSts_Standby</t>
  </si>
  <si>
    <t>1 = AsySecADSts_Active1</t>
  </si>
  <si>
    <t>2 = AsySecADSts_Active2</t>
  </si>
  <si>
    <t>3 = AsySecADSts_OtherStatus</t>
  </si>
  <si>
    <t>TMS_Enum_AsySftyDecelAtv</t>
  </si>
  <si>
    <t>0 = AsySftyDecelAtv_Inactive</t>
  </si>
  <si>
    <t>1 = AsySftyDecelAtv_AEBAtv</t>
  </si>
  <si>
    <t>2 = AsySftyDecelAtv_DBSAtv</t>
  </si>
  <si>
    <t>3 = AsySftyDecelAtv_Reserved</t>
  </si>
  <si>
    <t>TMS_Enum_AsySftyDecelEnadByVehDyn1</t>
  </si>
  <si>
    <t>0 = AsySftyDecelEnadByVehDyn1_AsyBrkgNotAllwd</t>
  </si>
  <si>
    <t>1 = AsySftyDecelEnadByVehDyn1_AsyBrkgAllwd</t>
  </si>
  <si>
    <t>TMS_Enum_AsySftyHWLReq</t>
  </si>
  <si>
    <t>0 = AsySftyHWLReq_NoRequest</t>
  </si>
  <si>
    <t>1 = AsySftyHWLReq_TurnOn</t>
  </si>
  <si>
    <t>2 = AsySftyHWLReq_TurnOff</t>
  </si>
  <si>
    <t>3 = AsySftyHWLReq_Reserved</t>
  </si>
  <si>
    <t>TMS_Enum_AudPowerMode</t>
  </si>
  <si>
    <t>0 = AudPowerMode_Off</t>
  </si>
  <si>
    <t>1 = AudPowerMode_Standby</t>
  </si>
  <si>
    <t>2 = AudPowerMode_Full</t>
  </si>
  <si>
    <t>TMS_Enum_AutHldDrvrDisp</t>
  </si>
  <si>
    <t>1 = AutHldDrvrDisp_Msg1</t>
  </si>
  <si>
    <t>2 = AutHldDrvrDisp_Msg2</t>
  </si>
  <si>
    <t>3 = AutHldDrvrDisp_Msg3</t>
  </si>
  <si>
    <t>4 = AutHldDrvrDisp_Msg4</t>
  </si>
  <si>
    <t>5 = AutHldDrvrDisp_Err</t>
  </si>
  <si>
    <t>TMS_Enum_AutoModReq</t>
  </si>
  <si>
    <t>0 = AutoModReq_Default</t>
  </si>
  <si>
    <t>1 = AutoModReq_Auto</t>
  </si>
  <si>
    <t>2 = AutoModReq_Manual</t>
  </si>
  <si>
    <t>3 = AutoModReq_Reserve</t>
  </si>
  <si>
    <t>TMS_Enum_AvlSts1</t>
  </si>
  <si>
    <t>0 = AvlSts1_TmpNotAvl</t>
  </si>
  <si>
    <t>1 = AvlSts1_PrmntNotAvl</t>
  </si>
  <si>
    <t>2 = AvlSts1_Avl</t>
  </si>
  <si>
    <t>TMS_Enum_AvlSts2</t>
  </si>
  <si>
    <t>0 = AvlSts2_NotAvl</t>
  </si>
  <si>
    <t>1 = AvlSts2_Avl</t>
  </si>
  <si>
    <t>TMS_Enum_AVPHandleType</t>
  </si>
  <si>
    <t>0 = DEFAULT</t>
  </si>
  <si>
    <t>1 = CDC_SOFT_SWITCH</t>
  </si>
  <si>
    <t>2 = CDC_INSIDE_VOICE</t>
  </si>
  <si>
    <t>3 = CDC_OUTSIDE_VOICE</t>
  </si>
  <si>
    <t>4 = STEEL_KEY</t>
  </si>
  <si>
    <t>5 = BLUETOOTH</t>
  </si>
  <si>
    <t>6 = TELEMATICS</t>
  </si>
  <si>
    <t>TMS_Enum_AVPParkLotForm</t>
  </si>
  <si>
    <t>0 = ParkLotVertical</t>
  </si>
  <si>
    <t>1 = ParkLotLatitude</t>
  </si>
  <si>
    <t>2 = ParkLotInclined</t>
  </si>
  <si>
    <t>TMS_Enum_AVPReq</t>
  </si>
  <si>
    <t>0 = AVPFct_NoReq</t>
  </si>
  <si>
    <t>1 = AVPFct_StartPrepare</t>
  </si>
  <si>
    <t>2 = AVPFct_Start</t>
  </si>
  <si>
    <t>3 = AVPFct_Stop</t>
  </si>
  <si>
    <t>4 = AVPFct_StopRecover</t>
  </si>
  <si>
    <t>5 = AVPFct_Out</t>
  </si>
  <si>
    <t>6 = AVPFct_Reserved1</t>
  </si>
  <si>
    <t>7 = AVPFct_Reserved2</t>
  </si>
  <si>
    <t>TMS_Enum_AxleTqDistbnReq</t>
  </si>
  <si>
    <t>0 = AxleTqDistbnReq_PosnUkwn</t>
  </si>
  <si>
    <t>1 = AxleTqDistbnReq_PosnMin</t>
  </si>
  <si>
    <t>2 = AxleTqDistbnReq_Perc10</t>
  </si>
  <si>
    <t>3 = AxleTqDistbnReq_Perc20</t>
  </si>
  <si>
    <t>4 = AxleTqDistbnReq_Perc30</t>
  </si>
  <si>
    <t>5 = AxleTqDistbnReq_Perc40</t>
  </si>
  <si>
    <t>6 = AxleTqDistbnReq_Perc50</t>
  </si>
  <si>
    <t>7 = AxleTqDistbnReq_Perc60</t>
  </si>
  <si>
    <t>8 = AxleTqDistbnReq_Perc70</t>
  </si>
  <si>
    <t>9 = AxleTqDistbnReq_Perc80</t>
  </si>
  <si>
    <t>10 = AxleTqDistbnReq_Perc90</t>
  </si>
  <si>
    <t>11 = AxleTqDistbnReq_PosnMax</t>
  </si>
  <si>
    <t>12 = AxleTqDistbnReq_Auto</t>
  </si>
  <si>
    <t>TMS_Enum_BattSnsrSt</t>
  </si>
  <si>
    <t>0 = BattSnsrSt_Off</t>
  </si>
  <si>
    <t>1 = BattSnsrSt_Accessory</t>
  </si>
  <si>
    <t>2 = BattSnsrSt_IgnistionONOrDriving</t>
  </si>
  <si>
    <t>3 = BattSnsrSt_Cranking</t>
  </si>
  <si>
    <t>TMS_Enum_BattSnsrType</t>
  </si>
  <si>
    <t>0 = BattSnsrType_AWC</t>
  </si>
  <si>
    <t>1 = BattSnsrType_Reserved01</t>
  </si>
  <si>
    <t>2 = BattSnsrType_Reserved02</t>
  </si>
  <si>
    <t>3 = BattSnsrType_NAWC</t>
  </si>
  <si>
    <t>TMS_Enum_BattSocSts</t>
  </si>
  <si>
    <t>0 = BattSocSts_Larger15Per</t>
  </si>
  <si>
    <t>1 = BattSocSts_LessOrEqual15Per</t>
  </si>
  <si>
    <t>2 = BattSocSts_LessOrEqual10Per</t>
  </si>
  <si>
    <t>3 = BattSocSts_Invalid</t>
  </si>
  <si>
    <t>TMS_Enum_BattSOH</t>
  </si>
  <si>
    <t>255 = BattSOH_Invalid</t>
  </si>
  <si>
    <t>TMS_Enum_BattSOHLAMRaw</t>
  </si>
  <si>
    <t>255 = BattSOHLAMRaw_Invalid</t>
  </si>
  <si>
    <t>TMS_Enum_BegCluReq</t>
  </si>
  <si>
    <t>0 = BegCluReq_Default</t>
  </si>
  <si>
    <t>1 = BegCluReq_BegForCluReqClose</t>
  </si>
  <si>
    <t>2 = BegCluReq_BegForCluReqOpen</t>
  </si>
  <si>
    <t>3 = BegCluReq_Reserve</t>
  </si>
  <si>
    <t>TMS_Enum_BgrndInputType</t>
  </si>
  <si>
    <t>0 = BgrndInputType_2_0</t>
  </si>
  <si>
    <t>1 = BgrndInputType_5_1</t>
  </si>
  <si>
    <t>2 = BgrndInputType_7_1_2</t>
  </si>
  <si>
    <t>3 = BgrndInputType_5_1_2</t>
  </si>
  <si>
    <t>4 = BgrndInputType_7_1</t>
  </si>
  <si>
    <t>5 = BgrndInputType_reserved1</t>
  </si>
  <si>
    <t>6 = BgrndInputType_reserved2</t>
  </si>
  <si>
    <t>7 = BgrndInputType_reserved3</t>
  </si>
  <si>
    <t>TMS_Enum_BLERPAMovingControl</t>
  </si>
  <si>
    <t>0 = NoRequest</t>
  </si>
  <si>
    <t>1 = Touch</t>
  </si>
  <si>
    <t>2 = Release</t>
  </si>
  <si>
    <t>3 = Reserved</t>
  </si>
  <si>
    <t>TMS_Enum_BlowerReErrSts</t>
  </si>
  <si>
    <t>0 = HvacFanReSts1_Na</t>
  </si>
  <si>
    <t>1 = HvacFanReSts1_IntErr</t>
  </si>
  <si>
    <t>2 = HvacFanReSts1_CircSho</t>
  </si>
  <si>
    <t>3 = HvacFanReSts1_Resd1</t>
  </si>
  <si>
    <t>4 = HvacFanReSts1_TOver</t>
  </si>
  <si>
    <t>5 = HvacFanReSts1_Resd2</t>
  </si>
  <si>
    <t>8 = HvacFanReSts1_MotIntrptDetd</t>
  </si>
  <si>
    <t>9 = HvacFanReSts1_Resd3</t>
  </si>
  <si>
    <t>16 = HvacFanReSts1_UHi</t>
  </si>
  <si>
    <t>17 = HvacFanReSts1_Resd4</t>
  </si>
  <si>
    <t>32 = HvacFanReSts1_Uli</t>
  </si>
  <si>
    <t>TMS_Enum_BlowerReSts</t>
  </si>
  <si>
    <t>0 = HvacFanReSts2_Na</t>
  </si>
  <si>
    <t>1 = HvacFanReSts2_ILimnActv</t>
  </si>
  <si>
    <t>2 = HvacFanReSts2_SpOk</t>
  </si>
  <si>
    <t>3 = HvacFanReSts2_Resd1</t>
  </si>
  <si>
    <t>4 = HvacFanReSts2_EmgyOff</t>
  </si>
  <si>
    <t>5 = HvacFanReSts2_Resd2</t>
  </si>
  <si>
    <t>8 = HvacFanReSts2_StsInvld2</t>
  </si>
  <si>
    <t>TMS_Enum_BltLockSt1</t>
  </si>
  <si>
    <t>0 = BltLockSt1_Unlock</t>
  </si>
  <si>
    <t>1 = BltLockSt1_Lock</t>
  </si>
  <si>
    <t>TMS_Enum_Bmf</t>
  </si>
  <si>
    <t>0 = Bmf_Undefine</t>
  </si>
  <si>
    <t>1 = Bmf_Timestamp1</t>
  </si>
  <si>
    <t>2 = Bmf_BuyMAC1</t>
  </si>
  <si>
    <t>TMS_Enum_BMSWakeUpTrgSrc</t>
  </si>
  <si>
    <t>0 = BMSWakeUpTrgSrc_NotReqd</t>
  </si>
  <si>
    <t>1 = BMSWakeUpTrgSrc_LoSOC</t>
  </si>
  <si>
    <t>2 = BMSWakeUpTrgSrc_LoVoltage</t>
  </si>
  <si>
    <t>3 = BMSWakeUpTrgSrc_ChrgnCurrent</t>
  </si>
  <si>
    <t>4 = BMSWakeUpTrgSrc_DisChrgnCurrent</t>
  </si>
  <si>
    <t>5 = BMSWakeUpTrgSrc_Reserved1</t>
  </si>
  <si>
    <t>6 = BMSWakeUpTrgSrc_Reserved2</t>
  </si>
  <si>
    <t>7 = BMSWakeUpTrgSrc_Reserved3</t>
  </si>
  <si>
    <t>TMS_Enum_BookChargeSetResponse</t>
  </si>
  <si>
    <t>0 = BookChargeSetResponse_Default</t>
  </si>
  <si>
    <t>1 = BookChargeSetResponse_Success</t>
  </si>
  <si>
    <t>2 = BookChargeSetResponse_Cancelled</t>
  </si>
  <si>
    <t>3 = BookChargeSetResponse_Fail</t>
  </si>
  <si>
    <t>TMS_Enum_BookChrgnStsFb</t>
  </si>
  <si>
    <t>0 = BookChrgnStsFb_Default</t>
  </si>
  <si>
    <t>1 = BookChrgnStsFb_Success</t>
  </si>
  <si>
    <t>2 = BookChrgnStsFb_Fail</t>
  </si>
  <si>
    <t>3 = BookChrgnStsFb_Finished</t>
  </si>
  <si>
    <t>TMS_Enum_Boolean</t>
  </si>
  <si>
    <t>0 = Boolean_FALSE</t>
  </si>
  <si>
    <t>1 = Boolean_TRUE</t>
  </si>
  <si>
    <t>TMS_Enum_BoostLvRlySts</t>
  </si>
  <si>
    <t>0 = BoostLvRlySts_Default</t>
  </si>
  <si>
    <t>1 = BoostLvRlySts_Open</t>
  </si>
  <si>
    <t>2 = BoostLvRlySts_Close</t>
  </si>
  <si>
    <t>3 = BoostLvRlySts_StuckOpen</t>
  </si>
  <si>
    <t>4 = BoostLvRlySts_StuckClose</t>
  </si>
  <si>
    <t>5 = BoostLvRlySts_Undefined</t>
  </si>
  <si>
    <t>6 = BoostLvRlySts_Reserved1</t>
  </si>
  <si>
    <t>7 = BoostLvRlySts_Reserved2</t>
  </si>
  <si>
    <t>TMS_Enum_BoostSt</t>
  </si>
  <si>
    <t>0 = BoostSt_Init</t>
  </si>
  <si>
    <t>1 = BoostSt_C1Precharge</t>
  </si>
  <si>
    <t>2 = BoostSt_BoostReady</t>
  </si>
  <si>
    <t>3 = BoostSt_BoostActive</t>
  </si>
  <si>
    <t>4 = BoostSt_C1activedischarge</t>
  </si>
  <si>
    <t>5 = BoostSt_Fault</t>
  </si>
  <si>
    <t>6 = BoostSt_Derating</t>
  </si>
  <si>
    <t>7 = BoostSt_BoostOff</t>
  </si>
  <si>
    <t>TMS_Enum_BoostStsReq</t>
  </si>
  <si>
    <t>0 = BoostStsReq_Init</t>
  </si>
  <si>
    <t>1 = BoostStsReq_C1Precharge</t>
  </si>
  <si>
    <t>2 = BoostStsReq_BoostReady</t>
  </si>
  <si>
    <t>3 = BoostStsReq_BoostActive</t>
  </si>
  <si>
    <t>4 = BoostStsReq_C1ActiveDisChrgn</t>
  </si>
  <si>
    <t>5 = BoostStsReq_BoostOff</t>
  </si>
  <si>
    <t>6 = BoostStsReq_Reserved1</t>
  </si>
  <si>
    <t>7 = BoostStsReq_Reserved2</t>
  </si>
  <si>
    <t>TMS_Enum_BrkActrCtrlMod1</t>
  </si>
  <si>
    <t>0 = BrkActrCtrlMod1_Norm</t>
  </si>
  <si>
    <t>1 = BrkActrCtrlMod1_Cmft</t>
  </si>
  <si>
    <t>2 = BrkActrCtrlMod1_Sfty</t>
  </si>
  <si>
    <t>3 = BrkActrCtrlMod1_Resd</t>
  </si>
  <si>
    <t>TMS_Enum_BrkBoostCtrlMod1</t>
  </si>
  <si>
    <t>0 = BrkBoostCtrlMod1_Pas</t>
  </si>
  <si>
    <t>1 = BrkBoostCtrlMod1_PreLoad</t>
  </si>
  <si>
    <t>2 = BrkBoostCtrlMod1_Hld</t>
  </si>
  <si>
    <t>3 = BrkBoostCtrlMod1_Suctn</t>
  </si>
  <si>
    <t>4 = BrkBoostCtrlMod1_HldPLo</t>
  </si>
  <si>
    <t>5 = BrkBoostCtrlMod1_Abort</t>
  </si>
  <si>
    <t>6 = BrkBoostCtrlMod1_Resd6</t>
  </si>
  <si>
    <t>7 = BrkBoostCtrlMod1_Resd7</t>
  </si>
  <si>
    <t>TMS_Enum_BrkBoostCtrlSts1</t>
  </si>
  <si>
    <t>0 = BrkBoostCtrlSts1_Inin</t>
  </si>
  <si>
    <t>1 = BrkBoostCtrlSts1_NotAvl</t>
  </si>
  <si>
    <t>2 = BrkBoostCtrlSts1_Diagn</t>
  </si>
  <si>
    <t>3 = BrkBoostCtrlSts1_Undefd</t>
  </si>
  <si>
    <t>4 = BrkBoostCtrlSts1_SngOper</t>
  </si>
  <si>
    <t>5 = BrkBoostCtrlSts1_LimdOper</t>
  </si>
  <si>
    <t>6 = BrkBoostCtrlSts1_PostRunLimdOper</t>
  </si>
  <si>
    <t>7 = BrkBoostCtrlSts1_FullOper</t>
  </si>
  <si>
    <t>TMS_Enum_BrkDegrad</t>
  </si>
  <si>
    <t>0 = NoDegradation_Green</t>
  </si>
  <si>
    <t>1 = LgtFailr_Red</t>
  </si>
  <si>
    <t>2 = AbsEscTemporarilyOff_Yellow</t>
  </si>
  <si>
    <t>3 = EscServiceRequired_Yellow</t>
  </si>
  <si>
    <t>4 = EscTemporarilyOff_Yellow</t>
  </si>
  <si>
    <t>5 = StcTemporarilyOff_Yellow</t>
  </si>
  <si>
    <t>6 = EpbFailr_Yellow</t>
  </si>
  <si>
    <t>7 = Reserved0</t>
  </si>
  <si>
    <t>8 = Reserved1</t>
  </si>
  <si>
    <t>9 = Reserved2</t>
  </si>
  <si>
    <t>10 = Reserved3</t>
  </si>
  <si>
    <t>11 = BrkDegrad_GeneralBrakeFailureYellow</t>
  </si>
  <si>
    <t>12 = Reserved5</t>
  </si>
  <si>
    <t>13 = Reserved6</t>
  </si>
  <si>
    <t>14 = Reserved7</t>
  </si>
  <si>
    <t>15 = Reserved8</t>
  </si>
  <si>
    <t>TMS_Enum_BrkMsgWarn1</t>
  </si>
  <si>
    <t>0 = BrkMsgWarn1_NoReq</t>
  </si>
  <si>
    <t>1 = BrkMsgWarn1_Msg1</t>
  </si>
  <si>
    <t>2 = BrkMsgWarn1_Msg2</t>
  </si>
  <si>
    <t>3 = BrkMsgWarn1_Msg3</t>
  </si>
  <si>
    <t>4 = BrkMsgWarn1_Msg4</t>
  </si>
  <si>
    <t>5 = BrkMsgWarn1_Msg5</t>
  </si>
  <si>
    <t>6 = BrkMsgWarn1_Msg6</t>
  </si>
  <si>
    <t>7 = BrkMsgWarn1_Msg7</t>
  </si>
  <si>
    <t>TMS_Enum_BrkSts</t>
  </si>
  <si>
    <t>0 = BrkSts_NoBrake</t>
  </si>
  <si>
    <t>1 = BrkSts_Brake</t>
  </si>
  <si>
    <t>TMS_Enum_BrkSysCap</t>
  </si>
  <si>
    <t>0 = NotInitialized</t>
  </si>
  <si>
    <t>1 = Full</t>
  </si>
  <si>
    <t>2 = TestPending</t>
  </si>
  <si>
    <t>3 = Fault</t>
  </si>
  <si>
    <t>TMS_Enum_BrkSysSts1</t>
  </si>
  <si>
    <t>0 = NotAvailable_Temporary</t>
  </si>
  <si>
    <t>1 = NotAvailable_NotReleased</t>
  </si>
  <si>
    <t>2 = NotAvailable_Permanent</t>
  </si>
  <si>
    <t>3 = NotActivated_FullAvailable</t>
  </si>
  <si>
    <t>4 = Activation_Preparation</t>
  </si>
  <si>
    <t>5 = Activation_Pending</t>
  </si>
  <si>
    <t>6 = Activation_PendingRedundancyLost</t>
  </si>
  <si>
    <t>7 = Activation_PendingFailOperation</t>
  </si>
  <si>
    <t>8 = Activated_FullAvailable</t>
  </si>
  <si>
    <t>9 = Activated_FailOperation</t>
  </si>
  <si>
    <t>10 = Activated_RedundancyLost</t>
  </si>
  <si>
    <t>11 = Deactivation_Pending</t>
  </si>
  <si>
    <t>TMS_Enum_BtnStsSngTyp</t>
  </si>
  <si>
    <t>0 = BtnStsSngTyp_Idle</t>
  </si>
  <si>
    <t>1 = BtnStsSngTyp_BtnPsd</t>
  </si>
  <si>
    <t>TMS_Enum_BuzzerReqUSS</t>
  </si>
  <si>
    <t>0 = BuzzerReqUSS_BuzzerOFF</t>
  </si>
  <si>
    <t>1 = BuzzerReqUSS_BuzzerON_Keep</t>
  </si>
  <si>
    <t>2 = BuzzerReqUSS_BuzzerON_4Hz</t>
  </si>
  <si>
    <t>3 = BuzzerReqUSS_BuzzerON_2Hz</t>
  </si>
  <si>
    <t>TMS_Enum_CabinCleanSts</t>
  </si>
  <si>
    <t>0 = CabinCleanSts_Off</t>
  </si>
  <si>
    <t>1 = CabinCleanSts_On</t>
  </si>
  <si>
    <t>2 = CabinCleanSts_Error</t>
  </si>
  <si>
    <t>3 = CabinCleanSts_Energylimit</t>
  </si>
  <si>
    <t>TMS_Enum_CalforAWMPosn</t>
  </si>
  <si>
    <t>0 = CalForAWMPosn_NoCmd</t>
  </si>
  <si>
    <t>1 = CalForAWMPosn_ClrCmd</t>
  </si>
  <si>
    <t>2 = CalForAWMPosn_LrngCmd</t>
  </si>
  <si>
    <t>3 = CalForAWMPosn_ReqCmd</t>
  </si>
  <si>
    <t>TMS_Enum_CalPsbl</t>
  </si>
  <si>
    <t>0 = CalPsbl_CalPsbl</t>
  </si>
  <si>
    <t>1 = CalPsbl_CalNoPsbl</t>
  </si>
  <si>
    <t>TMS_Enum_CalStsAWM</t>
  </si>
  <si>
    <t>0 = CalStsAWM_Nocal</t>
  </si>
  <si>
    <t>1 = CalStsAWM_Calg</t>
  </si>
  <si>
    <t>2 = CalStsAWM_Cald</t>
  </si>
  <si>
    <t>3 = CalStsAWM_CalErr</t>
  </si>
  <si>
    <t>TMS_Enum_CarFindrHornLiReqFromTelm</t>
  </si>
  <si>
    <t>0 = CarFindrHornLiReqFromTelm_NoReq</t>
  </si>
  <si>
    <t>1 = CarFindrHornLiReqFromTelm_HornReq</t>
  </si>
  <si>
    <t>2 = CarFindrHornLiReqFromTelm_LiReq</t>
  </si>
  <si>
    <t>3 = CarFindrHornLiReqFromTelm_HornLiReq</t>
  </si>
  <si>
    <t>TMS_Enum_CarFindrHornLiSetActv</t>
  </si>
  <si>
    <t>0 = CarFindrHornLiSetActv_HornLiSetActv</t>
  </si>
  <si>
    <t>1 = CarFindrHornLiSetActv_HornSetActv</t>
  </si>
  <si>
    <t>2 = CarFindrHornLiSetActv_LiSetActv</t>
  </si>
  <si>
    <t>3 = CarFindrHornLiSetActv_Reserved</t>
  </si>
  <si>
    <t>TMS_Enum_CarModDisp1</t>
  </si>
  <si>
    <t>0 = CarModDisp1_NoDisp</t>
  </si>
  <si>
    <t>1 = CarModDisp1_Facy</t>
  </si>
  <si>
    <t>2 = CarModDisp1_FacyStop</t>
  </si>
  <si>
    <t>3 = CarModDisp1_Trnsp</t>
  </si>
  <si>
    <t>4 = CarModDisp1_TrnspStop</t>
  </si>
  <si>
    <t>5 = CarModDisp1_Dyno</t>
  </si>
  <si>
    <t>6 = CarModDisp1_Norm</t>
  </si>
  <si>
    <t>7 = CarModDisp1_Crash</t>
  </si>
  <si>
    <t>TMS_Enum_CarModeReq</t>
  </si>
  <si>
    <t>0 = CarModeReq_NORMAL</t>
  </si>
  <si>
    <t>1 = CarModeReq_TRANSPORT</t>
  </si>
  <si>
    <t>2 = CarModeReq_FACTORY</t>
  </si>
  <si>
    <t>3 = CarModeReq_CRASH</t>
  </si>
  <si>
    <t>4 = CarModeReq_IDLE</t>
  </si>
  <si>
    <t>5 = CarModeReq_DYNO</t>
  </si>
  <si>
    <t>TMS_Enum_CarModSts1</t>
  </si>
  <si>
    <t>0 = CarModSts1_CarModNorm</t>
  </si>
  <si>
    <t>1 = CarModSts1_CarModTrnsp</t>
  </si>
  <si>
    <t>2 = CarModSts1_CarModFcy</t>
  </si>
  <si>
    <t>3 = CarModSts1_CarModCrash</t>
  </si>
  <si>
    <t>5 = CarModSts1_CarModDyno</t>
  </si>
  <si>
    <t>TMS_Enum_CCOrCVModSt</t>
  </si>
  <si>
    <t>0 = CCOrCVModSt_Default</t>
  </si>
  <si>
    <t>1 = CCOrCVModSt_CV</t>
  </si>
  <si>
    <t>2 = CCOrCVModSt_CC</t>
  </si>
  <si>
    <t>3 = CCOrCVModSt_Reserved</t>
  </si>
  <si>
    <t>TMS_Enum_CCSts</t>
  </si>
  <si>
    <t>0 = CCSts_NotConnected</t>
  </si>
  <si>
    <t>1 = CCSts_HalfConnected</t>
  </si>
  <si>
    <t>2 = CCSts_Connected</t>
  </si>
  <si>
    <t>3 = CCSts_Connected_V2L</t>
  </si>
  <si>
    <t>4 = CCSts_Short_Circuit</t>
  </si>
  <si>
    <t>TMS_Enum_CDCDisplayMode</t>
  </si>
  <si>
    <t>0 = CDCDisplayMode_Daymode</t>
  </si>
  <si>
    <t>1 = CDCDisplayMode_Nightmode</t>
  </si>
  <si>
    <t>2 = CDCDisplayMode_Nosetting</t>
  </si>
  <si>
    <t>3 = CDCDisplayMode_Reserve</t>
  </si>
  <si>
    <t>TMS_Enum_CDCFltSts</t>
  </si>
  <si>
    <t>0 = CDCFltSts_No_fault</t>
  </si>
  <si>
    <t>1 = CDCFltSts_Fault</t>
  </si>
  <si>
    <t>2 = CDCFltSts_Serializer_fault</t>
  </si>
  <si>
    <t>3 = CDCFltSts_Reserve</t>
  </si>
  <si>
    <t>TMS_Enum_CDDispErrProcess</t>
  </si>
  <si>
    <t>0 = CDDispErrProcess_Waiting</t>
  </si>
  <si>
    <t>1 = CDDispErrProcess_Log_Collecting</t>
  </si>
  <si>
    <t>2 = CDDispErrProcess_Reseting</t>
  </si>
  <si>
    <t>3 = CDDispErrProcess_Reserved</t>
  </si>
  <si>
    <t>TMS_Enum_CDDispErrSts</t>
  </si>
  <si>
    <t>0 = CDDispErrSts_Not_occur</t>
  </si>
  <si>
    <t>1 = CDDispErrSts_Occur</t>
  </si>
  <si>
    <t>TMS_Enum_CDWorkSts</t>
  </si>
  <si>
    <t>0 = CDWorkSts_Unknow</t>
  </si>
  <si>
    <t>1 = CDWorkSts_Start_up</t>
  </si>
  <si>
    <t>2 = CDWorkSts_Shut_down</t>
  </si>
  <si>
    <t>3 = CDWorkSts_Work_On</t>
  </si>
  <si>
    <t>4 = CDWorkSts_Reserve1</t>
  </si>
  <si>
    <t>5 = CDWorkSts_Reserve2</t>
  </si>
  <si>
    <t>6 = CDWorkSts_Reserve3</t>
  </si>
  <si>
    <t>7 = CDWorkSts_Reserve4</t>
  </si>
  <si>
    <t>TMS_Enum_Cfmd1</t>
  </si>
  <si>
    <t>0 = Cfmd1_NotCfmd</t>
  </si>
  <si>
    <t>1 = Cfmd1_Cfmd</t>
  </si>
  <si>
    <t>TMS_Enum_ChagSts</t>
  </si>
  <si>
    <t>0 = Init</t>
  </si>
  <si>
    <t>1 = Changing</t>
  </si>
  <si>
    <t>2 = Changesucceeded</t>
  </si>
  <si>
    <t>3 = Changefailed</t>
  </si>
  <si>
    <t>TMS_Enum_CheckSts</t>
  </si>
  <si>
    <t>0 = OK</t>
  </si>
  <si>
    <t>1 = Not_OK</t>
  </si>
  <si>
    <t>TMS_Enum_ChrgHndlStrtEna</t>
  </si>
  <si>
    <t>0 = ChrgHndlStrtEna_PwrUpNotEna</t>
  </si>
  <si>
    <t>1 = ChrgHndlStrtEna_PwrUpEna</t>
  </si>
  <si>
    <t>TMS_Enum_ChrgLidManvgDCorAcDcActTq</t>
  </si>
  <si>
    <t>0 = ChrgLidManvgDCorAcDcActTq_NominalTorque</t>
  </si>
  <si>
    <t>1 = ChrgLidManvgDCorAcDcActTq_reserved0</t>
  </si>
  <si>
    <t>2 = ChrgLidManvgDCorAcDcActTq_LowTorque</t>
  </si>
  <si>
    <t>3 = ChrgLidManvgDCorAcDcActTq_reserved1</t>
  </si>
  <si>
    <t>TMS_Enum_ChrgModeReq</t>
  </si>
  <si>
    <t>0 = ChrgModeReq_No_Request</t>
  </si>
  <si>
    <t>1 = ChrgModeReq_AC_Charging</t>
  </si>
  <si>
    <t>2 = ChrgModeReq_Boost_PreCharging</t>
  </si>
  <si>
    <t>3 = ChrgModeReq_Boost_Charging</t>
  </si>
  <si>
    <t>4 = ChrgModeReq_DC_Charging</t>
  </si>
  <si>
    <t>5 = ChrgModeReq_Reserved1</t>
  </si>
  <si>
    <t>6 = ChrgModeReq_Reserved2</t>
  </si>
  <si>
    <t>15 = ChrgModeReq_Init</t>
  </si>
  <si>
    <t>TMS_Enum_ChrgnSts</t>
  </si>
  <si>
    <t>0 = ChrgnSts_Fault</t>
  </si>
  <si>
    <t>1 = ChrgnSts_ChargingInParkingState</t>
  </si>
  <si>
    <t>2 = ChrgnSts_ChargingInDrivingState</t>
  </si>
  <si>
    <t>3 = ChrgnSts_NotCharging</t>
  </si>
  <si>
    <t>4 = ChrgnSts_ChargingCompleted</t>
  </si>
  <si>
    <t>5 = ChrgnSts_Invalid</t>
  </si>
  <si>
    <t>TMS_Enum_ChrgnSts2</t>
  </si>
  <si>
    <t>0 = ChrgnSts2_default</t>
  </si>
  <si>
    <t>1 = ChrgnSts2_NoCharging</t>
  </si>
  <si>
    <t>2 = ChrgnSts2_ACCharging</t>
  </si>
  <si>
    <t>3 = ChrgnSts2_ACChargingEnd</t>
  </si>
  <si>
    <t>4 = ChrgnSts2_ChargingCmpl</t>
  </si>
  <si>
    <t>5 = ChrgnSts2_Heating</t>
  </si>
  <si>
    <t>6 = ChrgnSts2_Booking</t>
  </si>
  <si>
    <t>7 = ChrgnSts2_NoDischaring</t>
  </si>
  <si>
    <t>8 = ChrgnSts2_Discharging</t>
  </si>
  <si>
    <t>9 = ChrgnSts2_DischargingEnd</t>
  </si>
  <si>
    <t>10 = ChrgnSts2_DischargingCmpl</t>
  </si>
  <si>
    <t>11 = ChrgnSts2_Chargingfalut</t>
  </si>
  <si>
    <t>12 = ChrgnSts2_DischargingFalut</t>
  </si>
  <si>
    <t>14 = ChrgnSts2_ACChrgnFltChrgrSide</t>
  </si>
  <si>
    <t>15 = ChrgnSts2_DCCharging</t>
  </si>
  <si>
    <t>18 = ChrgnSts2_DCChrgnFltVehSide</t>
  </si>
  <si>
    <t>19 = ChrgnSts2_DCChrgnFltChrgrSideTempFlt</t>
  </si>
  <si>
    <t>20 = ChrgnSts2_DCChrgnFltChrgrSideConFlt</t>
  </si>
  <si>
    <t>21 = ChrgnSts2_DCChrgnFltChrgrSideHwFlt</t>
  </si>
  <si>
    <t>22 = ChrgnSts2_DCChrgnFltChrgrSideEmgyFlt</t>
  </si>
  <si>
    <t>23 = ChrgnSts2_DCChrgnFltChrgrSideComFlt</t>
  </si>
  <si>
    <t>24 = ChrgnSts2_SuperCharging</t>
  </si>
  <si>
    <t>25 = ChrgnSts2_ACChargingSuspend</t>
  </si>
  <si>
    <t>26 = ChrgnSts2_DCChargingEnd</t>
  </si>
  <si>
    <t>27 = ChrgnSts2_ACChrgnFltVehSide</t>
  </si>
  <si>
    <t>28 = ChrgnSts2_Boostcharging</t>
  </si>
  <si>
    <t>29 = ChrgnSts2_BoostchargingFlt</t>
  </si>
  <si>
    <t>30 = ChrgnSts2_WirelessCharging</t>
  </si>
  <si>
    <t>TMS_Enum_ChrgPilBookChrgn</t>
  </si>
  <si>
    <t>0 = ChrgPilBookChrgn_Default</t>
  </si>
  <si>
    <t>1 = ChrgPilBookChrgn_On</t>
  </si>
  <si>
    <t>2 = ChrgPilBookChrgn_Off</t>
  </si>
  <si>
    <t>3 = ChrgPilBookChrgn_Reserve</t>
  </si>
  <si>
    <t>TMS_Enum_ChrgRlySt</t>
  </si>
  <si>
    <t>0 = ChrgRlySt_Open</t>
  </si>
  <si>
    <t>1 = ChrgRlySt_Close</t>
  </si>
  <si>
    <t>2 = ChrgRlySt_Reserved1</t>
  </si>
  <si>
    <t>3 = ChrgRlySt_Reserved2</t>
  </si>
  <si>
    <t>TMS_Enum_ChrgrPileInfo</t>
  </si>
  <si>
    <t>0 = ChrgrPileInfo_Invalid</t>
  </si>
  <si>
    <t>1 = ChrgrPileInfo_Private</t>
  </si>
  <si>
    <t>2 = ChrgrPileInfo_Public</t>
  </si>
  <si>
    <t>3 = ChrgrPileInfo_Reserved</t>
  </si>
  <si>
    <t>TMS_Enum_ChrgrPilePwr</t>
  </si>
  <si>
    <t>0 = ChrgrPilePwr_Invalid</t>
  </si>
  <si>
    <t>1 = ChrgrPilePwr_7KW</t>
  </si>
  <si>
    <t>2 = ChrgrPilePwr_360KW</t>
  </si>
  <si>
    <t>3 = ChrgrPilePwr_800KW</t>
  </si>
  <si>
    <t>4 = ChrgrPilePwr_Reserved2</t>
  </si>
  <si>
    <t>5 = ChrgrPilePwr_Reserved3</t>
  </si>
  <si>
    <t>6 = ChrgrPilePwr_Reserved4</t>
  </si>
  <si>
    <t>7 = ChrgrPilePwr_Reserved5</t>
  </si>
  <si>
    <t>TMS_Enum_ChrgrPileTyp</t>
  </si>
  <si>
    <t>0 = ChrgrPileTyp_Invalid</t>
  </si>
  <si>
    <t>1 = ChrgrPileTyp_DC</t>
  </si>
  <si>
    <t>2 = ChrgrPileTyp_AC</t>
  </si>
  <si>
    <t>3 = ChrgrPileTyp_Reserved</t>
  </si>
  <si>
    <t>TMS_Enum_ChrgrSts1</t>
  </si>
  <si>
    <t>0 = ChrgrSts1_Idle</t>
  </si>
  <si>
    <t>1 = ChrgrSts1_PreStrt</t>
  </si>
  <si>
    <t>2 = ChrgrSts1_Chrgn</t>
  </si>
  <si>
    <t>3 = ChrgrSts1_Alrm</t>
  </si>
  <si>
    <t>4 = ChrgrSts1_Srv</t>
  </si>
  <si>
    <t>5 = ChrgrSts1_Diagc</t>
  </si>
  <si>
    <t>6 = ChrgrSts1_Boot</t>
  </si>
  <si>
    <t>7 = ChrgrSts1_Rstrt</t>
  </si>
  <si>
    <t>8 = ChrgrSts1_DisChrgn</t>
  </si>
  <si>
    <t>9 = ChrgrSts1_BookChrgn</t>
  </si>
  <si>
    <t>10 = ChrgrSts1_Shutdown</t>
  </si>
  <si>
    <t>11 = ChrgrSts1_Heating</t>
  </si>
  <si>
    <t>12 = ChrgrSts1_Cooling</t>
  </si>
  <si>
    <t>TMS_Enum_ClassnQly</t>
  </si>
  <si>
    <t>0 = ClassnQly_Low</t>
  </si>
  <si>
    <t>1 = ClassnQly_Medium</t>
  </si>
  <si>
    <t>2 = ClassnQly_High</t>
  </si>
  <si>
    <t>TMS_Enum_ClimadeMode</t>
  </si>
  <si>
    <t>0 = ClimadeMode_kOff</t>
  </si>
  <si>
    <t>1 = ClimadeMode_kAuto</t>
  </si>
  <si>
    <t>2 = ClimadeMode_kManual</t>
  </si>
  <si>
    <t>3 = ClimadeMode_kDefrost</t>
  </si>
  <si>
    <t>4 = ClimadeMode_kUnknow</t>
  </si>
  <si>
    <t>TMS_Enum_ClimaOffReq</t>
  </si>
  <si>
    <t>0 = ClimaOffReq_NoReq</t>
  </si>
  <si>
    <t>1 = ClimaOffReq_SecRowOffReq</t>
  </si>
  <si>
    <t>2 = ClimaOffReq_TrdRowOffReq</t>
  </si>
  <si>
    <t>3 = ClimaOffReq_ClimaOff</t>
  </si>
  <si>
    <t>TMS_Enum_ClimaOnReqSts</t>
  </si>
  <si>
    <t>0 = ClimaOnReqSts_NoReq</t>
  </si>
  <si>
    <t>1 = ClimaOnReqSts_FstRowOn</t>
  </si>
  <si>
    <t>2 = ClimaOnReqSts_SecRowOn</t>
  </si>
  <si>
    <t>3 = ClimaOnReqSts_TrdRowOn</t>
  </si>
  <si>
    <t>4 = ClimaOnReqSts_AllOn</t>
  </si>
  <si>
    <t>5 = ClimaOnReqSts_FstAndSecRowOn</t>
  </si>
  <si>
    <t>6 = ClimaOnReqSts_SecAndTrdRowOn</t>
  </si>
  <si>
    <t>7 = ClimaOnReqSts_Rsvd</t>
  </si>
  <si>
    <t>TMS_Enum_ClimaOvrheatProWarnSts</t>
  </si>
  <si>
    <t>0 = ClimaOvrheatProWarnSts_NoWarn</t>
  </si>
  <si>
    <t>1 = ClimaOvrheatProWarnSts_Err</t>
  </si>
  <si>
    <t>2 = ClimaOvrheatProWarnSts_PwrLo</t>
  </si>
  <si>
    <t>3 = ClimaOvrheatProWarnSts_Tout</t>
  </si>
  <si>
    <t>TMS_Enum_ClimaPriority</t>
  </si>
  <si>
    <t>0 = ClimaPriority_Default</t>
  </si>
  <si>
    <t>1 = ClimaPriority_BattClimaPrio</t>
  </si>
  <si>
    <t>2 = ClimaPriority_CmptmtClimaPrio</t>
  </si>
  <si>
    <t>3 = ClimaPriority_Reserved1</t>
  </si>
  <si>
    <t>TMS_Enum_ClimaSts</t>
  </si>
  <si>
    <t>0 = ClimaSts_Start</t>
  </si>
  <si>
    <t>1 = ClimaSts_Finish</t>
  </si>
  <si>
    <t>TMS_Enum_ClimaWarn</t>
  </si>
  <si>
    <t>0 = ClimaWarn_NoWarn</t>
  </si>
  <si>
    <t>1 = ClimaWarn_FuLo</t>
  </si>
  <si>
    <t>2 = ClimaWarn_BattLo</t>
  </si>
  <si>
    <t>3 = ClimaWarn_FuAndBattLo</t>
  </si>
  <si>
    <t>4 = ClimaWarn_TLo</t>
  </si>
  <si>
    <t>5 = ClimaWarn_THi</t>
  </si>
  <si>
    <t>6 = ClimaWarn_Error</t>
  </si>
  <si>
    <t>7 = ClimaWarn_HVError</t>
  </si>
  <si>
    <t>8 = ClimaWarn_ActvnLimd</t>
  </si>
  <si>
    <t>TMS_Enum_ClkFmt</t>
  </si>
  <si>
    <t>0 = ClkFmt_Hr24</t>
  </si>
  <si>
    <t>1 = ClkFmt_Hr12</t>
  </si>
  <si>
    <t>2 = ClkFmt_UkwnClkFmt</t>
  </si>
  <si>
    <t>TMS_Enum_CllsnMtgtnFctSts</t>
  </si>
  <si>
    <t>0 = CllsnMtgtnFctSts_Reserved1</t>
  </si>
  <si>
    <t>1 = CllsnMtgtnFctSts_OFF</t>
  </si>
  <si>
    <t>2 = CllsnMtgtnFctSts_ON</t>
  </si>
  <si>
    <t>3 = CllsnMtgtnFctSts_TemporaryError</t>
  </si>
  <si>
    <t>4 = CllsnMtgtnFctSts_PermenentError</t>
  </si>
  <si>
    <t>5 = CllsnMtgtnFctSts_AEB_PEDNotAvalid</t>
  </si>
  <si>
    <t>6 = CllsnMtgtnFctSts_Reserved2</t>
  </si>
  <si>
    <t>7 = CllsnMtgtnFctSts_Reserved3</t>
  </si>
  <si>
    <t>TMS_Enum_CllsnThreat1</t>
  </si>
  <si>
    <t>0 = CllsnThreat1_Ukwn</t>
  </si>
  <si>
    <t>1 = CllsnThreat1_ThreatLo</t>
  </si>
  <si>
    <t>2 = CllsnThreat1_ThreatMed</t>
  </si>
  <si>
    <t>3 = CllsnThreat1_ThreatHi</t>
  </si>
  <si>
    <t>TMS_Enum_CluStsIndcn</t>
  </si>
  <si>
    <t>0 = CluStsIndcn_Open</t>
  </si>
  <si>
    <t>1 = CluStsIndcn_Close</t>
  </si>
  <si>
    <t>2 = CluStsIndcn_StuckOpen</t>
  </si>
  <si>
    <t>3 = CluStsIndcn_StuckClose</t>
  </si>
  <si>
    <t>4 = CluStsIndcn_Undefined</t>
  </si>
  <si>
    <t>5 = CluStsIndcn_Ongoing</t>
  </si>
  <si>
    <t>TMS_Enum_ClutchPedlPsd</t>
  </si>
  <si>
    <t>0 = ClutchPedlPsd_No</t>
  </si>
  <si>
    <t>1 = ClutchPedlPsd_Yes</t>
  </si>
  <si>
    <t>2 = ClutchPedlPsd_Reserved1</t>
  </si>
  <si>
    <t>3 = ClutchPedlPsd_Reserved2</t>
  </si>
  <si>
    <t>TMS_Enum_CmpmtAirPmLvl</t>
  </si>
  <si>
    <t>0 = CmpmtAirPmLvl_Level1</t>
  </si>
  <si>
    <t>1 = CmpmtAirPmLvl_Level2</t>
  </si>
  <si>
    <t>2 = CmpmtAirPmLvl_Level3</t>
  </si>
  <si>
    <t>3 = CmpmtAirPmLvl_Level4</t>
  </si>
  <si>
    <t>4 = CmpmtAirPmLvl_Level5</t>
  </si>
  <si>
    <t>5 = CmpmtAirPmLvl_Level6</t>
  </si>
  <si>
    <t>6 = CmpmtAirPmLvl_Reserved</t>
  </si>
  <si>
    <t>7 = CmpmtAirPmLvl_Invalid</t>
  </si>
  <si>
    <t>TMS_Enum_CmprRunReq</t>
  </si>
  <si>
    <t>0 = CmprRunReq_CmprOff</t>
  </si>
  <si>
    <t>1 = CmprRunReq_CmprOn</t>
  </si>
  <si>
    <t>2 = CmprRunReq_Resd</t>
  </si>
  <si>
    <t>3 = CmprRunReq_SigNotAvl</t>
  </si>
  <si>
    <t>TMS_Enum_CmprSts</t>
  </si>
  <si>
    <t>0 = CmprSts_CmprOff</t>
  </si>
  <si>
    <t>1 = CmprSts_CmprOn</t>
  </si>
  <si>
    <t>2 = CmprSts_CmprPwrLimd</t>
  </si>
  <si>
    <t>3 = CmprSts_CmprPreHeat</t>
  </si>
  <si>
    <t>4 = CmprSts_Reserved1</t>
  </si>
  <si>
    <t>5 = CmprSts_Reserved2</t>
  </si>
  <si>
    <t>6 = CmprSts_Reserved3</t>
  </si>
  <si>
    <t>7 = CmprSts_SigNotAvl</t>
  </si>
  <si>
    <t>TMS_Enum_CmptmtCoolgSts</t>
  </si>
  <si>
    <t>0 = CmptmtCoolgSts_OffNoReq</t>
  </si>
  <si>
    <t>1 = CmptmtCoolgSts_OffByEvaprTLo</t>
  </si>
  <si>
    <t>2 = CmptmtCoolgSts_OffByPLo</t>
  </si>
  <si>
    <t>3 = CmptmtCoolgSts_OffByAmbTOutOfRng</t>
  </si>
  <si>
    <t>4 = CmptmtCoolgSts_OffBySysFailr</t>
  </si>
  <si>
    <t>5 = CmptmtCoolgSts_OffByLoadCut</t>
  </si>
  <si>
    <t>6 = CmptmtCoolgSts_OnWithBattCoolg</t>
  </si>
  <si>
    <t>7 = CmptmtCoolgSts_On</t>
  </si>
  <si>
    <t>TMS_Enum_CmptmtTFrntQf</t>
  </si>
  <si>
    <t>0 = CmptmtTFrntQf_SnsrDataUndefd</t>
  </si>
  <si>
    <t>1 = CmptmtTFrntQf_FanNotRunning</t>
  </si>
  <si>
    <t>2 = CmptmtTFrntQf_SnsrDataNotOk</t>
  </si>
  <si>
    <t>3 = CmptmtTFrntQf_SnsrDataOk</t>
  </si>
  <si>
    <t>TMS_Enum_CmptSts</t>
  </si>
  <si>
    <t>0 = CmptSts_NoRequest</t>
  </si>
  <si>
    <t>1 = CmptSts_CoolingRequest</t>
  </si>
  <si>
    <t>2 = CmptSts_HeatingRequest</t>
  </si>
  <si>
    <t>3 = CmptSts_CoolingAndHeatingRequest</t>
  </si>
  <si>
    <t>4 = CmptSts_PostHeating</t>
  </si>
  <si>
    <t>TMS_Enum_CnvnReq</t>
  </si>
  <si>
    <t>0 = CnvnReq_NotReqd</t>
  </si>
  <si>
    <t>1 = CnvnReq_Chrgn</t>
  </si>
  <si>
    <t>2 = CnvnReq_Resd1</t>
  </si>
  <si>
    <t>3 = CnvnReq_Resd2</t>
  </si>
  <si>
    <t>4 = CnvnReq_Resd3</t>
  </si>
  <si>
    <t>5 = CnvnReq_Resd4</t>
  </si>
  <si>
    <t>6 = CnvnReq_Resd5</t>
  </si>
  <si>
    <t>7 = CnvnReq_Resd6</t>
  </si>
  <si>
    <t>TMS_Enum_Co2Lvl</t>
  </si>
  <si>
    <t>0 = Co2Lvl_Lvl0Slight</t>
  </si>
  <si>
    <t>1 = Co2Lvl_Lvl1Low</t>
  </si>
  <si>
    <t>2 = Co2Lvl_Lvl2Middle</t>
  </si>
  <si>
    <t>3 = Co2Lvl_Lvl3High</t>
  </si>
  <si>
    <t>TMS_Enum_ColorSts</t>
  </si>
  <si>
    <t>0 = ColorSts_Red</t>
  </si>
  <si>
    <t>1 = ColorSts_Yellow</t>
  </si>
  <si>
    <t>2 = ColorSts_Green</t>
  </si>
  <si>
    <t>3 = ColorSts_Reserved</t>
  </si>
  <si>
    <t>TMS_Enum_CompOverMotorCurrStat</t>
  </si>
  <si>
    <t>0 = CompOverMotorCurrStat_Normal</t>
  </si>
  <si>
    <t>1 = CompOverMotorCurrStat_ImmediatelyShutdown</t>
  </si>
  <si>
    <t>2 = CompOverMotorCurrStat_SpeedIncreased</t>
  </si>
  <si>
    <t>3 = CompOverMotorCurrStat_SpeedDecreased</t>
  </si>
  <si>
    <t>4 = CompOverMotorCurrStat_Shutdown</t>
  </si>
  <si>
    <t>TMS_Enum_CompOverPowerStat</t>
  </si>
  <si>
    <t>0 = CompOverPowerStat_Normal</t>
  </si>
  <si>
    <t>1 = CompOverPowerStat_SpeedDecreasedforOverPower</t>
  </si>
  <si>
    <t>2 = CompOverPowerStat_SpeedDecreasedforOverCurrent</t>
  </si>
  <si>
    <t>3 = CompOverPowerStat_InoperativeforOverPower</t>
  </si>
  <si>
    <t>4 = CompOverPowerStat_InoperativeforOverCurrent</t>
  </si>
  <si>
    <t>TMS_Enum_CompStat</t>
  </si>
  <si>
    <t>0 = CompStat_NormalOperation</t>
  </si>
  <si>
    <t>1 = CompStat_DegradedOperation</t>
  </si>
  <si>
    <t>2 = CompStat_Inoperative</t>
  </si>
  <si>
    <t>TMS_Enum_ConnectionSts</t>
  </si>
  <si>
    <t>0 = ConnectionSts_Disconnect</t>
  </si>
  <si>
    <t>1 = ConnectionSts_Connect</t>
  </si>
  <si>
    <t>TMS_Enum_CPSts</t>
  </si>
  <si>
    <t>0 = CPSts_0V</t>
  </si>
  <si>
    <t>1 = CPSts_9V</t>
  </si>
  <si>
    <t>2 = CPSts_9V_PWM</t>
  </si>
  <si>
    <t>3 = CPSts_6V</t>
  </si>
  <si>
    <t>4 = CPSts_6V_PWM</t>
  </si>
  <si>
    <t>5 = CPSts_Failure</t>
  </si>
  <si>
    <t>6 = CPSts_Digital</t>
  </si>
  <si>
    <t>7 = CPSts_Reserved</t>
  </si>
  <si>
    <t>TMS_Enum_CptEquid</t>
  </si>
  <si>
    <t>0 = CptEquid_Equid</t>
  </si>
  <si>
    <t>1 = CptEquid_NotEquid</t>
  </si>
  <si>
    <t>TMS_Enum_CrashFb</t>
  </si>
  <si>
    <t>0 = CrashFb_Idle</t>
  </si>
  <si>
    <t>1 = CrashFb_Evln</t>
  </si>
  <si>
    <t>2 = CrashFb_Nok</t>
  </si>
  <si>
    <t>3 = CrashFb_Ok</t>
  </si>
  <si>
    <t>TMS_Enum_CrashSt</t>
  </si>
  <si>
    <t>0 = CrashSt_NoCrash</t>
  </si>
  <si>
    <t>1 = CrashSt_CrashImminent</t>
  </si>
  <si>
    <t>2 = CrashSt_CrashInProgress</t>
  </si>
  <si>
    <t>3 = CrashSt_CrashEnding</t>
  </si>
  <si>
    <t>TMS_Enum_CrashSts2</t>
  </si>
  <si>
    <t>0 = CrashSts2_NoCrash</t>
  </si>
  <si>
    <t>1 = CrashSts2_Crash</t>
  </si>
  <si>
    <t>TMS_Enum_CrashSts3</t>
  </si>
  <si>
    <t>0 = CrashSts3_Resd1</t>
  </si>
  <si>
    <t>1 = CrashSts3_NoCrash</t>
  </si>
  <si>
    <t>2 = CrashSts3_Crash</t>
  </si>
  <si>
    <t>3 = CrashSts3_Resd2</t>
  </si>
  <si>
    <t>TMS_Enum_CrsCtrlrMsg1</t>
  </si>
  <si>
    <t>0 = CrsCtrlrMsg1_NoMsg</t>
  </si>
  <si>
    <t>1 = CrsCtrlrMsg1_CrsCtrlrCncl</t>
  </si>
  <si>
    <t>2 = CrsCtrlrMsg1_OvrdTiMaxExcdd</t>
  </si>
  <si>
    <t>3 = CrsCtrlrMsg1_CrsCtrlrInhb</t>
  </si>
  <si>
    <t>4 = CrsCtrlrMsg1_SpdLoLimExcdd</t>
  </si>
  <si>
    <t>5 = CrsCtrlrMsg1_CrsCtrlrCnclSpdLoLimExcdd</t>
  </si>
  <si>
    <t>6 = CrsCtrlrMsg1_DrvModSeldNotOk</t>
  </si>
  <si>
    <t>7 = CrsCtrlrMsg1_BrkOvrheatd</t>
  </si>
  <si>
    <t>TMS_Enum_CrsCtrlrSts1</t>
  </si>
  <si>
    <t>1 = CrsCtrlrSts1_Off</t>
  </si>
  <si>
    <t>2 = CrsCtrlrSts1_Stb</t>
  </si>
  <si>
    <t>3 = CrsCtrlrSts1_Actv</t>
  </si>
  <si>
    <t>TMS_Enum_CtrlMod</t>
  </si>
  <si>
    <t>0 = CtrlMod_NormalMode</t>
  </si>
  <si>
    <t>1 = CtrlMod_LongRangeMode</t>
  </si>
  <si>
    <t>2 = CtrlMod_ShortRangeMode</t>
  </si>
  <si>
    <t>TMS_Enum_CtrlSts</t>
  </si>
  <si>
    <t>0 = Primary</t>
  </si>
  <si>
    <t>1 = Secondary</t>
  </si>
  <si>
    <t>TMS_Enum_CtrlSts1</t>
  </si>
  <si>
    <t>0 = CtrlSts1_NoCtrl</t>
  </si>
  <si>
    <t>1 = CtrlSts1_InCtrl</t>
  </si>
  <si>
    <t>TMS_Enum_CycleMode</t>
  </si>
  <si>
    <t>0 = CycleMode_Auto</t>
  </si>
  <si>
    <t>1 = CycleMode_Recirc</t>
  </si>
  <si>
    <t>2 = CycleMode_OSA</t>
  </si>
  <si>
    <t>3 = CycleMode_Unknow</t>
  </si>
  <si>
    <t>TMS_Enum_DamperLvl</t>
  </si>
  <si>
    <t>0 = Level1</t>
  </si>
  <si>
    <t>1 = Level2</t>
  </si>
  <si>
    <t>2 = Level3</t>
  </si>
  <si>
    <t>3 = Level4</t>
  </si>
  <si>
    <t>4 = Reserved1</t>
  </si>
  <si>
    <t>5 = Reserved2</t>
  </si>
  <si>
    <t>6 = Reserved3</t>
  </si>
  <si>
    <t>7 = Reserved4</t>
  </si>
  <si>
    <t>TMS_Enum_DamprChartc</t>
  </si>
  <si>
    <t>0 = DamprChartc_NoReq</t>
  </si>
  <si>
    <t>1 = DamprChartc_DamprChartcForHndlg</t>
  </si>
  <si>
    <t>2 = DamprChartc_DamprChartcForBrkTrig</t>
  </si>
  <si>
    <t>3 = DamprChartc_DamprChartcForBrkGrip</t>
  </si>
  <si>
    <t>TMS_Enum_DataQf</t>
  </si>
  <si>
    <t>0 = DataQf_NotOk</t>
  </si>
  <si>
    <t>1 = DataQf_Ok</t>
  </si>
  <si>
    <t>TMS_Enum_DateFmt</t>
  </si>
  <si>
    <t>0 = DateFmt_DateFmt1</t>
  </si>
  <si>
    <t>1 = DateFmt_DateFmt2</t>
  </si>
  <si>
    <t>2 = DateFmt_DateFmt3</t>
  </si>
  <si>
    <t>3 = DateFmt_UkwnFmt</t>
  </si>
  <si>
    <t>TMS_Enum_DCChrgrSts</t>
  </si>
  <si>
    <t>0 = DCChrgrSts_Idle</t>
  </si>
  <si>
    <t>1 = DCChrgrSts_Prestart</t>
  </si>
  <si>
    <t>2 = DCChrgrSts_Charging</t>
  </si>
  <si>
    <t>3 = DCChrgrSts_DCChrgnFltVehSide</t>
  </si>
  <si>
    <t>4 = DCChrgrSts_DCChrgnFltChrgrSideTempFlt</t>
  </si>
  <si>
    <t>5 = DCChrgrSts_DCChrgnFltChrgrSideConnectFlt</t>
  </si>
  <si>
    <t>6 = DCChrgrSts_DCChrgnFltChrgrSideOtherFlt</t>
  </si>
  <si>
    <t>7 = DCChrgrSts_DCChrgnFltChrgrSideEmgyFlt</t>
  </si>
  <si>
    <t>8 = DCChrgrSts_DCChrgnFltChrgrSideComFlt</t>
  </si>
  <si>
    <t>9 = DCChrgrSts_Bookcharging</t>
  </si>
  <si>
    <t>10 = DCChrgrSts_Shuntdown</t>
  </si>
  <si>
    <t>11 = DCChrgrSts_Heating</t>
  </si>
  <si>
    <t>12 = DCChrgrSts_Supercharging</t>
  </si>
  <si>
    <t>13 = DCChrgrSts_SuperchargingEnd</t>
  </si>
  <si>
    <t>TMS_Enum_DcDcActvd</t>
  </si>
  <si>
    <t>0 = DcDcActvd_NoConversionToLVSide</t>
  </si>
  <si>
    <t>1 = DcDcActvd_ConversionToLVSide</t>
  </si>
  <si>
    <t>TMS_Enum_DcDcActvd2</t>
  </si>
  <si>
    <t>0 = DcDcActvd2_DcDcInactive</t>
  </si>
  <si>
    <t>1 = DcDcActvd2_DcDcActive</t>
  </si>
  <si>
    <t>2 = DcDcActvd2_Abnormal</t>
  </si>
  <si>
    <t>3 = DcDcActvd2_Invalid</t>
  </si>
  <si>
    <t>TMS_Enum_DCDCSts</t>
  </si>
  <si>
    <t>0 = DCDCSts_Default</t>
  </si>
  <si>
    <t>1 = DCDCSts_Init</t>
  </si>
  <si>
    <t>2 = DCDCSts_Standby</t>
  </si>
  <si>
    <t>3 = DCDCSts_Buck</t>
  </si>
  <si>
    <t>4 = DCDCSts_Failure</t>
  </si>
  <si>
    <t>5 = DCDCSts_Reserved1</t>
  </si>
  <si>
    <t>6 = DCDCSts_Reserved2</t>
  </si>
  <si>
    <t>7 = DCDCSts_Reserved3</t>
  </si>
  <si>
    <t>TMS_Enum_DeiceReq</t>
  </si>
  <si>
    <t>0 = DeiceReq_NoReq</t>
  </si>
  <si>
    <t>1 = DeiceReq_DeiceChecking</t>
  </si>
  <si>
    <t>2 = DeiceReq_Deicing</t>
  </si>
  <si>
    <t>3 = DeiceReq_Reserved</t>
  </si>
  <si>
    <t>TMS_Enum_DevErrSts2</t>
  </si>
  <si>
    <t>0 = DevErrSts2_NoFlt</t>
  </si>
  <si>
    <t>1 = DevErrSts2_Flt</t>
  </si>
  <si>
    <t>TMS_Enum_DevSts1</t>
  </si>
  <si>
    <t>0 = DevSts1_On</t>
  </si>
  <si>
    <t>1 = DevSts1_Off</t>
  </si>
  <si>
    <t>2 = DevSts1_Flt</t>
  </si>
  <si>
    <t>TMS_Enum_DevSts4</t>
  </si>
  <si>
    <t>0 = DevSts4_Off</t>
  </si>
  <si>
    <t>1 = DevSts4_On</t>
  </si>
  <si>
    <t>2 = DevSts4_Err</t>
  </si>
  <si>
    <t>3 = DevSts4_Resd</t>
  </si>
  <si>
    <t>TMS_Enum_DiagcSts2</t>
  </si>
  <si>
    <t>0 = DiagcSts2_DiagcStsNotRdy</t>
  </si>
  <si>
    <t>1 = DiagcSts2_DiagcStsPassd</t>
  </si>
  <si>
    <t>2 = DiagcSts2_DiagcStsFaild</t>
  </si>
  <si>
    <t>3 = DiagcSts2_Resd</t>
  </si>
  <si>
    <t>TMS_Enum_DigKeyApproaReq</t>
  </si>
  <si>
    <t>0 = DigKeyApproaReq_Idle</t>
  </si>
  <si>
    <t>1 = DigKeyApproaReq_ApproachLightRequest</t>
  </si>
  <si>
    <t>2 = DigKeyApproaReq_ApproachUnlockRequest</t>
  </si>
  <si>
    <t>3 = DigKeyApproaReq_ApproachLockRequest</t>
  </si>
  <si>
    <t>4 = DigKeyApproaReq_ApproachTrunkRequest1</t>
  </si>
  <si>
    <t>5 = DigKeyApproaReq_ApproachTrunkRequest2</t>
  </si>
  <si>
    <t>6 = DigKeyApproaReq_ApproachTrunkRequest3</t>
  </si>
  <si>
    <t>7 = DigKeyApproaReq_ApproachUnlckReqFromDrvr</t>
  </si>
  <si>
    <t>TMS_Enum_DigKeyInSearchSts</t>
  </si>
  <si>
    <t>0 = DigKeyInSearchSts_DigKeySearchInIdle</t>
  </si>
  <si>
    <t>1 = DigKeyInSearchSts_DigKeySearchInInProgs</t>
  </si>
  <si>
    <t>2 = DigKeyInSearchSts_DigKeySearchInNoPrsnt</t>
  </si>
  <si>
    <t>3 = DigKeyInSearchSts_DigKeySearchInDrvrFrntFnd</t>
  </si>
  <si>
    <t>4 = DigKeyInSearchSts_DigKeySearchInCntrCnslFnd</t>
  </si>
  <si>
    <t>5 = DigKeyInSearchSts_DigKeySearchInPassFrntFnd</t>
  </si>
  <si>
    <t>6 = DigKeyInSearchSts_DigKeySearchInPassRearFnd</t>
  </si>
  <si>
    <t>7 = DigKeyInSearchSts_DigKeySearchInTrFnd</t>
  </si>
  <si>
    <t>8 = DigKeyInSearchSts_Resd</t>
  </si>
  <si>
    <t>TMS_Enum_DigKeyOutSearchSts</t>
  </si>
  <si>
    <t>0 = DigKeyOutSearchSts_Idle</t>
  </si>
  <si>
    <t>1 = DigKeyOutSearchSts_InProgs</t>
  </si>
  <si>
    <t>2 = DigKeyOutSearchSts_Fnd</t>
  </si>
  <si>
    <t>3 = DigKeyOutSearchSts_NotPrsnt</t>
  </si>
  <si>
    <t>4 = DigKeyOutSearchSts_LeftFnd</t>
  </si>
  <si>
    <t>5 = DigKeyOutSearchSts_RightFnd</t>
  </si>
  <si>
    <t>6 = DigKeyOutSearchSts_RearFnd</t>
  </si>
  <si>
    <t>TMS_Enum_DimmingSts</t>
  </si>
  <si>
    <t>0 = DimmingSts_Off</t>
  </si>
  <si>
    <t>1 = DimmingSts_Ready</t>
  </si>
  <si>
    <t>2 = DimmingSts_Fault</t>
  </si>
  <si>
    <t>3 = DimmingSts_Reserve</t>
  </si>
  <si>
    <t>TMS_Enum_DIMStsDistbn</t>
  </si>
  <si>
    <t>0 = DIMStsDistbn_DIM_status_ok</t>
  </si>
  <si>
    <t>1 = DIMStsDistbn_DIM_fault_cause_by_uvOrov</t>
  </si>
  <si>
    <t>2 = DIMStsDistbn_DIM_fault_memory_error</t>
  </si>
  <si>
    <t>3 = DIMStsDistbn_DIM_LCD_error</t>
  </si>
  <si>
    <t>4 = DIMStsDistbn_Reserved1</t>
  </si>
  <si>
    <t>5 = DIMStsDistbn_Reserved2</t>
  </si>
  <si>
    <t>6 = DIMStsDistbn_Reserved3</t>
  </si>
  <si>
    <t>7 = DIMStsDistbn_Reserved4</t>
  </si>
  <si>
    <t>TMS_Enum_DisChrgnSts</t>
  </si>
  <si>
    <t>0 = DisChrgnSts_Init</t>
  </si>
  <si>
    <t>1 = DisChrgnSts_Prestart</t>
  </si>
  <si>
    <t>2 = DisChrgnSts_DisChrgn</t>
  </si>
  <si>
    <t>3 = DisChrgnSts_Finish</t>
  </si>
  <si>
    <t>4 = DisChrgnSts_Fault</t>
  </si>
  <si>
    <t>5 = DisChrgnSts_Reserved</t>
  </si>
  <si>
    <t>6 = DisChrgnSts_Reserved1</t>
  </si>
  <si>
    <t>7 = DisChrgnSts_Reserved2</t>
  </si>
  <si>
    <t>TMS_Enum_DisChrgrSW</t>
  </si>
  <si>
    <t>0 = DisChrgrSW_Off</t>
  </si>
  <si>
    <t>1 = DisChrgrSW_V2V</t>
  </si>
  <si>
    <t>2 = DisChrgrSW_V2L</t>
  </si>
  <si>
    <t>TMS_Enum_DisplayAreaCtrl</t>
  </si>
  <si>
    <t>0 = All_Off</t>
  </si>
  <si>
    <t>1 = All_On</t>
  </si>
  <si>
    <t>2 = Only_Cluster_On</t>
  </si>
  <si>
    <t>3 = Only_Entertainment_On</t>
  </si>
  <si>
    <t>TMS_Enum_DispOfPrpsnModForEv</t>
  </si>
  <si>
    <t>0 = DispOfPrpsnModForEv_NotReady</t>
  </si>
  <si>
    <t>1 = DispOfPrpsnModForEv_Charging</t>
  </si>
  <si>
    <t>2 = DispOfPrpsnModForEv_PureElecAWD</t>
  </si>
  <si>
    <t>3 = DispOfPrpsnModForEv_OnlyPrpsnMotElecFrnt</t>
  </si>
  <si>
    <t>4 = DispOfPrpsnModForEv_OnlyPrpsnMotElecRe</t>
  </si>
  <si>
    <t>5 = DispOfPrpsnModForEv_NoPrpsnMotElec</t>
  </si>
  <si>
    <t>6 = DispOfPrpsnModForEv_Rgn</t>
  </si>
  <si>
    <t>7 = DispOfPrpsnModForEv_Reserved1</t>
  </si>
  <si>
    <t>8 = DispOfPrpsnModForEv_Reserved2</t>
  </si>
  <si>
    <t>9 = DispOfPrpsnModForEv_Reserved3</t>
  </si>
  <si>
    <t>10 = DispOfPrpsnModForEv_Reserved4</t>
  </si>
  <si>
    <t>11 = DispOfPrpsnModForEv_Reserved5</t>
  </si>
  <si>
    <t>12 = DispOfPrpsnModForEv_Reserved6</t>
  </si>
  <si>
    <t>13 = DispOfPrpsnModForEv_Abnormal</t>
  </si>
  <si>
    <t>14 = DispOfPrpsnModForEv_Invalid</t>
  </si>
  <si>
    <t>15 = DispOfPrpsnModForEv_Reserved7</t>
  </si>
  <si>
    <t>TMS_Enum_DMC</t>
  </si>
  <si>
    <t>0 = DMC_Init</t>
  </si>
  <si>
    <t>1 = DMC_On</t>
  </si>
  <si>
    <t>2 = DMC_Off</t>
  </si>
  <si>
    <t>3 = DMC_Fault</t>
  </si>
  <si>
    <t>TMS_Enum_DoorHndlCmd</t>
  </si>
  <si>
    <t>0 = DoorHndlCmd_Idle</t>
  </si>
  <si>
    <t>1 = DoorHndlCmd_Deploy</t>
  </si>
  <si>
    <t>2 = DoorHndlCmd_Retract</t>
  </si>
  <si>
    <t>TMS_Enum_DoorHndlSts</t>
  </si>
  <si>
    <t>0 = DoorHndlSts_Ukwn</t>
  </si>
  <si>
    <t>1 = DoorHndlSts_FullRtrctd</t>
  </si>
  <si>
    <t>2 = DoorHndlSts_MovgOut</t>
  </si>
  <si>
    <t>3 = DoorHndlSts_StopDurgDply</t>
  </si>
  <si>
    <t>4 = DoorHndlSts_FullDplyd</t>
  </si>
  <si>
    <t>5 = DoorHndlSts_MovgIn</t>
  </si>
  <si>
    <t>6 = DoorHndlSts_StopDurgRtrct</t>
  </si>
  <si>
    <t>7 = DoorHndlSts_Flt</t>
  </si>
  <si>
    <t>TMS_Enum_DoorModSts</t>
  </si>
  <si>
    <t>0 = DoorModSts_Electronal</t>
  </si>
  <si>
    <t>1 = DoorModSts_Manual</t>
  </si>
  <si>
    <t>TMS_Enum_DoorOpenerReq1</t>
  </si>
  <si>
    <t>0 = DoorOpenerIdle</t>
  </si>
  <si>
    <t>1 = DoorOpenerOpen</t>
  </si>
  <si>
    <t>2 = DoorOpenerCls</t>
  </si>
  <si>
    <t>3 = DoorOpenerStop</t>
  </si>
  <si>
    <t>TMS_Enum_DoorOpenerReq2</t>
  </si>
  <si>
    <t>0 = DoorOpenerReq2_DoorOpenerIdle</t>
  </si>
  <si>
    <t>1 = DoorOpenerReq2_DoorOpenerOpen</t>
  </si>
  <si>
    <t>2 = DoorOpenerReq2_DoorOpenerCls</t>
  </si>
  <si>
    <t>3 = DoorOpenerReq2_DoorOpenerStop</t>
  </si>
  <si>
    <t>4 = DoorOpenerReq2_DoorOpenerOpenMinang</t>
  </si>
  <si>
    <t>TMS_Enum_DoorOpenerSts</t>
  </si>
  <si>
    <t>0 = DoorOpenerSts_Ukwn</t>
  </si>
  <si>
    <t>1 = DoorOpenerSts_FullClsd</t>
  </si>
  <si>
    <t>2 = DoorOpenerSts_MovgOut</t>
  </si>
  <si>
    <t>3 = DoorOpenerSts_MovgOutBrkg</t>
  </si>
  <si>
    <t>4 = DoorOpenerSts_StopDurgOpen</t>
  </si>
  <si>
    <t>5 = DoorOpenerSts_FullOpend</t>
  </si>
  <si>
    <t>6 = DoorOpenerSts_MovgIn</t>
  </si>
  <si>
    <t>7 = DoorOpenerSts_MovgInBrkg</t>
  </si>
  <si>
    <t>8 = DoorOpenerSts_StopDurgCls</t>
  </si>
  <si>
    <t>9 = DoorOpenerSts_HalfClsd</t>
  </si>
  <si>
    <t>10 = DoorOpenerSts_StopMinPntForCls</t>
  </si>
  <si>
    <t>TMS_Enum_DoorOpenerTrigSrc1</t>
  </si>
  <si>
    <t>0 = DoorOpenerTrigSrc1_NoTrigSrc</t>
  </si>
  <si>
    <t>1 = DoorOpenerTrigSrc1_KeyRem</t>
  </si>
  <si>
    <t>2 = DoorOpenerTrigSrc1_HMI</t>
  </si>
  <si>
    <t>3 = DoorOpenerTrigSrc1_Telm</t>
  </si>
  <si>
    <t>4 = DoorOpenerTrigSrc1_OutdSwt</t>
  </si>
  <si>
    <t>5 = DoorOpenerTrigSrc1_InsdSwt</t>
  </si>
  <si>
    <t>TMS_Enum_DoorOpenResistCmd</t>
  </si>
  <si>
    <t>0 = DoorOpenResistCmd_Idle</t>
  </si>
  <si>
    <t>1 = DoorOpenResistCmd_AddResist</t>
  </si>
  <si>
    <t>2 = DoorOpenResistCmd_SubtResist</t>
  </si>
  <si>
    <t>3 = DoorOpenResistCmd_Resd</t>
  </si>
  <si>
    <t>TMS_Enum_DoorPos</t>
  </si>
  <si>
    <t>0 = DoorPos_Undefined</t>
  </si>
  <si>
    <t>1 = DoorPos_FullyClosed</t>
  </si>
  <si>
    <t>2 = DoorPos_SecondaryPosition</t>
  </si>
  <si>
    <t>3 = DoorPos_FullyOpen</t>
  </si>
  <si>
    <t>TMS_Enum_DoorSts2</t>
  </si>
  <si>
    <t>0 = DoorSts2_Ukwn</t>
  </si>
  <si>
    <t>1 = DoorSts2_Opend</t>
  </si>
  <si>
    <t>2 = DoorSts2_Clsd</t>
  </si>
  <si>
    <t>TMS_Enum_DRMModeType</t>
  </si>
  <si>
    <t>0 = No_Request</t>
  </si>
  <si>
    <t>1 = Sentry_Mode</t>
  </si>
  <si>
    <t>2 = AVP_Mode</t>
  </si>
  <si>
    <t>3 = Reserved_3</t>
  </si>
  <si>
    <t>4 = Reserved_4</t>
  </si>
  <si>
    <t>5 = Reserved_5</t>
  </si>
  <si>
    <t>6 = Reserved_6</t>
  </si>
  <si>
    <t>7 = Reserved_7</t>
  </si>
  <si>
    <t>TMS_Enum_DrvModReqType2</t>
  </si>
  <si>
    <t>0 = DrvModReqType1_Undefd</t>
  </si>
  <si>
    <t>1 = DrvModReqType1_ECO</t>
  </si>
  <si>
    <t>2 = DrvModReqType1_Comfort_Normal</t>
  </si>
  <si>
    <t>3 = DrvModReqType1_Dynamic_Sport</t>
  </si>
  <si>
    <t>4 = DrvModReqType1_Reserved1</t>
  </si>
  <si>
    <t>5 = DrvModReqType1_Offroad_CrossTerrain</t>
  </si>
  <si>
    <t>6 = DrvModReqType1_Adaptive</t>
  </si>
  <si>
    <t>7 = DrvModReqType1_Race</t>
  </si>
  <si>
    <t>8 = DrvModReqType1_Reserved2</t>
  </si>
  <si>
    <t>9 = DrvModReqType1_ECO_PLUS</t>
  </si>
  <si>
    <t>10 = DrvModReqType1_Power</t>
  </si>
  <si>
    <t>11 = DrvModReqType1_Snow</t>
  </si>
  <si>
    <t>12 = DrvModReqType1_Sand</t>
  </si>
  <si>
    <t>13 = DrvModReqType1_Mud</t>
  </si>
  <si>
    <t>14 = DrvModReqType1_Rock</t>
  </si>
  <si>
    <t>15 = DrvModReqType1_Err</t>
  </si>
  <si>
    <t>TMS_Enum_DrvPfmncRedn</t>
  </si>
  <si>
    <t>0 = NoIndcn</t>
  </si>
  <si>
    <t>1 = FltIndcn1</t>
  </si>
  <si>
    <t>2 = FltIndcn2</t>
  </si>
  <si>
    <t>3 = FltIndcn3</t>
  </si>
  <si>
    <t>4 = FltIndcn4</t>
  </si>
  <si>
    <t>5 = FltIndcn5</t>
  </si>
  <si>
    <t>6 = FltIndcn6</t>
  </si>
  <si>
    <t>7 = FltIndcn7</t>
  </si>
  <si>
    <t>8 = FltIndcn8</t>
  </si>
  <si>
    <t>9 = FltIndcn9</t>
  </si>
  <si>
    <t>10 = FltIndcn10</t>
  </si>
  <si>
    <t>11 = FltIndcn11</t>
  </si>
  <si>
    <t>12 = FltIndcn12</t>
  </si>
  <si>
    <t>13 = FltIndcn13</t>
  </si>
  <si>
    <t>14 = FltIndcn14</t>
  </si>
  <si>
    <t>15 = FltIndcn15</t>
  </si>
  <si>
    <t>TMS_Enum_DrvrCrsAModReq</t>
  </si>
  <si>
    <t>0 = DrvrCrsAModReq_Neutral</t>
  </si>
  <si>
    <t>1 = DrvrCrsAModReq_APosReqMod1</t>
  </si>
  <si>
    <t>2 = DrvrCrsAModReq_APosReqMod2</t>
  </si>
  <si>
    <t>3 = DrvrCrsAModReq_ANegReqMod1</t>
  </si>
  <si>
    <t>4 = DrvrCrsAModReq_ANegReqMod2</t>
  </si>
  <si>
    <t>TMS_Enum_DrvrCrsCtrlFctActvReq</t>
  </si>
  <si>
    <t>0 = DrvrCrsCtrlFctActvReq_Inactive</t>
  </si>
  <si>
    <t>1 = DrvrCrsCtrlFctActvReq_Activatedbyonoffbutton</t>
  </si>
  <si>
    <t>2 = DrvrCrsCtrlFctActvReq_Activatedbyresumebutton</t>
  </si>
  <si>
    <t>3 = DrvrCrsCtrlFctActvReq_Reserved</t>
  </si>
  <si>
    <t>TMS_Enum_DrvrCrsCtrlFctSeldTyp</t>
  </si>
  <si>
    <t>0 = DrvrCrsCtrlFctSeldTyp_Off</t>
  </si>
  <si>
    <t>1 = DrvrCrsCtrlFctSeldTyp_SpdLimFct_Main_Swt</t>
  </si>
  <si>
    <t>2 = DrvrCrsCtrlFctSeldTyp_SpdLimFct_Resu</t>
  </si>
  <si>
    <t>3 = DrvrCrsCtrlFctSeldTyp_CrsCtrlFct_Main_Swt</t>
  </si>
  <si>
    <t>4 = DrvrCrsCtrlFctSeldTyp_CrsCtrlFct_Resu</t>
  </si>
  <si>
    <t>5 = DrvrCrsCtrlFctSeldTyp_AccFct_Main_Swt</t>
  </si>
  <si>
    <t>6 = DrvrCrsCtrlFctSeldTyp_AccFct_Resu</t>
  </si>
  <si>
    <t>7 = DrvrCrsCtrlFctSeldTyp_Reserved</t>
  </si>
  <si>
    <t>TMS_Enum_DrvrDesDir1</t>
  </si>
  <si>
    <t>0 = DrvrDesDir1_Undefd</t>
  </si>
  <si>
    <t>1 = DrvrDesDir1_Fwd</t>
  </si>
  <si>
    <t>2 = DrvrDesDir1_Rvs</t>
  </si>
  <si>
    <t>3 = DrvrDesDir1_Neut</t>
  </si>
  <si>
    <t>4 = DrvrDesDir1_Resd0</t>
  </si>
  <si>
    <t>5 = DrvrDesDir1_Resd1</t>
  </si>
  <si>
    <t>6 = DrvrDesDir1_Resd2</t>
  </si>
  <si>
    <t>7 = DrvrDesDir1_Resd3</t>
  </si>
  <si>
    <t>TMS_Enum_DrvrGearShiftReqInv</t>
  </si>
  <si>
    <t>0 = DrvrGearShiftReqInv_NoPress</t>
  </si>
  <si>
    <t>1 = DrvrGearShiftReqInv_PressP</t>
  </si>
  <si>
    <t>2 = DrvrGearShiftReqInv_PressR</t>
  </si>
  <si>
    <t>3 = DrvrGearShiftReqInv_PressD</t>
  </si>
  <si>
    <t>4 = DrvrGearShiftReqInv_Reserved1</t>
  </si>
  <si>
    <t>5 = DrvrGearShiftReqInv_Reserved2</t>
  </si>
  <si>
    <t>6 = DrvrGearShiftReqInv_Reserved3</t>
  </si>
  <si>
    <t>7 = DrvrGearShiftReqInv_Reserved4</t>
  </si>
  <si>
    <t>TMS_Enum_DrvrPfmncWarnReq</t>
  </si>
  <si>
    <t>0 = DrvrPfmncWarnReq_Unavailable</t>
  </si>
  <si>
    <t>1 = DrvrPfmncWarnReq_Unknown</t>
  </si>
  <si>
    <t>2 = DrvrPfmncWarnReq_NoWarning</t>
  </si>
  <si>
    <t>3 = DrvrPfmncWarnReq_Distractive</t>
  </si>
  <si>
    <t>4 = DrvrPfmncWarnReq_Warninglevel1</t>
  </si>
  <si>
    <t>5 = DrvrPfmncWarnReq_Warninglevel2</t>
  </si>
  <si>
    <t>6 = DrvrPfmncWarnReq_Reserved</t>
  </si>
  <si>
    <t>TMS_Enum_DstFromDestinationResp</t>
  </si>
  <si>
    <t>0 = DstFromDestinationResp_Default</t>
  </si>
  <si>
    <t>1 = DstFromDestinationResp_Success</t>
  </si>
  <si>
    <t>2 = DstFromDestinationResp_Fault</t>
  </si>
  <si>
    <t>3 = DstFromDestinationResp_EndOfDischarge</t>
  </si>
  <si>
    <t>4 = DstFromDestinationResp_Reserved0</t>
  </si>
  <si>
    <t>5 = DstFromDestinationResp_Reserved1</t>
  </si>
  <si>
    <t>6 = DstFromDestinationResp_Reserved2</t>
  </si>
  <si>
    <t>7 = DstFromDestinationResp_Reserved3</t>
  </si>
  <si>
    <t>TMS_Enum_DstLong</t>
  </si>
  <si>
    <t>0 = DstLong_km</t>
  </si>
  <si>
    <t>1 = DstLong_miles</t>
  </si>
  <si>
    <t>2 = DstLong_UkwnUnit</t>
  </si>
  <si>
    <t>TMS_Enum_DstSho</t>
  </si>
  <si>
    <t>0 = DstSho_Mtr</t>
  </si>
  <si>
    <t>1 = DstSho_Ft</t>
  </si>
  <si>
    <t>2 = DstSho_Yards</t>
  </si>
  <si>
    <t>3 = DstSho_UkwnUnit</t>
  </si>
  <si>
    <t>TMS_Enum_DstUnit</t>
  </si>
  <si>
    <t>0 = DstUnit_km</t>
  </si>
  <si>
    <t>1 = DstUnit_miles</t>
  </si>
  <si>
    <t>TMS_Enum_DwnTipAut1</t>
  </si>
  <si>
    <t>0 = DwnTipAut1_DwnTipAutNotActv</t>
  </si>
  <si>
    <t>1 = DwnTipAut1_DwnTipAutActv</t>
  </si>
  <si>
    <t>TMS_Enum_EblReq</t>
  </si>
  <si>
    <t>0 = EblReq_EmgyBrkgNotInProgs</t>
  </si>
  <si>
    <t>1 = EblReq_EmgyBrkgInProgs</t>
  </si>
  <si>
    <t>2 = EblReq_EmgyBrkgInProgsAtSpdLo</t>
  </si>
  <si>
    <t>TMS_Enum_ECallMuteReqSts</t>
  </si>
  <si>
    <t>0 = ECallMuteReqSts_NoRequest</t>
  </si>
  <si>
    <t>1 = ECallMuteReqSts_UnMute</t>
  </si>
  <si>
    <t>2 = ECallMuteReqSts_Mute</t>
  </si>
  <si>
    <t>TMS_Enum_EDRtrigger</t>
  </si>
  <si>
    <t>0 = EvnSrt_Default</t>
  </si>
  <si>
    <t>1 = EvnSrt_Status_set</t>
  </si>
  <si>
    <t>2 = EvnSrt_RESERVE1</t>
  </si>
  <si>
    <t>3 = EvnSrt_RESERVE2</t>
  </si>
  <si>
    <t>TMS_Enum_EGSMLightOn</t>
  </si>
  <si>
    <t>0 = EGSMLightOn_Default</t>
  </si>
  <si>
    <t>1 = EGSMLightOn_LightOn</t>
  </si>
  <si>
    <t>2 = EGSMLightOn_LightOff</t>
  </si>
  <si>
    <t>TMS_Enum_EgyRgnLvlSet</t>
  </si>
  <si>
    <t>0 = EgyRgnLvlSet_Level1</t>
  </si>
  <si>
    <t>1 = EgyRgnLvlSet_Level2</t>
  </si>
  <si>
    <t>2 = EgyRgnLvlSet_Level3</t>
  </si>
  <si>
    <t>3 = EgyRgnLvlSet_Level4</t>
  </si>
  <si>
    <t>TMS_Enum_ElevatorStatus</t>
  </si>
  <si>
    <t>0 = ElevatorStatus_Default</t>
  </si>
  <si>
    <t>1 = ElevatorStatus_rising</t>
  </si>
  <si>
    <t>2 = ElevatorStatus_risingtoTheTop</t>
  </si>
  <si>
    <t>3 = ElevatorStatus_falling</t>
  </si>
  <si>
    <t>4 = ElevatorStatus_fallingToTheButtom</t>
  </si>
  <si>
    <t>5 = ElevatorStatus_Stopping</t>
  </si>
  <si>
    <t>TMS_Enum_ElVentActrCalibReq</t>
  </si>
  <si>
    <t>0 = NoReq</t>
  </si>
  <si>
    <t>1 = Req</t>
  </si>
  <si>
    <t>TMS_Enum_EnableDisable</t>
  </si>
  <si>
    <t>0 = EnableDisable_Enable</t>
  </si>
  <si>
    <t>1 = EnableDisable_Disable</t>
  </si>
  <si>
    <t>TMS_Enum_EnableDisableCoding</t>
  </si>
  <si>
    <t>0 = EnableDisableCoding_Disabled</t>
  </si>
  <si>
    <t>1 = EnableDisableCoding_Enabled</t>
  </si>
  <si>
    <t>TMS_Enum_EnaSts</t>
  </si>
  <si>
    <t>0 = EnaSts_ActvDi</t>
  </si>
  <si>
    <t>1 = EnaSts_ActvEna</t>
  </si>
  <si>
    <t>2 = EnaSts_OffDi</t>
  </si>
  <si>
    <t>3 = EnaSts_OffEna</t>
  </si>
  <si>
    <t>TMS_Enum_EngActvnMod1</t>
  </si>
  <si>
    <t>0 = EngActvnMod1_WakeupFunctionNOTActiveANDExternalRequestNOTPresent</t>
  </si>
  <si>
    <t>1 = EngActvnMod1_WakeupFunctionNOTActiveANDExternalRequestPresent</t>
  </si>
  <si>
    <t>2 = EngActvnMod1_WakeupFunctionActiveANDExternalRequestNOTPresent</t>
  </si>
  <si>
    <t>3 = EngActvnMod1_WakeupFunctionActiveANDExternalRequestPresent</t>
  </si>
  <si>
    <t>TMS_Enum_EngEgyEffElec</t>
  </si>
  <si>
    <t>0 = EngEgyEffElec_VeryCheap</t>
  </si>
  <si>
    <t>1 = EngEgyEffElec_Cheap</t>
  </si>
  <si>
    <t>2 = EngEgyEffElec_Norm</t>
  </si>
  <si>
    <t>3 = EngEgyEffElec_Expn</t>
  </si>
  <si>
    <t>4 = EngEgyEffElec_VeryExpn</t>
  </si>
  <si>
    <t>TMS_Enum_EngRunngReq</t>
  </si>
  <si>
    <t>0 = EngRunngReq_Dft</t>
  </si>
  <si>
    <t>1 = EngRunngReq_StopInhb</t>
  </si>
  <si>
    <t>2 = EngRunngReq_RunReq</t>
  </si>
  <si>
    <t>3 = EngRunngReq_Resd</t>
  </si>
  <si>
    <t>TMS_Enum_EngSt1</t>
  </si>
  <si>
    <t>0 = EngSt1_Ini</t>
  </si>
  <si>
    <t>1 = EngSt1_Awake</t>
  </si>
  <si>
    <t>2 = EngSt1_Rdy</t>
  </si>
  <si>
    <t>3 = EngSt1_PreStrtg</t>
  </si>
  <si>
    <t>4 = EngSt1_StrtgInProgs</t>
  </si>
  <si>
    <t>5 = EngSt1_RunngRunng</t>
  </si>
  <si>
    <t>6 = EngSt1_RunngStb</t>
  </si>
  <si>
    <t>7 = EngSt1_RunngStrtgInProgs</t>
  </si>
  <si>
    <t>8 = EngSt1_RunngRemStrtd</t>
  </si>
  <si>
    <t>9 = EngSt1_AftRun</t>
  </si>
  <si>
    <t>TMS_Enum_Enumeration1</t>
  </si>
  <si>
    <t>0 = Enumeration1_NotActvd</t>
  </si>
  <si>
    <t>1 = Enumeration1_Actvd</t>
  </si>
  <si>
    <t>TMS_Enum_EpbDrvrDisp</t>
  </si>
  <si>
    <t>0 = EpbDrvrDisp_Msg0</t>
  </si>
  <si>
    <t>1 = EpbDrvrDisp_Resd1</t>
  </si>
  <si>
    <t>2 = EpbDrvrDisp_Resd2</t>
  </si>
  <si>
    <t>3 = EpbDrvrDisp_Msg3</t>
  </si>
  <si>
    <t>4 = EpbDrvrDisp_Msg4</t>
  </si>
  <si>
    <t>5 = EpbDrvrDisp_Msg5</t>
  </si>
  <si>
    <t>6 = EpbDrvrDisp_Msg6</t>
  </si>
  <si>
    <t>7 = EpbDrvrDisp_Resd7</t>
  </si>
  <si>
    <t>8 = EpbDrvrDisp_Msg8</t>
  </si>
  <si>
    <t>9 = EpbDrvrDisp_Msg9</t>
  </si>
  <si>
    <t>10 = EpbDrvrDisp_Msg10</t>
  </si>
  <si>
    <t>11 = EpbDrvrDisp_Msg11</t>
  </si>
  <si>
    <t>12 = EpbDrvrDisp_Msg12</t>
  </si>
  <si>
    <t>13 = EpbDrvrDisp_Msg13</t>
  </si>
  <si>
    <t>14 = EpbDrvrDisp_Msg14</t>
  </si>
  <si>
    <t>15 = EpbDrvrDisp_Msg15</t>
  </si>
  <si>
    <t>TMS_Enum_EpbLampReqType1</t>
  </si>
  <si>
    <t>0 = EpbLampReqType1_On</t>
  </si>
  <si>
    <t>1 = EpbLampReqType1_Off</t>
  </si>
  <si>
    <t>2 = EpbLampReqType1_Flash2</t>
  </si>
  <si>
    <t>3 = EpbLampReqType1_Flash3</t>
  </si>
  <si>
    <t>TMS_Enum_EpbRel</t>
  </si>
  <si>
    <t>0 = EpbRel_Unknown</t>
  </si>
  <si>
    <t>1 = EpbRel_No_Release</t>
  </si>
  <si>
    <t>2 = EpbRel_Limited_Release</t>
  </si>
  <si>
    <t>3 = EpbRel_Unlimited_Release</t>
  </si>
  <si>
    <t>TMS_Enum_EpbReq</t>
  </si>
  <si>
    <t>0 = EpbReq_NoRequest</t>
  </si>
  <si>
    <t>1 = EpbReq_RollerTestBenchReq</t>
  </si>
  <si>
    <t>2 = EpbReq_EmergencyApplyReq</t>
  </si>
  <si>
    <t>3 = EpbReq_ApplyReq</t>
  </si>
  <si>
    <t>4 = EpbReq_ReleaseReq</t>
  </si>
  <si>
    <t>5 = EpbReq_DclBrkMechReq</t>
  </si>
  <si>
    <t>6 = EpbReq_DAR_ReleaseReq</t>
  </si>
  <si>
    <t>7 = EpbReq_AutoApplyReq</t>
  </si>
  <si>
    <t>8 = EpbReq_External_ApplyReq</t>
  </si>
  <si>
    <t>9 = EpbReq_External_ReleaseReq</t>
  </si>
  <si>
    <t>10 = EpbReq_BrkPadWearAdjReq</t>
  </si>
  <si>
    <t>11 = EpbReq_HapPreparationReq</t>
  </si>
  <si>
    <t>12 = EpbReq_EpbBackupReq</t>
  </si>
  <si>
    <t>13 = EpbReq_Reserved</t>
  </si>
  <si>
    <t>TMS_Enum_EpbSoftSwtCtrlSt</t>
  </si>
  <si>
    <t>0 = EpbSoftSwtCtrlSt_NoRequest</t>
  </si>
  <si>
    <t>1 = EpbSoftSwtCtrlSt_ApplyRequest</t>
  </si>
  <si>
    <t>2 = EpbSoftSwtCtrlSt_ReleaseRequest</t>
  </si>
  <si>
    <t>3 = EpbSoftSwtCtrlSt_Forbidden</t>
  </si>
  <si>
    <t>4 = EpbSoftSwtCtrlSt_Unknown</t>
  </si>
  <si>
    <t>TMS_Enum_EpbSts</t>
  </si>
  <si>
    <t>0 = EpbSts_Resd0</t>
  </si>
  <si>
    <t>1 = EpbSts_Resd1</t>
  </si>
  <si>
    <t>2 = EpbSts_Resd2</t>
  </si>
  <si>
    <t>3 = EpbSts_AllAppld</t>
  </si>
  <si>
    <t>4 = EpbSts_Resd4</t>
  </si>
  <si>
    <t>5 = EpbSts_AllInTran</t>
  </si>
  <si>
    <t>6 = EpbSts_BrkgDynByActr</t>
  </si>
  <si>
    <t>7 = EpbSts_Resd7</t>
  </si>
  <si>
    <t>8 = EpbSts_Resd8</t>
  </si>
  <si>
    <t>9 = EpbSts_ActrAllReld</t>
  </si>
  <si>
    <t>10 = EpbSts_BrkgDynDegraded</t>
  </si>
  <si>
    <t>11 = EpbSts_Resd11</t>
  </si>
  <si>
    <t>12 = EpbSts_BrkgDyn</t>
  </si>
  <si>
    <t>13 = EpbSts_Resd13</t>
  </si>
  <si>
    <t>14 = EpbSts_Resd14</t>
  </si>
  <si>
    <t>15 = EpbSts_Err</t>
  </si>
  <si>
    <t>TMS_Enum_Err1</t>
  </si>
  <si>
    <t>0 = Err1_NoErr</t>
  </si>
  <si>
    <t>1 = Err1_Err</t>
  </si>
  <si>
    <t>TMS_Enum_ErrorStaus</t>
  </si>
  <si>
    <t>0 = ErrorSts_Init_Diag</t>
  </si>
  <si>
    <t>1 = ErrorSts_Reserved1</t>
  </si>
  <si>
    <t>2 = ErrorSts_HOSWD_Ready</t>
  </si>
  <si>
    <t>3 = ErrorSts_HOSWD_CUFault</t>
  </si>
  <si>
    <t>4 = ErrorSts_HOSWD_SMFault</t>
  </si>
  <si>
    <t>5 = ErrorSts_HOSWD_SVFault</t>
  </si>
  <si>
    <t>6 = ErrorSts_Reserved2</t>
  </si>
  <si>
    <t>7 = ErrorSts_Reserved3</t>
  </si>
  <si>
    <t>TMS_Enum_ErsCmd</t>
  </si>
  <si>
    <t>0 = ErsCmd_ErsCmdNotSet</t>
  </si>
  <si>
    <t>1 = ErsCmd_ErsCmdOn</t>
  </si>
  <si>
    <t>2 = ErsCmd_ErsCmdOff</t>
  </si>
  <si>
    <t>TMS_Enum_EscSt1</t>
  </si>
  <si>
    <t>0 = EscSt1_Inin</t>
  </si>
  <si>
    <t>1 = EscSt1_Ok</t>
  </si>
  <si>
    <t>2 = EscSt1_TmpErr</t>
  </si>
  <si>
    <t>3 = EscSt1_PrmntErr</t>
  </si>
  <si>
    <t>4 = EscSt1_UsrOff</t>
  </si>
  <si>
    <t>TMS_Enum_EscWarnIndcnReq</t>
  </si>
  <si>
    <t>0 = EscWarnIndcnReq_EscWarnIndcnOnReq</t>
  </si>
  <si>
    <t>1 = EscWarnIndcnReq_EscWarnIndcnFlsgReq</t>
  </si>
  <si>
    <t>2 = EscWarnIndcnReq_Resd2</t>
  </si>
  <si>
    <t>3 = EscWarnIndcnReq_EscWarnIndcnOffReq</t>
  </si>
  <si>
    <t>TMS_Enum_ETCGatePpty</t>
  </si>
  <si>
    <t>0 = ETCGatePpty_In</t>
  </si>
  <si>
    <t>1 = ETCGatePpty_Out</t>
  </si>
  <si>
    <t>TMS_Enum_ETCMWorkSts</t>
  </si>
  <si>
    <t>0 = ETCMWorkSts_Unkown</t>
  </si>
  <si>
    <t>1 = ETCMWorkSts_Invalid</t>
  </si>
  <si>
    <t>2 = ETCMWorkSts_Valid</t>
  </si>
  <si>
    <t>TMS_Enum_ETCOpenSts</t>
  </si>
  <si>
    <t>0 = ETCOpenSts_Off</t>
  </si>
  <si>
    <t>1 = ETCOpenSts_On</t>
  </si>
  <si>
    <t>2 = ETCOpenSts_OffError</t>
  </si>
  <si>
    <t>TMS_Enum_ETCTradeInfo</t>
  </si>
  <si>
    <t>4294967295 = ETCTradeInfo_Invalid</t>
  </si>
  <si>
    <t>TMS_Enum_EvaprVlvSts</t>
  </si>
  <si>
    <t>0 = EvaprVlvSts_VlvReqdToClsd</t>
  </si>
  <si>
    <t>1 = EvaprVlvSts_VlvReqdToOpen</t>
  </si>
  <si>
    <t>2 = EvaprVlvSts_ElecErrByCircOpen</t>
  </si>
  <si>
    <t>3 = EvaprVlvSts_ElecErrShoToGnd</t>
  </si>
  <si>
    <t>4 = EvaprVlvSts_ElecErrShoToPwrSply</t>
  </si>
  <si>
    <t>5 = EvaprVlvSts_Resd</t>
  </si>
  <si>
    <t>TMS_Enum_EveMemPosn</t>
  </si>
  <si>
    <t>0 = EveMemPosn_Idle</t>
  </si>
  <si>
    <t>1 = EveMemPosn_Store</t>
  </si>
  <si>
    <t>2 = EveMemPosn_Load</t>
  </si>
  <si>
    <t>3 = EveMemPosn_Stop</t>
  </si>
  <si>
    <t>4 = EveMemPosn_AutMovmt</t>
  </si>
  <si>
    <t>5 = EveMemPosn_Upload</t>
  </si>
  <si>
    <t>6 = EveMemPosn_Download</t>
  </si>
  <si>
    <t>7 = EveMemPosn_Clear</t>
  </si>
  <si>
    <t>TMS_Enum_ExtremeHigh</t>
  </si>
  <si>
    <t>0 = ExtremeHigh_VehicleHeightNotExtremeHigh</t>
  </si>
  <si>
    <t>1 = ExtremeHigh_VehicleHeightExtremetHigh</t>
  </si>
  <si>
    <t>TMS_Enum_ExtremeLow</t>
  </si>
  <si>
    <t>0 = ExtremeLow_VehicleHeightNotExtremeLow</t>
  </si>
  <si>
    <t>1 = ExtremeLow_VehicleHeightExtremeLow</t>
  </si>
  <si>
    <t>TMS_Enum_ExtReqFromBrkSts1</t>
  </si>
  <si>
    <t>0 = ExtReqFromBrkSts1_IninNotDone</t>
  </si>
  <si>
    <t>1 = ExtReqFromBrkSts1_NotAvl</t>
  </si>
  <si>
    <t>2 = ExtReqFromBrkSts1_Avl</t>
  </si>
  <si>
    <t>3 = ExtReqFromBrkSts1_Actv</t>
  </si>
  <si>
    <t>TMS_Enum_ExvCalibReq</t>
  </si>
  <si>
    <t>0 = ExvCalibReq_NoReq</t>
  </si>
  <si>
    <t>1 = ExvCalibReq_InitializationReq</t>
  </si>
  <si>
    <t>TMS_Enum_ExvCalibSts</t>
  </si>
  <si>
    <t>0 = ExvCalibSts_NotInitialized</t>
  </si>
  <si>
    <t>1 = ExvCalibSts_InitializationInProcess</t>
  </si>
  <si>
    <t>2 = ExvCalibSts_Initialized</t>
  </si>
  <si>
    <t>3 = ExvCalibSts_Reserved</t>
  </si>
  <si>
    <t>TMS_Enum_ExvElecStsErr</t>
  </si>
  <si>
    <t>0 = ExvElecStsErr_NoError</t>
  </si>
  <si>
    <t>1 = ExvElecStsErr_OpenCircuit</t>
  </si>
  <si>
    <t>2 = ExvElecStsErr_ShortCircuit</t>
  </si>
  <si>
    <t>3 = ExvElecStsErr_OverTemperatureShutdown</t>
  </si>
  <si>
    <t>4 = ExvElecStsErr_IndeterminateElectricFault</t>
  </si>
  <si>
    <t>5 = ExvElecStsErr_Reserved</t>
  </si>
  <si>
    <t>TMS_Enum_ExvHeatdReq</t>
  </si>
  <si>
    <t>0 = ExvHeatdReq_NoReq</t>
  </si>
  <si>
    <t>1 = ExvHeatdReq_PreHeatedReq</t>
  </si>
  <si>
    <t>TMS_Enum_ExvMovEnable</t>
  </si>
  <si>
    <t>0 = EXVNotEnable</t>
  </si>
  <si>
    <t>1 = EXVEnable</t>
  </si>
  <si>
    <t>TMS_Enum_ExvMovSts</t>
  </si>
  <si>
    <t>0 = ExvMovSts_NotMove</t>
  </si>
  <si>
    <t>1 = ExvMovSts_Moving</t>
  </si>
  <si>
    <t>TMS_Enum_ExvVoltgRangErr</t>
  </si>
  <si>
    <t>0 = VoltgRangErr_NoErr</t>
  </si>
  <si>
    <t>1 = VoltgRangErr_UnderVoltageErr</t>
  </si>
  <si>
    <t>2 = VoltgRangErr_OverVoltageErr</t>
  </si>
  <si>
    <t>3 = VoltgRangErr_Reserved</t>
  </si>
  <si>
    <t>TMS_Enum_FailrNoFailr1</t>
  </si>
  <si>
    <t>0 = FailrNoFailr1_NoFailr</t>
  </si>
  <si>
    <t>1 = FailrNoFailr1_Failr</t>
  </si>
  <si>
    <t>TMS_Enum_FailrSts</t>
  </si>
  <si>
    <t>0 = FailrSts_NoError</t>
  </si>
  <si>
    <t>1 = FailrSts_MajorErr</t>
  </si>
  <si>
    <t>2 = FailrSts_CtitErr</t>
  </si>
  <si>
    <t>TMS_Enum_FanErr</t>
  </si>
  <si>
    <t>0 = FanErr_Noerr</t>
  </si>
  <si>
    <t>1 = FanErr_Speedunstable</t>
  </si>
  <si>
    <t>2 = FanErr_Poorcontact</t>
  </si>
  <si>
    <t>3 = FanErr_Brokenline</t>
  </si>
  <si>
    <t>TMS_Enum_FastChrgnLEDIndctn</t>
  </si>
  <si>
    <t>0 = FastChrgnLEDIndctn_Default</t>
  </si>
  <si>
    <t>1 = FastChrgnLEDIndctn_Green1</t>
  </si>
  <si>
    <t>2 = FastChrgnLEDIndctn_Green2</t>
  </si>
  <si>
    <t>3 = FastChrgnLEDIndctn_Green3</t>
  </si>
  <si>
    <t>4 = FastChrgnLEDIndctn_Green4</t>
  </si>
  <si>
    <t>5 = FastChrgnLEDIndctn_Red</t>
  </si>
  <si>
    <t>6 = FastChrgnLEDIndctn_Green5</t>
  </si>
  <si>
    <t>7 = FastChrgnLEDIndctn_Reserved</t>
  </si>
  <si>
    <t>TMS_Enum_FauLevel</t>
  </si>
  <si>
    <t>0 = FauLevel_Normal</t>
  </si>
  <si>
    <t>1 = FauLevel_LevelI</t>
  </si>
  <si>
    <t>2 = FauLevel_LevelII</t>
  </si>
  <si>
    <t>3 = FauLevel_LevelIII</t>
  </si>
  <si>
    <t>TMS_Enum_FaultSts</t>
  </si>
  <si>
    <t>0 = FaultSts_NoError</t>
  </si>
  <si>
    <t>1 = FaultSts_PositionUnknown</t>
  </si>
  <si>
    <t>2 = FaultSts_PCTR_Error</t>
  </si>
  <si>
    <t>3 = FaultSts_Blocking_Err</t>
  </si>
  <si>
    <t>4 = FaultSts_SetPoint_Err</t>
  </si>
  <si>
    <t>5 = FaultSts_Learning_Err</t>
  </si>
  <si>
    <t>6 = FaultSts_MotorCoilShort</t>
  </si>
  <si>
    <t>7 = FaultSts_MotorCoilOpen</t>
  </si>
  <si>
    <t>8 = FaultSts_MotorDrvOvertemperatureShutdown</t>
  </si>
  <si>
    <t>9 = FaultSts_Indeterminate</t>
  </si>
  <si>
    <t>10 = FaultSts_Reserved</t>
  </si>
  <si>
    <t>15 = FaultSts_SNA</t>
  </si>
  <si>
    <t>TMS_Enum_FaultType</t>
  </si>
  <si>
    <t>0 = FaultType_NoErr</t>
  </si>
  <si>
    <t>1 = FaultType_Warning</t>
  </si>
  <si>
    <t>2 = FaultType_Recoverable_Fault</t>
  </si>
  <si>
    <t>3 = FaultType_Unrecoverable_Fault</t>
  </si>
  <si>
    <t>TMS_Enum_FCSILEDIndctn</t>
  </si>
  <si>
    <t>0 = NO_COLOR</t>
  </si>
  <si>
    <t>1 = WHITE</t>
  </si>
  <si>
    <t>2 = BLUE</t>
  </si>
  <si>
    <t>3 = GREEN_BREATH</t>
  </si>
  <si>
    <t>4 = GREEN</t>
  </si>
  <si>
    <t>5 = BLUE_BREATH</t>
  </si>
  <si>
    <t>6 = RESERVED</t>
  </si>
  <si>
    <t>7 = RED</t>
  </si>
  <si>
    <t>TMS_Enum_FldLvl</t>
  </si>
  <si>
    <t>0 = FldLvl_FldLvlHi</t>
  </si>
  <si>
    <t>1 = FldLvl_FldLvlLo</t>
  </si>
  <si>
    <t>TMS_Enum_Flg1</t>
  </si>
  <si>
    <t>0 = Flg1_Rst</t>
  </si>
  <si>
    <t>1 = Flg1_Set</t>
  </si>
  <si>
    <t>TMS_Enum_Flt</t>
  </si>
  <si>
    <t>0 = Flt_NoFault</t>
  </si>
  <si>
    <t>1 = Flt_Fault</t>
  </si>
  <si>
    <t>TMS_Enum_FltAddCover</t>
  </si>
  <si>
    <t>0 = FltAddCover_NoFault</t>
  </si>
  <si>
    <t>1 = FltAddCover_Fault</t>
  </si>
  <si>
    <t>2 = FltAddCover_Cover</t>
  </si>
  <si>
    <t>TMS_Enum_FltEgyCns1</t>
  </si>
  <si>
    <t>0 = FltEgyCns1_NoFlt</t>
  </si>
  <si>
    <t>1 = FltEgyCns1_Flt</t>
  </si>
  <si>
    <t>TMS_Enum_FltStsSlaveBasc</t>
  </si>
  <si>
    <t>0 = FltStsSlaveBasc_FltStsTestPassd</t>
  </si>
  <si>
    <t>1 = FltStsSlaveBasc_FltStsTestFaild</t>
  </si>
  <si>
    <t>TMS_Enum_FotaStatus</t>
  </si>
  <si>
    <t>0 = Idle</t>
  </si>
  <si>
    <t>1 = Query</t>
  </si>
  <si>
    <t>2 = Downloading</t>
  </si>
  <si>
    <t>3 = Active</t>
  </si>
  <si>
    <t>4 = Update</t>
  </si>
  <si>
    <t>5 = Rollback</t>
  </si>
  <si>
    <t>6 = UpdateFailNotDriving</t>
  </si>
  <si>
    <t>TMS_Enum_FPS</t>
  </si>
  <si>
    <t>0 = FPS_60fps</t>
  </si>
  <si>
    <t>1 = FPS_30fps</t>
  </si>
  <si>
    <t>2 = FPS_Reserve1</t>
  </si>
  <si>
    <t>3 = FPS_Reserve2</t>
  </si>
  <si>
    <t>4 = FPS_Reserve3</t>
  </si>
  <si>
    <t>5 = FPS_Reserve4</t>
  </si>
  <si>
    <t>6 = FPS_Reserve5</t>
  </si>
  <si>
    <t>7 = FPS_Reserve6</t>
  </si>
  <si>
    <t>8 = FPS_Reserve7</t>
  </si>
  <si>
    <t>9 = FPS_Reserve8</t>
  </si>
  <si>
    <t>10 = FPS_Reserve9</t>
  </si>
  <si>
    <t>11 = FPS_Reserve10</t>
  </si>
  <si>
    <t>12 = FPS_Reserve11</t>
  </si>
  <si>
    <t>13 = FPS_Reserve12</t>
  </si>
  <si>
    <t>14 = FPS_Reserve13</t>
  </si>
  <si>
    <t>15 = FPS_Reserve14</t>
  </si>
  <si>
    <t>TMS_Enum_FrntHeatModEnad</t>
  </si>
  <si>
    <t>0 = FrntHeatModEnad_Heatg</t>
  </si>
  <si>
    <t>1 = FrntHeatModEnad_PwrLoss</t>
  </si>
  <si>
    <t>2 = FrntHeatModEnad_Off</t>
  </si>
  <si>
    <t>3 = FrntHeatModEnad_Reserved</t>
  </si>
  <si>
    <t>TMS_Enum_FuCnsIndcdUnit</t>
  </si>
  <si>
    <t>0 = FuCnsIndcdUnit_LperHectoKiloM</t>
  </si>
  <si>
    <t>1 = FuCnsIndcdUnit_KiloMPerL</t>
  </si>
  <si>
    <t>2 = FuCnsIndcdUnit_MilePerGallonEngland</t>
  </si>
  <si>
    <t>3 = FuCnsIndcdUnit_MilePerGallonUsa</t>
  </si>
  <si>
    <t>4 = FuCnsIndcdUnit_UkwnUnit</t>
  </si>
  <si>
    <t>TMS_Enum_GearAutoShiftReq1</t>
  </si>
  <si>
    <t>0 = GearAutoShiftReq1_NoRequest</t>
  </si>
  <si>
    <t>1 = GearAutoShiftReq1_TargetgearP</t>
  </si>
  <si>
    <t>2 = GearAutoShiftReq1_TargetgearR</t>
  </si>
  <si>
    <t>3 = GearAutoShiftReq1_TargetgearD</t>
  </si>
  <si>
    <t>TMS_Enum_GearAutoShiftReqSts</t>
  </si>
  <si>
    <t>0 = GearAutoShiftReqSts1_NoAction</t>
  </si>
  <si>
    <t>1 = GearAutoShiftReqSts1_GearReqEnable</t>
  </si>
  <si>
    <t>2 = GearAutoShiftReqSts1_GearReqComplete</t>
  </si>
  <si>
    <t>3 = GearAutoShiftReqSts1_GearReqInhibit</t>
  </si>
  <si>
    <t>TMS_Enum_GearDispFedBck</t>
  </si>
  <si>
    <t>0 = Gear_Display_Normally</t>
  </si>
  <si>
    <t>1 = Display_P_Wrong</t>
  </si>
  <si>
    <t>2 = Display_R_Wrong</t>
  </si>
  <si>
    <t>3 = Display_D_Wrong</t>
  </si>
  <si>
    <t>4 = Reserve1</t>
  </si>
  <si>
    <t>5 = Reserve2</t>
  </si>
  <si>
    <t>6 = Reserve3</t>
  </si>
  <si>
    <t>7 = Reserve4</t>
  </si>
  <si>
    <t>8 = Reserve5</t>
  </si>
  <si>
    <t>9 = Reserve6</t>
  </si>
  <si>
    <t>10 = Reserve7</t>
  </si>
  <si>
    <t>11 = Reserve8</t>
  </si>
  <si>
    <t>12 = Reserve9</t>
  </si>
  <si>
    <t>13 = Reserve10</t>
  </si>
  <si>
    <t>14 = Reserve11</t>
  </si>
  <si>
    <t>15 = Reserve12</t>
  </si>
  <si>
    <t>TMS_Enum_GearIndcn</t>
  </si>
  <si>
    <t>0 = GearIndcn_P</t>
  </si>
  <si>
    <t>1 = GearIndcn_R</t>
  </si>
  <si>
    <t>2 = GearIndcn_N</t>
  </si>
  <si>
    <t>3 = GearIndcn_D</t>
  </si>
  <si>
    <t>4 = GearIndcn_Reserve1</t>
  </si>
  <si>
    <t>5 = GearIndcn_Reserve2</t>
  </si>
  <si>
    <t>6 = GearIndcn_Reserve3</t>
  </si>
  <si>
    <t>7 = GearIndcn_Invalid</t>
  </si>
  <si>
    <t>TMS_Enum_GearLvrFaultIndcn</t>
  </si>
  <si>
    <t>0 = NoFlt</t>
  </si>
  <si>
    <t>1 = CDCFltEGSMNoFlt</t>
  </si>
  <si>
    <t>2 = CDCSerFltEGSMSligtFlt</t>
  </si>
  <si>
    <t>3 = CDCNoFltEGSMFlt</t>
  </si>
  <si>
    <t>4 = CDCSligtFltEGSMSerFlt</t>
  </si>
  <si>
    <t>5 = CDCSerFltEGSMSerFlt</t>
  </si>
  <si>
    <t>TMS_Enum_GearLvrIndcn2</t>
  </si>
  <si>
    <t>0 = GearLvrIndcn2_ParkIndcn</t>
  </si>
  <si>
    <t>1 = GearLvrIndcn2_RvsIndcn</t>
  </si>
  <si>
    <t>2 = GearLvrIndcn2_NeutIndcn</t>
  </si>
  <si>
    <t>3 = GearLvrIndcn2_DrvIndcn</t>
  </si>
  <si>
    <t>4 = GearLvrIndcn2_ManModeIndcn</t>
  </si>
  <si>
    <t>5 = GearLvrIndcn2_Resd1</t>
  </si>
  <si>
    <t>6 = GearLvrIndcn2_Resd2</t>
  </si>
  <si>
    <t>7 = GearLvrIndcn2_Undefd</t>
  </si>
  <si>
    <t>TMS_Enum_GearLvrIndcnInv</t>
  </si>
  <si>
    <t>0 = GearLvrIndcnInv_P</t>
  </si>
  <si>
    <t>1 = GearLvrIndcnInv_R</t>
  </si>
  <si>
    <t>2 = GearLvrIndcnInv_D</t>
  </si>
  <si>
    <t>3 = GearLvrIndcnInv_Reserved1</t>
  </si>
  <si>
    <t>4 = GearLvrIndcnInv_Reserved2</t>
  </si>
  <si>
    <t>5 = GearLvrIndcnInv_Reserved3</t>
  </si>
  <si>
    <t>6 = GearLvrIndcnInv_Reserved4</t>
  </si>
  <si>
    <t>7 = GearLvrIndcnInv_NOINDICATION</t>
  </si>
  <si>
    <t>TMS_Enum_GearLvrLockIndcn</t>
  </si>
  <si>
    <t>0 = GearLvrLockIndcn_NoIndcn</t>
  </si>
  <si>
    <t>1 = GearLvrLockIndcn_GearShiftSrvRqrd</t>
  </si>
  <si>
    <t>2 = GearLvrLockIndcn_GearLvrSpdLimExc</t>
  </si>
  <si>
    <t>3 = GearLvrLockIndcn_GearLvrRelsByBrkPedl</t>
  </si>
  <si>
    <t>4 = GearLvrLockIndcn_GearLvrRelsByChgBatt</t>
  </si>
  <si>
    <t>5 = GearLvrLockIndcn_GearAutoEnterP</t>
  </si>
  <si>
    <t>6 = GearLvrLockIndcn_GearLvrRelsAccBrkPedl</t>
  </si>
  <si>
    <t>TMS_Enum_GearPrkgAssiReq1</t>
  </si>
  <si>
    <t>0 = GearPrkgAssiReq1_NoRequest</t>
  </si>
  <si>
    <t>1 = GearPrkgAssiReq1_TargetgearP</t>
  </si>
  <si>
    <t>2 = GearPrkgAssiReq1_TargetgearR</t>
  </si>
  <si>
    <t>3 = GearPrkgAssiReq1_TargetgearD</t>
  </si>
  <si>
    <t>TMS_Enum_GearShiftUnitSts1</t>
  </si>
  <si>
    <t>1 = NoUpTipAut</t>
  </si>
  <si>
    <t>2 = NoDwnTipAut</t>
  </si>
  <si>
    <t>3 = NoPark</t>
  </si>
  <si>
    <t>4 = SrvRqrd</t>
  </si>
  <si>
    <t>5 = NoUpUpTipAut</t>
  </si>
  <si>
    <t>6 = NoDownDownTipAut</t>
  </si>
  <si>
    <t>7 = Nounlock</t>
  </si>
  <si>
    <t>TMS_Enum_GenQf1</t>
  </si>
  <si>
    <t>0 = GenQf1_UndefindDataAccur</t>
  </si>
  <si>
    <t>1 = GenQf1_TmpUndefdData</t>
  </si>
  <si>
    <t>2 = GenQf1_DataAccurNotWithinSpcn</t>
  </si>
  <si>
    <t>3 = GenQf1_AccurData</t>
  </si>
  <si>
    <t>TMS_Enum_GNSSStatus</t>
  </si>
  <si>
    <t>0 = GNSSStatus_Invalid_Default</t>
  </si>
  <si>
    <t>1 = GNSSStatus_GPS_FIX</t>
  </si>
  <si>
    <t>2 = GNSSStatus_DGPS_FIX</t>
  </si>
  <si>
    <t>3 = GNSSStatus_PPS_FIX</t>
  </si>
  <si>
    <t>4 = GNSSStatus_RTK_FIX</t>
  </si>
  <si>
    <t>5 = GNSSStatus_RTK_FLOAT</t>
  </si>
  <si>
    <t>6 = GNSSStatus_ESTIMATED_DEAD_RECKONING</t>
  </si>
  <si>
    <t>7 = GNSSStatus_MANUAL_INPUT_MODE</t>
  </si>
  <si>
    <t>8 = GNSSStatus_SIMULATOR_MODE</t>
  </si>
  <si>
    <t>TMS_Enum_HandsOnStatus</t>
  </si>
  <si>
    <t>0 = Init_Class</t>
  </si>
  <si>
    <t>1 = Hands_ON</t>
  </si>
  <si>
    <t>2 = Hands_OFF</t>
  </si>
  <si>
    <t>3 = Undetermined_Class</t>
  </si>
  <si>
    <t>TMS_Enum_HavpMatchStatus</t>
  </si>
  <si>
    <t>0 = Math_No_Info</t>
  </si>
  <si>
    <t>1 = Math_False</t>
  </si>
  <si>
    <t>2 = Math_True</t>
  </si>
  <si>
    <t>TMS_Enum_HavpSts</t>
  </si>
  <si>
    <t>0 = Off</t>
  </si>
  <si>
    <t>1 = Enable</t>
  </si>
  <si>
    <t>2 = Standby</t>
  </si>
  <si>
    <t>3 = Learningpath</t>
  </si>
  <si>
    <t>4 = Active</t>
  </si>
  <si>
    <t>5 = Pausing</t>
  </si>
  <si>
    <t>6 = Completed</t>
  </si>
  <si>
    <t>7 = Disabled</t>
  </si>
  <si>
    <t>8 = Terminated</t>
  </si>
  <si>
    <t>9 = Failure</t>
  </si>
  <si>
    <t>10 = Reserve1</t>
  </si>
  <si>
    <t>11 = Reserve2</t>
  </si>
  <si>
    <t>12 = Reserve3</t>
  </si>
  <si>
    <t>13 = Reserve4</t>
  </si>
  <si>
    <t>14 = Reserve5</t>
  </si>
  <si>
    <t>15 = Reserve6</t>
  </si>
  <si>
    <t>TMS_Enum_HeatPmpModCmd</t>
  </si>
  <si>
    <t>0 = HeatPmpModCmd_Initialization</t>
  </si>
  <si>
    <t>1 = HeatPmpModCmd_Mode1</t>
  </si>
  <si>
    <t>2 = HeatPmpModCmd_Mode2</t>
  </si>
  <si>
    <t>3 = HeatPmpModCmd_Mode3</t>
  </si>
  <si>
    <t>4 = HeatPmpModCmd_Mode4</t>
  </si>
  <si>
    <t>5 = HeatPmpModCmd_Mode5</t>
  </si>
  <si>
    <t>6 = HeatPmpModCmd_Mode6</t>
  </si>
  <si>
    <t>7 = HeatPmpModCmd_Mode7</t>
  </si>
  <si>
    <t>8 = HeatPmpModCmd_Mode8</t>
  </si>
  <si>
    <t>9 = HeatPmpModCmd_Mode9</t>
  </si>
  <si>
    <t>10 = HeatPmpModCmd_Mode10</t>
  </si>
  <si>
    <t>11 = HeatPmpModCmd_Mode11</t>
  </si>
  <si>
    <t>12 = HeatPmpModCmd_Mode12</t>
  </si>
  <si>
    <t>13 = HeatPmpModCmd_Mode13</t>
  </si>
  <si>
    <t>14 = HeatPmpModCmd_Mode14</t>
  </si>
  <si>
    <t>15 = HeatPmpModCmd_Mode15</t>
  </si>
  <si>
    <t>16 = HeatPmpModCmd_Mode16</t>
  </si>
  <si>
    <t>17 = HeatPmpModCmd_Mode17</t>
  </si>
  <si>
    <t>18 = HeatPmpModCmd_Mode18</t>
  </si>
  <si>
    <t>19 = HeatPmpModCmd_Mode19</t>
  </si>
  <si>
    <t>20 = HeatPmpModCmd_Mode20</t>
  </si>
  <si>
    <t>21 = HeatPmpModCmd_Reserved</t>
  </si>
  <si>
    <t>TMS_Enum_HeightLevel</t>
  </si>
  <si>
    <t>0 = HeightLevel_LowLevel5</t>
  </si>
  <si>
    <t>1 = HeightLevel_LowLevel4</t>
  </si>
  <si>
    <t>2 = HeightLevel_LowLevel3</t>
  </si>
  <si>
    <t>3 = HeightLevel_LowLevel2</t>
  </si>
  <si>
    <t>4 = HeightLevel_LowLevel1</t>
  </si>
  <si>
    <t>5 = HeightLevel_NormalLevel</t>
  </si>
  <si>
    <t>6 = HeightLevel_HighLevel1</t>
  </si>
  <si>
    <t>7 = HeightLevel_HighLevel2</t>
  </si>
  <si>
    <t>8 = HeightLevel_HighLevel3</t>
  </si>
  <si>
    <t>9 = HeightLevel_HighLevel4</t>
  </si>
  <si>
    <t>10 = HeightLevel_HighLevel5</t>
  </si>
  <si>
    <t>11 = HeightLevel_Reserved1</t>
  </si>
  <si>
    <t>12 = HeightLevel_Reserved2</t>
  </si>
  <si>
    <t>13 = HeightLevel_Reserved3</t>
  </si>
  <si>
    <t>14 = HeightLevel_InitUnknow</t>
  </si>
  <si>
    <t>15 = HeightLevel_Invalid</t>
  </si>
  <si>
    <t>TMS_Enum_HmiCmptmtAirDistbnFrnt</t>
  </si>
  <si>
    <t>0 = HmiCmptmtAirDistbnFrnt_Flr</t>
  </si>
  <si>
    <t>1 = HmiCmptmtAirDistbnFrnt_Vent</t>
  </si>
  <si>
    <t>2 = HmiCmptmtAirDistbnFrnt_Defrst</t>
  </si>
  <si>
    <t>3 = HmiCmptmtAirDistbnFrnt_FlrDefrst</t>
  </si>
  <si>
    <t>4 = HmiCmptmtAirDistbnFrnt_FlrVent</t>
  </si>
  <si>
    <t>5 = HmiCmptmtAirDistbnFrnt_VentDefrst</t>
  </si>
  <si>
    <t>6 = HmiCmptmtAirDistbnFrnt_FlrVentDefrst</t>
  </si>
  <si>
    <t>7 = HmiCmptmtAirDistbnFrnt_Aut</t>
  </si>
  <si>
    <t>TMS_Enum_HmiCmptmtCoolgReq</t>
  </si>
  <si>
    <t>0 = HmiCmptmtCoolgReq_Off</t>
  </si>
  <si>
    <t>1 = HmiCmptmtCoolgReq_Auto</t>
  </si>
  <si>
    <t>TMS_Enum_HmiCmptmtTSpSpcl</t>
  </si>
  <si>
    <t>0 = HmiCmptmtTSpSpcl_Norm</t>
  </si>
  <si>
    <t>1 = HmiCmptmtTSpSpcl_Lo</t>
  </si>
  <si>
    <t>2 = HmiCmptmtTSpSpcl_Hi</t>
  </si>
  <si>
    <t>TMS_Enum_HmiFragraLvlReq</t>
  </si>
  <si>
    <t>0 = LvlOff</t>
  </si>
  <si>
    <t>1 = Lvl1</t>
  </si>
  <si>
    <t>2 = Lvl2</t>
  </si>
  <si>
    <t>3 = Lvl3</t>
  </si>
  <si>
    <t>TMS_Enum_HmiFrangraModReq</t>
  </si>
  <si>
    <t>0 = HmiFragraModReq_Single</t>
  </si>
  <si>
    <t>1 = HmiFragraModReq_Mix</t>
  </si>
  <si>
    <t>2 = HmiFragraModReq_Scene</t>
  </si>
  <si>
    <t>3 = HmiFragraModReq_Reserve</t>
  </si>
  <si>
    <t>TMS_Enum_HmiHvacFanLvl</t>
  </si>
  <si>
    <t>0 = HmiHvacFanLvl_Off</t>
  </si>
  <si>
    <t>1 = HmiHvacFanLvl_LvlMan1</t>
  </si>
  <si>
    <t>2 = HmiHvacFanLvl_LvlMan2</t>
  </si>
  <si>
    <t>3 = HmiHvacFanLvl_LvlMan3</t>
  </si>
  <si>
    <t>4 = HmiHvacFanLvl_LvlMan4</t>
  </si>
  <si>
    <t>5 = HmiHvacFanLvl_LvlMan5</t>
  </si>
  <si>
    <t>6 = HmiHvacFanLvl_LvlMan6</t>
  </si>
  <si>
    <t>7 = HmiHvacFanLvl_LvlMan7</t>
  </si>
  <si>
    <t>8 = HmiHvacFanLvl_LvlMan8</t>
  </si>
  <si>
    <t>9 = HmiHvacFanLvl_LvlMan9</t>
  </si>
  <si>
    <t>10 = HmiHvacFanLvl_LvlAutMinusMinus</t>
  </si>
  <si>
    <t>11 = HmiHvacFanLvl_LvlAutMinus</t>
  </si>
  <si>
    <t>12 = HmiHvacFanLvl_LvlAutNorm</t>
  </si>
  <si>
    <t>13 = HmiHvacFanLvl_LvlAutPlus</t>
  </si>
  <si>
    <t>14 = HmiHvacFanLvl_LvlAutPlusPlus</t>
  </si>
  <si>
    <t>15 = HmiHvacFanLvl_Reserved</t>
  </si>
  <si>
    <t>TMS_Enum_HmiHvacRecircCmd</t>
  </si>
  <si>
    <t>0 = HmiHvacRecircCmd_Aut</t>
  </si>
  <si>
    <t>1 = HmiHvacRecircCmd_AutWithAirQly</t>
  </si>
  <si>
    <t>2 = HmiHvacRecircCmd_RecircFull</t>
  </si>
  <si>
    <t>3 = HmiHvacRecircCmd_OscircFull</t>
  </si>
  <si>
    <t>TMS_Enum_HmiHvacReCtrl</t>
  </si>
  <si>
    <t>0 = HmiHvacReCtrl_Off</t>
  </si>
  <si>
    <t>1 = HmiHvacReCtrl_OffWithNoOccpt</t>
  </si>
  <si>
    <t>2 = HmiHvacReCtrl_On</t>
  </si>
  <si>
    <t>TMS_Enum_HomePrkgSysSts</t>
  </si>
  <si>
    <t>0 = HomePrkgSysSts_Off</t>
  </si>
  <si>
    <t>1 = HomePrkgSysSts_Standby</t>
  </si>
  <si>
    <t>2 = HomePrkgSysSts_MapBuilding</t>
  </si>
  <si>
    <t>3 = HomePrkgSysSts_Localization</t>
  </si>
  <si>
    <t>4 = HomePrkgSysSts_Cruse</t>
  </si>
  <si>
    <t>5 = HomePrkgSysSts_Reserved1</t>
  </si>
  <si>
    <t>6 = HomePrkgSysSts_Reserved2</t>
  </si>
  <si>
    <t>7 = HomePrkgSysSts_Reserved3</t>
  </si>
  <si>
    <t>8 = HomePrkgSysSts_ParkingInPreactive</t>
  </si>
  <si>
    <t>9 = HomePrkgSysSts_ParkingInProcess</t>
  </si>
  <si>
    <t>10 = HomePrkgSysSts_Reserved4</t>
  </si>
  <si>
    <t>11 = HomePrkgSysSts_Reserved5</t>
  </si>
  <si>
    <t>12 = HomePrkgSysSts_ParkingOutPreactive</t>
  </si>
  <si>
    <t>13 = HomePrkgSysSts_ParkingOutProcess</t>
  </si>
  <si>
    <t>14 = HomePrkgSysSts_Reserved6</t>
  </si>
  <si>
    <t>15 = HomePrkgSysSts_Reserved7</t>
  </si>
  <si>
    <t>16 = HomePrkgSysSts_FunctionCompleted</t>
  </si>
  <si>
    <t>17 = HomePrkgSysSts_Abort</t>
  </si>
  <si>
    <t>18 = HomePrkgSysSts_Suspend</t>
  </si>
  <si>
    <t>TMS_Enum_HPSReq</t>
  </si>
  <si>
    <t>0 = HPSReq_None</t>
  </si>
  <si>
    <t>1 = HPSReq_NormalPressureGradient</t>
  </si>
  <si>
    <t>2 = HPSReq_MaxPressureGradient</t>
  </si>
  <si>
    <t>TMS_Enum_HvacFanSeln</t>
  </si>
  <si>
    <t>0 = HvacFanSeln_BlowerHalf</t>
  </si>
  <si>
    <t>1 = HvacFanSeln_BlowerThreeQuarters</t>
  </si>
  <si>
    <t>2 = HvacFanSeln_Invalid</t>
  </si>
  <si>
    <t>3 = HvacFanSeln_Reserved</t>
  </si>
  <si>
    <t>TMS_Enum_HvacFanSts</t>
  </si>
  <si>
    <t>0 = HvacFanSts_Off</t>
  </si>
  <si>
    <t>1 = HvacFanSts_On</t>
  </si>
  <si>
    <t>2 = HvacFanSts_Warning</t>
  </si>
  <si>
    <t>3 = HvacFanSts_Error</t>
  </si>
  <si>
    <t>TMS_Enum_HvacTIfQf</t>
  </si>
  <si>
    <t>0 = HvacTIfQf_SnsrDataNotOk</t>
  </si>
  <si>
    <t>1 = HvacTIfQf_SnsrDataOk</t>
  </si>
  <si>
    <t>TMS_Enum_HvActvnSts</t>
  </si>
  <si>
    <t>0 = HvActvnSts_Open</t>
  </si>
  <si>
    <t>1 = HvActvnSts_Clsd</t>
  </si>
  <si>
    <t>2 = HvActvnSts_KeepSt</t>
  </si>
  <si>
    <t>3 = HvActvnSts_OpenAndReqActvDcha</t>
  </si>
  <si>
    <t>TMS_Enum_HvActvSts</t>
  </si>
  <si>
    <t>0 = HvActvSts_Default</t>
  </si>
  <si>
    <t>1 = HvActvSts_CPSRIsActivated</t>
  </si>
  <si>
    <t>2 = HvActvSts_CPSRPlusContactorsIsActivated</t>
  </si>
  <si>
    <t>3 = HvActvSts_Error</t>
  </si>
  <si>
    <t>TMS_Enum_HVBattChargnCmd</t>
  </si>
  <si>
    <t>0 = HVBattChargnCmd_OK</t>
  </si>
  <si>
    <t>1 = HVBattChargnCmd_NOK</t>
  </si>
  <si>
    <t>2 = HVBattChargnCmd_INIT</t>
  </si>
  <si>
    <t>3 = HVBattChargnCmd_HOLD</t>
  </si>
  <si>
    <t>TMS_Enum_HvBattCoolgReq</t>
  </si>
  <si>
    <t>0 = HvBattCoolgReq_NotReqd</t>
  </si>
  <si>
    <t>1 = HvBattCoolgReq_LoReq</t>
  </si>
  <si>
    <t>2 = HvBattCoolgReq_MedReq</t>
  </si>
  <si>
    <t>3 = HvBattCoolgReq_HiReq</t>
  </si>
  <si>
    <t>TMS_Enum_HvBattCooltLvl</t>
  </si>
  <si>
    <t>0 = HvBattCooltLvl_Full</t>
  </si>
  <si>
    <t>1 = HvBattCooltLvl_Empty</t>
  </si>
  <si>
    <t>TMS_Enum_HvBattThermMod</t>
  </si>
  <si>
    <t>0 = HvBattThermMod_Idle</t>
  </si>
  <si>
    <t>1 = HvBattThermMod_ThermalBalancing</t>
  </si>
  <si>
    <t>2 = HvBattThermMod_PassiveHeating</t>
  </si>
  <si>
    <t>3 = HvBattThermMod_ActiveHeating</t>
  </si>
  <si>
    <t>4 = HvBattThermMod_PassiveCooling</t>
  </si>
  <si>
    <t>5 = HvBattThermMod_ActiveCooling</t>
  </si>
  <si>
    <t>6 = HvBattThermMod_CombinedCooling</t>
  </si>
  <si>
    <t>7 = HvBattThermMod_Reserved</t>
  </si>
  <si>
    <t>TMS_Enum_HvBattThermReqFb</t>
  </si>
  <si>
    <t>0 = HvBattThermReqFb_Default</t>
  </si>
  <si>
    <t>1 = HvBattThermReqFb_Heating</t>
  </si>
  <si>
    <t>2 = HvBattThermReqFb_HeatFinished</t>
  </si>
  <si>
    <t>3 = HvBattThermReqFb_RadiatorCooling</t>
  </si>
  <si>
    <t>4 = HvBattThermReqFb_CompressorCooling</t>
  </si>
  <si>
    <t>5 = HvBattThermReqFb_CoolingFinish</t>
  </si>
  <si>
    <t>6 = HvBattThermReqFb_Inhibited</t>
  </si>
  <si>
    <t>7 = HvBattThermReqFb_HeatingByEmotCoolt</t>
  </si>
  <si>
    <t>8 = HvBattThermReqFb_Fault</t>
  </si>
  <si>
    <t>TMS_Enum_HVChrgnStopReq</t>
  </si>
  <si>
    <t>0 = HVChrgnStopReq_Default</t>
  </si>
  <si>
    <t>1 = HVChrgnStopReq_BST</t>
  </si>
  <si>
    <t>2 = HVChrgnStopReq_CST</t>
  </si>
  <si>
    <t>3 = HVChrgnStopReq_Reserved</t>
  </si>
  <si>
    <t>TMS_Enum_HvCoolg1</t>
  </si>
  <si>
    <t>0 = HvCoolg1_NoRequestForMoreCoolantPower</t>
  </si>
  <si>
    <t>1 = HvCoolg1_IncreaseLevel1ForMoreCoolantPower</t>
  </si>
  <si>
    <t>2 = HvCoolg1_IncreaseLevel2ForMoreCoolantPower</t>
  </si>
  <si>
    <t>3 = HvCoolg1_MaxCoolingPower</t>
  </si>
  <si>
    <t>4 = HvCoolg1_NotDefined</t>
  </si>
  <si>
    <t>TMS_Enum_HvCooltHeatrSts</t>
  </si>
  <si>
    <t>0 = HvCooltHeatrSts_Off</t>
  </si>
  <si>
    <t>1 = HvCooltHeatrSts_LockedUntilNextStart</t>
  </si>
  <si>
    <t>2 = HvCooltHeatrSts_LockedUntilService</t>
  </si>
  <si>
    <t>3 = HvCooltHeatrSts_LockedPermanent</t>
  </si>
  <si>
    <t>4 = HvCooltHeatrSts_Operation</t>
  </si>
  <si>
    <t>5 = HvCooltHeatrSts_Reserved1</t>
  </si>
  <si>
    <t>6 = HvCooltHeatrSts_Reserved2</t>
  </si>
  <si>
    <t>7 = HvCooltHeatrSts_Reserved3</t>
  </si>
  <si>
    <t>TMS_Enum_HvIsoSts</t>
  </si>
  <si>
    <t>0 = Insulation_Default</t>
  </si>
  <si>
    <t>1 = Insulation_Error_Battery_before_HV_Ready</t>
  </si>
  <si>
    <t>2 = Insulation_Error_HV_bus_after_HV_Ready</t>
  </si>
  <si>
    <t>3 = Insulation_OK</t>
  </si>
  <si>
    <t>TMS_Enum_HvPwrEgyPrio</t>
  </si>
  <si>
    <t>0 = HvPwrEgyPrio_Standby</t>
  </si>
  <si>
    <t>1 = HvPwrEgyPrio_Dischrgning</t>
  </si>
  <si>
    <t>2 = HvPwrEgyPrio_Chrgning</t>
  </si>
  <si>
    <t>3 = HvPwrEgyPrio_ClimaWithAc</t>
  </si>
  <si>
    <t>4 = HvPwrEgyPrio_ClimaWithoutAc</t>
  </si>
  <si>
    <t>5 = HvPwrEgyPrio_RemoteClimatisaiton</t>
  </si>
  <si>
    <t>TMS_Enum_HvSysSts</t>
  </si>
  <si>
    <t>0 = HvSysSts_Inin</t>
  </si>
  <si>
    <t>1 = HvSysSts_Test</t>
  </si>
  <si>
    <t>2 = HvSysSts_Rdy</t>
  </si>
  <si>
    <t>TMS_Enum_HwVersion</t>
  </si>
  <si>
    <t>0 = HwVersion_Invalid</t>
  </si>
  <si>
    <t>1 = HwVersion_1</t>
  </si>
  <si>
    <t>2 = HwVersion_2</t>
  </si>
  <si>
    <t>3 = HwVersion_3</t>
  </si>
  <si>
    <t>4 = HwVersion_4</t>
  </si>
  <si>
    <t>5 = HwVersion_5</t>
  </si>
  <si>
    <t>6 = HwVersion_6</t>
  </si>
  <si>
    <t>7 = HwVersion_7</t>
  </si>
  <si>
    <t>8 = HwVersion_8</t>
  </si>
  <si>
    <t>9 = HwVersion_9</t>
  </si>
  <si>
    <t>10 = HwVersion_10</t>
  </si>
  <si>
    <t>11 = HwVersion_11</t>
  </si>
  <si>
    <t>12 = HwVersion_12</t>
  </si>
  <si>
    <t>13 = HwVersion_13</t>
  </si>
  <si>
    <t>14 = HwVersion_14</t>
  </si>
  <si>
    <t>15 = HwVersion_15</t>
  </si>
  <si>
    <t>TMS_Enum_IdleEnaDis</t>
  </si>
  <si>
    <t>0 = IdleEnaDis_Idle</t>
  </si>
  <si>
    <t>1 = IdleEnaDis_Ena</t>
  </si>
  <si>
    <t>2 = IdleEnaDis_Dis</t>
  </si>
  <si>
    <t>TMS_Enum_IdleVal</t>
  </si>
  <si>
    <t>0 = IdleVal_NoInterruption</t>
  </si>
  <si>
    <t>1 = IdleVal_PitchAngleOver12Degrees</t>
  </si>
  <si>
    <t>2 = IdleVal_RollAngleOver12Degrees</t>
  </si>
  <si>
    <t>3 = IdleVal_VehicleMoveOnGoingOpen</t>
  </si>
  <si>
    <t>4 = IdleVal_HMIDisabledSldngDoors</t>
  </si>
  <si>
    <t>5 = IdleVal_EnergyLevelInVehicleLow</t>
  </si>
  <si>
    <t>6 = IdleVal_Reserved1</t>
  </si>
  <si>
    <t>7 = IdleVal_Reserved2</t>
  </si>
  <si>
    <t>TMS_Enum_IdleVal1</t>
  </si>
  <si>
    <t>0 = IdleVal1_NopInterruption</t>
  </si>
  <si>
    <t>1 = IdleVal1_PitchAngleOver12Degrees</t>
  </si>
  <si>
    <t>2 = IdleVal1_RollAngleOver12Degrees</t>
  </si>
  <si>
    <t>3 = IdleVal1_VehicleMoveOnGoingOpen</t>
  </si>
  <si>
    <t>4 = IdleVal1_OpenWarnOn</t>
  </si>
  <si>
    <t>5 = IdleVal1_EnergyLevelInVehicleLow</t>
  </si>
  <si>
    <t>6 = IdleVal1_Reserved1</t>
  </si>
  <si>
    <t>7 = IdleVal1_Reserved2</t>
  </si>
  <si>
    <t>TMS_Enum_IdPen</t>
  </si>
  <si>
    <t>0 = IdPen_ProfUkwn</t>
  </si>
  <si>
    <t>1 = IdPen_Prof1</t>
  </si>
  <si>
    <t>2 = IdPen_Prof2</t>
  </si>
  <si>
    <t>3 = IdPen_Prof3</t>
  </si>
  <si>
    <t>4 = IdPen_Prof4</t>
  </si>
  <si>
    <t>5 = IdPen_Prof5</t>
  </si>
  <si>
    <t>6 = IdPen_Prof6</t>
  </si>
  <si>
    <t>7 = IdPen_Prof7</t>
  </si>
  <si>
    <t>8 = IdPen_Prof8</t>
  </si>
  <si>
    <t>9 = IdPen_Prof9</t>
  </si>
  <si>
    <t>10 = IdPen_Prof10</t>
  </si>
  <si>
    <t>11 = IdPen_Prof11</t>
  </si>
  <si>
    <t>12 = IdPen_Prof12</t>
  </si>
  <si>
    <t>13 = IdPen_Prof13</t>
  </si>
  <si>
    <t>14 = IdPen_Resd14</t>
  </si>
  <si>
    <t>15 = IdPen_ProfAll</t>
  </si>
  <si>
    <t>TMS_Enum_ImobEngMgrReqCmd</t>
  </si>
  <si>
    <t>0 = ImobEngMgrReqCmd_ImobEngCmdTarIdle</t>
  </si>
  <si>
    <t>1 = ImobEngMgrReqCmd_ImobEngMtnStrtReqCmd</t>
  </si>
  <si>
    <t>2 = ImobEngMgrReqCmd_ImobEngNoMtnStrtReqCmd</t>
  </si>
  <si>
    <t>3 = ImobEngMgrReqCmd_ImobEngTurnOffCmd</t>
  </si>
  <si>
    <t>TMS_Enum_ImobMgrWarnIndcn</t>
  </si>
  <si>
    <t>0 = ImobMgrWarnIndcn_ImobNoWarnIndcn</t>
  </si>
  <si>
    <t>1 = ImobMgrWarnIndcn_ImobVehImobnRem</t>
  </si>
  <si>
    <t>2 = ImobMgrWarnIndcn_Tbd</t>
  </si>
  <si>
    <t>TMS_Enum_ImobSts</t>
  </si>
  <si>
    <t>0 = ImobSts_ImobUndefd</t>
  </si>
  <si>
    <t>1 = ImobSts_ImobImobn</t>
  </si>
  <si>
    <t>2 = ImobSts_ImobMtn</t>
  </si>
  <si>
    <t>3 = ImobSts_ImobNoMtn</t>
  </si>
  <si>
    <t>TMS_Enum_ImobVehRemMgrSts</t>
  </si>
  <si>
    <t>0 = ImobVehRemMgrSts_IdleRemMgrSts</t>
  </si>
  <si>
    <t>1 = ImobVehRemMgrSts_ImobnRemMgrSts</t>
  </si>
  <si>
    <t>2 = ImobVehRemMgrSts_NoImobnRemMgrSts</t>
  </si>
  <si>
    <t>3 = ImobVehRemMgrSts_ImobnStrtDiRemMgrSts</t>
  </si>
  <si>
    <t>TMS_Enum_ImobVehRemReqCmd</t>
  </si>
  <si>
    <t>0 = ImobVehRemReqCmd_ImobRemReqIdle</t>
  </si>
  <si>
    <t>1 = ImobVehRemReqCmd_NoImobnRemReq</t>
  </si>
  <si>
    <t>2 = ImobVehRemReqCmd_ImobnRemReq</t>
  </si>
  <si>
    <t>3 = ImobVehRemReqCmd_SpdLimRemReq</t>
  </si>
  <si>
    <t>4 = ImobVehRemReqCmd_ImobRemChkReq</t>
  </si>
  <si>
    <t>5 = ImobVehRemReqCmd_ImobRemStsReq</t>
  </si>
  <si>
    <t>TMS_Enum_Inact</t>
  </si>
  <si>
    <t>0 = Inact_Inactive</t>
  </si>
  <si>
    <t>1 = Inact_Active</t>
  </si>
  <si>
    <t>TMS_Enum_IndcnMsg</t>
  </si>
  <si>
    <t>0 = IndcnMsg_NoIndcn</t>
  </si>
  <si>
    <t>1 = IndcnMsg_AVHNoActive</t>
  </si>
  <si>
    <t>2 = IndcnMsg_Flt</t>
  </si>
  <si>
    <t>3 = IndcnMsg_LowPrio</t>
  </si>
  <si>
    <t>TMS_Enum_IndcnToDrvrPostImpctCtrl2</t>
  </si>
  <si>
    <t>0 = IndcnToDrvrPostImpctCtrl2_MsgNotRqrdForPostImpctCtrl</t>
  </si>
  <si>
    <t>1 = IndcnToDrvrPostImpctCtrl2_IntvReqdByPostImpctCtrl</t>
  </si>
  <si>
    <t>TMS_Enum_IndcrSts1</t>
  </si>
  <si>
    <t>0 = IndcrSts1_Off</t>
  </si>
  <si>
    <t>1 = IndcrSts1_LeOn</t>
  </si>
  <si>
    <t>2 = IndcrSts1_RiOn</t>
  </si>
  <si>
    <t>3 = IndcrSts1_LeAndRiOn</t>
  </si>
  <si>
    <t>TMS_Enum_Inhb1</t>
  </si>
  <si>
    <t>0 = Inhb1_NotInhb</t>
  </si>
  <si>
    <t>1 = Inhb1_Inhb</t>
  </si>
  <si>
    <t>TMS_Enum_InhbOfAsySftyDecelByVehDyn1</t>
  </si>
  <si>
    <t>0 = InhbOfAsySftyDecelByVehDyn1_AsySftyBrkgNotDendByBrk</t>
  </si>
  <si>
    <t>1 = InhbOfAsySftyDecelByVehDyn1_AsySftyBrkgDendByBrk</t>
  </si>
  <si>
    <t>TMS_Enum_InitSts</t>
  </si>
  <si>
    <t>0 = Noinitialization</t>
  </si>
  <si>
    <t>1 = Initializing</t>
  </si>
  <si>
    <t>2 = InitializationOK</t>
  </si>
  <si>
    <t>3 = Initializationfailed</t>
  </si>
  <si>
    <t>TMS_Enum_IntPmHiPopUp</t>
  </si>
  <si>
    <t>0 = IntPmHiPopUp_NoReq</t>
  </si>
  <si>
    <t>1 = IntPmHiPopUp_ClimaOn</t>
  </si>
  <si>
    <t>2 = IntPmHiPopUp_ClimaOnAndWinClsd</t>
  </si>
  <si>
    <t>3 = IntPmHiPopUp_Reserved</t>
  </si>
  <si>
    <t>TMS_Enum_IntrLiGen2RoofReqTyp</t>
  </si>
  <si>
    <t>0 = IntrLiGen2RoofReqTyp_Unknow</t>
  </si>
  <si>
    <t>1 = IntrLiGen2RoofReqTyp_AllOff</t>
  </si>
  <si>
    <t>2 = IntrLiGen2RoofReqTyp_Courtesy</t>
  </si>
  <si>
    <t>3 = IntrLiGen2RoofReqTyp_Manual</t>
  </si>
  <si>
    <t>4 = IntrLiGen2RoofReqTyp_Polite</t>
  </si>
  <si>
    <t>5 = IntrLiGen2RoofReqTyp_ForceOn</t>
  </si>
  <si>
    <t>6 = IntrLiGen2RoofReqTyp_ForceOff</t>
  </si>
  <si>
    <t>TMS_Enum_IntrMirrDimSnvtyTyp</t>
  </si>
  <si>
    <t>0 = IntrMirrDimSnvtyTyp_Normal</t>
  </si>
  <si>
    <t>1 = IntrMirrDimSnvtyTyp_Dark</t>
  </si>
  <si>
    <t>2 = IntrMirrDimSnvtyTyp_Light</t>
  </si>
  <si>
    <t>3 = IntrMirrDimSnvtyTyp_Inhibit</t>
  </si>
  <si>
    <t>TMS_Enum_InvldVld1</t>
  </si>
  <si>
    <t>0 = InvldVld1_Invld</t>
  </si>
  <si>
    <t>1 = InvldVld1_Vld</t>
  </si>
  <si>
    <t>TMS_Enum_IPMLoUWakeUpReq</t>
  </si>
  <si>
    <t>0 = IPMLoUWakeUpReq_NotReqd</t>
  </si>
  <si>
    <t>1 = IPMLoUWakeUpReq_Chrgn</t>
  </si>
  <si>
    <t>2 = IPMLoUWakeUpReq_NotChrgn</t>
  </si>
  <si>
    <t>3 = IPMLoUWakeUpReq_Invalid</t>
  </si>
  <si>
    <t>TMS_Enum_IPMLVPwrSplyErrSts</t>
  </si>
  <si>
    <t>0 = IPMLVPwrSplyErrSts_SysOk</t>
  </si>
  <si>
    <t>1 = IPMLVPwrSplyErrSts_SysFault</t>
  </si>
  <si>
    <t>2 = IPMLVPwrSplyErrSts_Resvd1</t>
  </si>
  <si>
    <t>3 = IPMLVPwrSplyErrSts_Resvd2</t>
  </si>
  <si>
    <t>4 = IPMLVPwrSplyErrSts_Resvd3</t>
  </si>
  <si>
    <t>5 = IPMLVPwrSplyErrSts_Resvd4</t>
  </si>
  <si>
    <t>6 = IPMLVPwrSplyErrSts_Resvd5</t>
  </si>
  <si>
    <t>7 = IPMLVPwrSplyErrSts_Invalid</t>
  </si>
  <si>
    <t>TMS_Enum_IPMModuleSts</t>
  </si>
  <si>
    <t>0 = IPMModuleSts_Idle</t>
  </si>
  <si>
    <t>1 = IPMModuleSts_EmgyPwrSply</t>
  </si>
  <si>
    <t>2 = IPMModuleSts_Chargn</t>
  </si>
  <si>
    <t>3 = IPMModuleSts_Resvd1</t>
  </si>
  <si>
    <t>4 = IPMModuleSts_Resvd2</t>
  </si>
  <si>
    <t>5 = IPMModuleSts_Resvd3</t>
  </si>
  <si>
    <t>6 = IPMModuleSts_Resvd4</t>
  </si>
  <si>
    <t>7 = IPMModuleSts_Invalid</t>
  </si>
  <si>
    <t>TMS_Enum_IsgHeatFdBck</t>
  </si>
  <si>
    <t>0 = IsgHeatFdBck_On</t>
  </si>
  <si>
    <t>1 = IsgHeatFdBck_Off</t>
  </si>
  <si>
    <t>2 = IsgHeatFdBck_Inhibt</t>
  </si>
  <si>
    <t>3 = IsgHeatFdBck_Reserved</t>
  </si>
  <si>
    <t>TMS_Enum_IsgModTyp1</t>
  </si>
  <si>
    <t>0 = IsgModTyp1_Inin</t>
  </si>
  <si>
    <t>1 = IsgModTyp1_Stb</t>
  </si>
  <si>
    <t>2 = IsgModTyp1_TqCtrl</t>
  </si>
  <si>
    <t>3 = IsgModTyp1_SpdCtrl</t>
  </si>
  <si>
    <t>4 = IsgModTyp1_UDcCtrl</t>
  </si>
  <si>
    <t>5 = IsgModTyp1_PreChrg</t>
  </si>
  <si>
    <t>6 = IsgModTyp1_PwrDwn</t>
  </si>
  <si>
    <t>7 = IsgModTyp1_Flt</t>
  </si>
  <si>
    <t>8 = IsgModTyp1_TcsCtrl</t>
  </si>
  <si>
    <t>9 = IsgModTyp1_Reserved1</t>
  </si>
  <si>
    <t>10 = IsgModTyp1_Reserved2</t>
  </si>
  <si>
    <t>11 = IsgModTyp1_Reserved3</t>
  </si>
  <si>
    <t>12 = IsgModTyp1_Reserved4</t>
  </si>
  <si>
    <t>13 = IsgModTyp1_Reserved5</t>
  </si>
  <si>
    <t>14 = IsgModTyp1_Reserved6</t>
  </si>
  <si>
    <t>15 = IsgModTyp1_Reserved7</t>
  </si>
  <si>
    <t>TMS_Enum_IsgModTyp2</t>
  </si>
  <si>
    <t>0 = IsgModTyp2_Inin</t>
  </si>
  <si>
    <t>1 = IsgModTyp2_Stb</t>
  </si>
  <si>
    <t>2 = IsgModTyp2_TqCtrl</t>
  </si>
  <si>
    <t>3 = IsgModTyp2_SpdCtrl</t>
  </si>
  <si>
    <t>4 = IsgModTyp2_UDcCtrl</t>
  </si>
  <si>
    <t>5 = IsgModTyp2_PreChrg</t>
  </si>
  <si>
    <t>6 = IsgModTyp2_PwrDwn</t>
  </si>
  <si>
    <t>7 = IsgModTyp2_Flt</t>
  </si>
  <si>
    <t>8 = IsgModTyp2_TcsCtrl</t>
  </si>
  <si>
    <t>9 = IsgModTyp2_CluOpe</t>
  </si>
  <si>
    <t>TMS_Enum_iTPMSTirePCalSts</t>
  </si>
  <si>
    <t>0 = iTPMSTirePCalSts_NoCalReq</t>
  </si>
  <si>
    <t>1 = iTPMSTirePCalSts_CalOn</t>
  </si>
  <si>
    <t>2 = iTPMSTirePCalSts_CalCmpl</t>
  </si>
  <si>
    <t>3 = iTPMSTirePCalSts_CalFaild</t>
  </si>
  <si>
    <t>4 = iTPMSTirePCalSts_Resd1</t>
  </si>
  <si>
    <t>5 = iTPMSTirePCalSts_Resd2</t>
  </si>
  <si>
    <t>6 = iTPMSTirePCalSts_Resd3</t>
  </si>
  <si>
    <t>TMS_Enum_iTPMSTirePMSts</t>
  </si>
  <si>
    <t>0 = iTPMSTirePMSts_NoWarn</t>
  </si>
  <si>
    <t>1 = iTPMSTirePMSts_CmnWarn</t>
  </si>
  <si>
    <t>2 = iTPMSTirePMSts_WarnFL</t>
  </si>
  <si>
    <t>3 = iTPMSTirePMSts_WarnFR</t>
  </si>
  <si>
    <t>4 = iTPMSTirePMSts_WarnRL</t>
  </si>
  <si>
    <t>5 = iTPMSTirePMSts_WarnRR</t>
  </si>
  <si>
    <t>6 = iTPMSTirePMSts_SysUnAvi</t>
  </si>
  <si>
    <t>7 = iTPMSTirePMSts_SysFailr</t>
  </si>
  <si>
    <t>TMS_Enum_KeyId1</t>
  </si>
  <si>
    <t>0 = KeyId1_Key0</t>
  </si>
  <si>
    <t>1 = KeyId1_Key1</t>
  </si>
  <si>
    <t>2 = KeyId1_Key2</t>
  </si>
  <si>
    <t>3 = KeyId1_Key3</t>
  </si>
  <si>
    <t>4 = KeyId1_Key4</t>
  </si>
  <si>
    <t>5 = KeyId1_Key5</t>
  </si>
  <si>
    <t>6 = KeyId1_Key6</t>
  </si>
  <si>
    <t>7 = KeyId1_Key7</t>
  </si>
  <si>
    <t>8 = KeyId1_Key8</t>
  </si>
  <si>
    <t>9 = KeyId1_Key9</t>
  </si>
  <si>
    <t>10 = KeyId1_Key10</t>
  </si>
  <si>
    <t>11 = KeyId1_Key11</t>
  </si>
  <si>
    <t>TMS_Enum_KeyIdEveTyp</t>
  </si>
  <si>
    <t>0 = Invalid</t>
  </si>
  <si>
    <t>1 = Approach_Light</t>
  </si>
  <si>
    <t>2 = Approach_Second</t>
  </si>
  <si>
    <t>3 = Unlock</t>
  </si>
  <si>
    <t>TMS_Enum_KeyLocn1</t>
  </si>
  <si>
    <t>0 = KeyLocn1_KeyLocnIdle</t>
  </si>
  <si>
    <t>1 = KeyLocn1_KeyLocnAll</t>
  </si>
  <si>
    <t>2 = KeyLocn1_KeyLocnAllExt</t>
  </si>
  <si>
    <t>3 = KeyLocn1_KeyLocnDrvrExt</t>
  </si>
  <si>
    <t>4 = KeyLocn1_KeyLocnPassExt</t>
  </si>
  <si>
    <t>5 = KeyLocn1_KeyLocnTrExt</t>
  </si>
  <si>
    <t>6 = KeyLocn1_KeyLocnAllInt</t>
  </si>
  <si>
    <t>7 = KeyLocn1_KeyLocnDrvrInt</t>
  </si>
  <si>
    <t>8 = KeyLocn1_KeyLocnPassInt</t>
  </si>
  <si>
    <t>9 = KeyLocn1_KeyLocnResvInt</t>
  </si>
  <si>
    <t>10 = KeyLocn1_KeyLocnResvIntSimple</t>
  </si>
  <si>
    <t>TMS_Enum_KeyLostWarnIndcn</t>
  </si>
  <si>
    <t>0 = KeyLostWarnIndcn_KeyLostNoMsg</t>
  </si>
  <si>
    <t>1 = KeyLostWarnIndcn_KeyMsgAndSoundLost</t>
  </si>
  <si>
    <t>2 = KeyLostWarnIndcn_KeyMsgLost</t>
  </si>
  <si>
    <t>TMS_Enum_KeyPrsntSts1</t>
  </si>
  <si>
    <t>0 = KeyPrsntSts1_KeyPrsntStsIdle</t>
  </si>
  <si>
    <t>1 = KeyPrsntSts1_KeyPrsntStsInProgs</t>
  </si>
  <si>
    <t>2 = KeyPrsntSts1_KeyPrsntStsNotPrsnt</t>
  </si>
  <si>
    <t>3 = KeyPrsntSts1_KeyPrsntStsPrsnt</t>
  </si>
  <si>
    <t>TMS_Enum_KeyPrsntZone</t>
  </si>
  <si>
    <t>0 = KeyPrsntZone_Zone0</t>
  </si>
  <si>
    <t>1 = KeyPrsntZone_Zone1</t>
  </si>
  <si>
    <t>2 = KeyPrsntZone_Zone2</t>
  </si>
  <si>
    <t>3 = KeyPrsntZone_Zone3</t>
  </si>
  <si>
    <t>4 = KeyPrsntZone_Zone4</t>
  </si>
  <si>
    <t>5 = KeyPrsntZone_Zone5</t>
  </si>
  <si>
    <t>6 = KeyPrsntZone_Zone6</t>
  </si>
  <si>
    <t>7 = KeyPrsntZone_Zone7</t>
  </si>
  <si>
    <t>8 = KeyPrsntZone_Zone8</t>
  </si>
  <si>
    <t>9 = KeyPrsntZone_Zone9</t>
  </si>
  <si>
    <t>10 = KeyPrsntZone_Zone10</t>
  </si>
  <si>
    <t>11 = KeyPrsntZone_Zone11</t>
  </si>
  <si>
    <t>12 = KeyPrsntZone_Zone12</t>
  </si>
  <si>
    <t>13 = KeyPrsntZone_Zone13</t>
  </si>
  <si>
    <t>14 = KeyPrsntZone_Zone14</t>
  </si>
  <si>
    <t>15 = KeyPrsntZone_Zone15</t>
  </si>
  <si>
    <t>TMS_Enum_KeySts1</t>
  </si>
  <si>
    <t>0 = KeySts1_KeyStsIdle</t>
  </si>
  <si>
    <t>1 = KeySts1_KeyStsDi</t>
  </si>
  <si>
    <t>2 = KeySts1_KeyStsEna</t>
  </si>
  <si>
    <t>3 = KeySts1_KeyStsLimd</t>
  </si>
  <si>
    <t>TMS_Enum_KeyTyp</t>
  </si>
  <si>
    <t>0 = KeyTyp_NoKeyConnected</t>
  </si>
  <si>
    <t>1 = KeyTyp_NFC_Card</t>
  </si>
  <si>
    <t>2 = KeyTyp_BLE_Key</t>
  </si>
  <si>
    <t>3 = KeyTyp_BLE_UWB_KeyFob</t>
  </si>
  <si>
    <t>4 = KeyTyp_Temp_BLE_Key</t>
  </si>
  <si>
    <t>5 = KeyTyp_ICCE_BLE_Key</t>
  </si>
  <si>
    <t>6 = KeyTyp_ICCE_NFC_Key</t>
  </si>
  <si>
    <t>7 = KeyTyp_CCC_NFC_BLE_UWB_Key</t>
  </si>
  <si>
    <t>8 = KeyTyp_CCC_NFC_Key</t>
  </si>
  <si>
    <t>9 = KeyTyp_CCC_NFC_BLE_Key</t>
  </si>
  <si>
    <t>TMS_Enum_LatCtrlMod1</t>
  </si>
  <si>
    <t>0 = LatCtrlMod1_NoReq</t>
  </si>
  <si>
    <t>1 = LatCtrlMod1_HighWayAssist</t>
  </si>
  <si>
    <t>2 = LatCtrlMod1_EmgyLaneKeepAidForObjRe</t>
  </si>
  <si>
    <t>3 = LatCtrlMod1_EmgyLaneKeepAidForStat</t>
  </si>
  <si>
    <t>4 = LatCtrlMod1_SftyLaneKeepAid</t>
  </si>
  <si>
    <t>5 = LatCtrlMod1_SteerAssc</t>
  </si>
  <si>
    <t>6 = LatCtrlMod1_DsrOversteer</t>
  </si>
  <si>
    <t>7 = LatCtrlMod1_DsrMueSplit</t>
  </si>
  <si>
    <t>8 = LatCtrlMod1_DsrTrlrStaby</t>
  </si>
  <si>
    <t>9 = LatCtrlMod1_EmgyManvAssi</t>
  </si>
  <si>
    <t>10 = LatCtrlMod1_Reserved1</t>
  </si>
  <si>
    <t>11 = LatCtrlMod1_Reserved2</t>
  </si>
  <si>
    <t>12 = LatCtrlMod1_SHWA</t>
  </si>
  <si>
    <t>13 = LatCtrlMod1_APA</t>
  </si>
  <si>
    <t>14 = LatCtrlMod1_RPA</t>
  </si>
  <si>
    <t>15 = LatCtrlMod1_HPA</t>
  </si>
  <si>
    <t>TMS_Enum_LatDegrad</t>
  </si>
  <si>
    <t>0 = LatDegrad_NoDegradation_Green</t>
  </si>
  <si>
    <t>1 = LatDegrad_Red_fault1</t>
  </si>
  <si>
    <t>2 = LatDegrad_Yellow_fault2</t>
  </si>
  <si>
    <t>3 = LatDegrad_Yellow_fault3</t>
  </si>
  <si>
    <t>4 = LatDegrad_Yellow_fault4</t>
  </si>
  <si>
    <t>5 = LatDegrad_Yellow_fault5</t>
  </si>
  <si>
    <t>6 = LatDegrad_Yellow_fault6</t>
  </si>
  <si>
    <t>7 = LatDegrad_Yellow_fault7</t>
  </si>
  <si>
    <t>8 = LatDegrad_Yellow_fault8</t>
  </si>
  <si>
    <t>9 = LatDegrad_Yellow_fault9</t>
  </si>
  <si>
    <t>10 = LatDegrad_Yellow_fault10</t>
  </si>
  <si>
    <t>11 = LatDegrad_Reserved1</t>
  </si>
  <si>
    <t>TMS_Enum_LaunchModeIndcn</t>
  </si>
  <si>
    <t>0 = LaunchModeIndcn_NoIndcn</t>
  </si>
  <si>
    <t>1 = LaunchModeIndcn_BattLow</t>
  </si>
  <si>
    <t>2 = LaunchModeIndcn_HvBattTempTooHigh</t>
  </si>
  <si>
    <t>3 = LaunchModeIndcn_EMotTempTooHigh</t>
  </si>
  <si>
    <t>4 = LaunchModeIndcn_CluNotClose</t>
  </si>
  <si>
    <t>5 = LaunchModeIndcn_TrlrPrsnt</t>
  </si>
  <si>
    <t>6 = LaunchModeIndcn_SteerWhlNotStraight</t>
  </si>
  <si>
    <t>7 = LaunchModeIndcn_EpbNotRels</t>
  </si>
  <si>
    <t>8 = LaunchModeIndcn_BltNotClsd</t>
  </si>
  <si>
    <t>9 = LaunchModeIndcn_DoorNotClsd</t>
  </si>
  <si>
    <t>10 = LaunchModeIndcn_FctNotTrigTiOut</t>
  </si>
  <si>
    <t>11 = LaunchModeIndcn_BrkPedIPsdTiOut</t>
  </si>
  <si>
    <t>12 = LaunchModeIndcn_FctReqTooFrequent</t>
  </si>
  <si>
    <t>13 = LaunchModeIndcn_RoadNotSmooth</t>
  </si>
  <si>
    <t>14 = LaunchModeIndcn_ADASActive</t>
  </si>
  <si>
    <t>15 = LaunchModeIndcn_BrkPedlNotFullyRels</t>
  </si>
  <si>
    <t>TMS_Enum_LcmaCtraOn</t>
  </si>
  <si>
    <t>0 = LcmaCtraOn_Off</t>
  </si>
  <si>
    <t>1 = LcmaCtraOn_Passive</t>
  </si>
  <si>
    <t>2 = LcmaCtraOn_Active</t>
  </si>
  <si>
    <t>3 = LcmaCtraOn_TrlrOff</t>
  </si>
  <si>
    <t>TMS_Enum_LcmaIndcn</t>
  </si>
  <si>
    <t>0 = LcmaIndcn_NoLcmaWarn</t>
  </si>
  <si>
    <t>1 = LcmaIndcn_LcmaWarnLvl1</t>
  </si>
  <si>
    <t>2 = LcmaIndcn_NotUsed</t>
  </si>
  <si>
    <t>3 = LcmaIndcn_LcmaWarnLvl2</t>
  </si>
  <si>
    <t>TMS_Enum_LevelAdjust</t>
  </si>
  <si>
    <t>0 = LevelAdjust_NoAdjustment</t>
  </si>
  <si>
    <t>1 = LevelAdjust_Adjustment</t>
  </si>
  <si>
    <t>TMS_Enum_LevelRestriction</t>
  </si>
  <si>
    <t>0 = LevelRestriction_InitOrNoRestriction</t>
  </si>
  <si>
    <t>1 = LevelRestriction_VoltageTooHighOrTooLow</t>
  </si>
  <si>
    <t>2 = LevelRestriction_ActuatorTempRestriction</t>
  </si>
  <si>
    <t>3 = LevelRestriction_LevelRestrictionByDoorState</t>
  </si>
  <si>
    <t>4 = LevelRestriction_LevelControlManuallyDisable</t>
  </si>
  <si>
    <t>5 = LevelRestriction_Torsion</t>
  </si>
  <si>
    <t>6 = LevelRestriction_Reserved1</t>
  </si>
  <si>
    <t>7 = LevelRestriction_Reserved2</t>
  </si>
  <si>
    <t>TMS_Enum_LgtCtrlModCfmd</t>
  </si>
  <si>
    <t>0 = LgtCtrlModCfmd_NotRequest</t>
  </si>
  <si>
    <t>1 = LgtCtrlModCfmd_MarsParking</t>
  </si>
  <si>
    <t>2 = LgtCtrlModCfmd_APA</t>
  </si>
  <si>
    <t>3 = LgtCtrlModCfmd_RPA</t>
  </si>
  <si>
    <t>4 = LgtCtrlModCfmd_HPA</t>
  </si>
  <si>
    <t>5 = LgtCtrlModCfmd_ANP</t>
  </si>
  <si>
    <t>6 = LgtCtrlModCfmd_E2E</t>
  </si>
  <si>
    <t>7 = LgtCtrlModCfmd_Reserved3</t>
  </si>
  <si>
    <t>TMS_Enum_LgtDegrad</t>
  </si>
  <si>
    <t>0 = LgtDegrad_NoDegradation</t>
  </si>
  <si>
    <t>1 = LgtDegrad_TorqueLimitation</t>
  </si>
  <si>
    <t>2 = LgtDegrad_TotallyFault</t>
  </si>
  <si>
    <t>3 = LgtDegrad_Reserved1</t>
  </si>
  <si>
    <t>4 = LgtDegrad_Reserved2</t>
  </si>
  <si>
    <t>5 = LgtDegrad_Reserved3</t>
  </si>
  <si>
    <t>6 = LgtDegrad_Reserved4</t>
  </si>
  <si>
    <t>7 = LgtDegrad_Reserved5</t>
  </si>
  <si>
    <t>TMS_Enum_LgtDegrad1</t>
  </si>
  <si>
    <t>0 = LgtDegrad1_NoDegradation_Green</t>
  </si>
  <si>
    <t>1 = LgtDegrad1_LgtFailr_Red</t>
  </si>
  <si>
    <t>2 = LgtDegrad1_AbsEscTemporarilyOff_Yellow</t>
  </si>
  <si>
    <t>3 = LgtDegrad1_EscServiceRequired_Yellow</t>
  </si>
  <si>
    <t>4 = LgtDegrad1_EscTemporarilyOff_Yellow</t>
  </si>
  <si>
    <t>5 = LgtDegrad1_StcTemporarilyOff_Yellow</t>
  </si>
  <si>
    <t>6 = LgtDegrad1_EpbFailr_Yellow</t>
  </si>
  <si>
    <t>7 = LgtDegrad1_VdswNOK_Yellow</t>
  </si>
  <si>
    <t>8 = LgtDegrad1_PropADModCtrlInhbn_Yellow</t>
  </si>
  <si>
    <t>9 = LgtDegrad1_PropTrqLimitation_Yellow</t>
  </si>
  <si>
    <t>10 = LgtDegrad1_PropTotallyFault_Yellow</t>
  </si>
  <si>
    <t>11 = LgtDegrad1_GeneralBrakeFailure_Yellow</t>
  </si>
  <si>
    <t>12 = LgtDegrad1_Reserved4</t>
  </si>
  <si>
    <t>13 = LgtDegrad1_Reserved5</t>
  </si>
  <si>
    <t>14 = LgtDegrad1_Reserved6</t>
  </si>
  <si>
    <t>15 = LgtDegrad1_Reserved7</t>
  </si>
  <si>
    <t>TMS_Enum_LgtFctFail</t>
  </si>
  <si>
    <t>0 = LgtFctFail_NoFailure</t>
  </si>
  <si>
    <t>1 = LgtFctFail_MarsParkingFailure</t>
  </si>
  <si>
    <t>2 = LgtFctFail_APAFailure</t>
  </si>
  <si>
    <t>3 = LgtFctFail_RPAFailure</t>
  </si>
  <si>
    <t>4 = LgtFctFail_HPAFailure</t>
  </si>
  <si>
    <t>5 = LgtFctFail_ACCFailure</t>
  </si>
  <si>
    <t>6 = LgtFctFail_ANPFailure</t>
  </si>
  <si>
    <t>7 = LgtFctFail_E2EFailure</t>
  </si>
  <si>
    <t>TMS_Enum_LimSts</t>
  </si>
  <si>
    <t>0 = LimSts_Unknown</t>
  </si>
  <si>
    <t>1 = LimSts_ManuallySet</t>
  </si>
  <si>
    <t>2 = LimSts_AutomaticallySet</t>
  </si>
  <si>
    <t>3 = LimSts_Reserved</t>
  </si>
  <si>
    <t>TMS_Enum_LiOperMod</t>
  </si>
  <si>
    <t>0 = LiOperMod_Night</t>
  </si>
  <si>
    <t>1 = LiOperMod_Day</t>
  </si>
  <si>
    <t>2 = LiOperMod_Twli</t>
  </si>
  <si>
    <t>3 = LiOperMod_Tnl</t>
  </si>
  <si>
    <t>TMS_Enum_LnchMode</t>
  </si>
  <si>
    <t>0 = LaunchModeSts_Disable</t>
  </si>
  <si>
    <t>1 = LaunchModeSts_Initial</t>
  </si>
  <si>
    <t>2 = LaunchModeSts_Standby</t>
  </si>
  <si>
    <t>3 = LaunchModeSts_Ready</t>
  </si>
  <si>
    <t>4 = LaunchModeSts_Active</t>
  </si>
  <si>
    <t>5 = LaunchModeSts_Failed</t>
  </si>
  <si>
    <t>6 = LaunchModeSts_Reserved1</t>
  </si>
  <si>
    <t>7 = LaunchModeSts_Reserved2</t>
  </si>
  <si>
    <t>TMS_Enum_LocalHvBattThermReqFb</t>
  </si>
  <si>
    <t>0 = LocalHvBattThermReqFb_Idle</t>
  </si>
  <si>
    <t>1 = LocalHvBattThermReqFb_Cooling</t>
  </si>
  <si>
    <t>2 = LocalHvBattThermReqFb_Heating</t>
  </si>
  <si>
    <t>3 = LocalHvBattThermReqFb_Erro</t>
  </si>
  <si>
    <t>TMS_Enum_LockActvn2</t>
  </si>
  <si>
    <t>0 = LockActvn2_LockActvnOff</t>
  </si>
  <si>
    <t>1 = LockActvn2_LockActvnUnlck</t>
  </si>
  <si>
    <t>2 = LockActvn2_LockActvnLock</t>
  </si>
  <si>
    <t>3 = LockActvn2_LockActvnSafe</t>
  </si>
  <si>
    <t>4 = LockActvn2_LockActvnUnlckByCrash</t>
  </si>
  <si>
    <t>TMS_Enum_LockActvnSafe1</t>
  </si>
  <si>
    <t>0 = LockActvnSafe1_LockActvnOff</t>
  </si>
  <si>
    <t>1 = LockActvnSafe1_LockActvnUnlck</t>
  </si>
  <si>
    <t>2 = LockActvnSafe1_LockActvnLock</t>
  </si>
  <si>
    <t>3 = LockActvnSafe1_LockActvnSafe</t>
  </si>
  <si>
    <t>4 = LockActvnSafe1_LockActvnUnlckByCrash1</t>
  </si>
  <si>
    <t>8 = LockActvnSafe1_LockActvnUnlckByCrash2</t>
  </si>
  <si>
    <t>12 = LockActvnSafe1_LockActvnUnlckByCrash0</t>
  </si>
  <si>
    <t>13 = LockActvnSafe1_LockActvnUnlckByCrash4</t>
  </si>
  <si>
    <t>14 = LockActvnSafe1_LockActvnUnlckByCrash3</t>
  </si>
  <si>
    <t>TMS_Enum_LockgCenReq2</t>
  </si>
  <si>
    <t>0 = LockgCenReq2_Idle</t>
  </si>
  <si>
    <t>1 = LockgCenReq2_Unlck</t>
  </si>
  <si>
    <t>2 = LockgCenReq2_Lock</t>
  </si>
  <si>
    <t>TMS_Enum_LockgEventTrigsrc</t>
  </si>
  <si>
    <t>0 = Trigsrc_NoTrigSrc</t>
  </si>
  <si>
    <t>1 = Trigsrc_KeyRem</t>
  </si>
  <si>
    <t>2 = Trigsrc_Keyls</t>
  </si>
  <si>
    <t>3 = Trigsrc_IntrSwt</t>
  </si>
  <si>
    <t>4 = Trigsrc_SpdAut</t>
  </si>
  <si>
    <t>5 = Trigsrc_TmrAut</t>
  </si>
  <si>
    <t>6 = Trigsrc_Slam</t>
  </si>
  <si>
    <t>7 = Trigsrc_Telm</t>
  </si>
  <si>
    <t>8 = Trigsrc_Crash</t>
  </si>
  <si>
    <t>9 = Trigsrc_Apprch</t>
  </si>
  <si>
    <t>10 = Trigsrc_OutsOth</t>
  </si>
  <si>
    <t>11 = Trigsrc_InsOth</t>
  </si>
  <si>
    <t>12 = Trigsrc_NFC</t>
  </si>
  <si>
    <t>TMS_Enum_LockgSts</t>
  </si>
  <si>
    <t>0 = LockgSts_Unknown</t>
  </si>
  <si>
    <t>1 = LockgSts_Locked</t>
  </si>
  <si>
    <t>2 = LockgSts_Unlocked</t>
  </si>
  <si>
    <t>3 = LockgSts_Fault</t>
  </si>
  <si>
    <t>TMS_Enum_LockSt2</t>
  </si>
  <si>
    <t>0 = LockSt2_Undefd</t>
  </si>
  <si>
    <t>1 = LockSt2_Opend</t>
  </si>
  <si>
    <t>2 = LockSt2_Clsd</t>
  </si>
  <si>
    <t>3 = LockSt2_Lockd</t>
  </si>
  <si>
    <t>4 = LockSt2_Safe</t>
  </si>
  <si>
    <t>TMS_Enum_LockSt3</t>
  </si>
  <si>
    <t>0 = LockSt3_LockUndefd</t>
  </si>
  <si>
    <t>1 = LockSt3_LockUnlckd</t>
  </si>
  <si>
    <t>2 = LockSt3_LockTrUnlckd</t>
  </si>
  <si>
    <t>3 = LockSt3_LockLockd</t>
  </si>
  <si>
    <t>TMS_Enum_LockSts2</t>
  </si>
  <si>
    <t>0 = LockSts2_LockStsUkwn</t>
  </si>
  <si>
    <t>1 = LockSts2_Unlckd</t>
  </si>
  <si>
    <t>2 = LockSts2_Lockd</t>
  </si>
  <si>
    <t>3 = LockSts2_SafeLockd</t>
  </si>
  <si>
    <t>TMS_Enum_LockSysStsPrmt</t>
  </si>
  <si>
    <t>0 = LockSysStsPrmt_Idle</t>
  </si>
  <si>
    <t>1 = LockSysStsPrmt_NFC_PSD</t>
  </si>
  <si>
    <t>2 = LockSysStsPrmt_ANTI_LOCK_KEY_FORGET</t>
  </si>
  <si>
    <t>3 = LockSysStsPrmt_NO_KEY_PRESENT</t>
  </si>
  <si>
    <t>4 = LockSysStsPrmt_CLOSE_DOOR_AUDIO</t>
  </si>
  <si>
    <t>5 = LockSysStsPrmt_ANTI_RELOCK</t>
  </si>
  <si>
    <t>6 = LockSysStsPrmt_AUTO_RELOCK</t>
  </si>
  <si>
    <t>7 = LockSysStsPrmt_WalkAway_CloseDoor</t>
  </si>
  <si>
    <t>8 = LockSysStsPrmt_Resd1</t>
  </si>
  <si>
    <t>9 = LockSysStsPrmt_Resd2</t>
  </si>
  <si>
    <t>10 = LockSysStsPrmt_Resd3</t>
  </si>
  <si>
    <t>TMS_Enum_LockTrigSrc2</t>
  </si>
  <si>
    <t>0 = LockTrigSrc2_NoTrigSrc</t>
  </si>
  <si>
    <t>1 = LockTrigSrc2_KeyRem</t>
  </si>
  <si>
    <t>2 = LockTrigSrc2_Keyls</t>
  </si>
  <si>
    <t>3 = LockTrigSrc2_IntrSwt</t>
  </si>
  <si>
    <t>4 = LockTrigSrc2_SpdAut</t>
  </si>
  <si>
    <t>5 = LockTrigSrc2_TmrAut</t>
  </si>
  <si>
    <t>6 = LockTrigSrc2_Slam</t>
  </si>
  <si>
    <t>7 = LockTrigSrc2_Telm</t>
  </si>
  <si>
    <t>8 = LockTrigSrc2_Crash</t>
  </si>
  <si>
    <t>9 = LockTrigSrc2_Apprch</t>
  </si>
  <si>
    <t>10 = LockTrigSrc2_OutsOth</t>
  </si>
  <si>
    <t>11 = LockTrigSrc2_InsOth</t>
  </si>
  <si>
    <t>12 = Locktrigsrc2_NFC</t>
  </si>
  <si>
    <t>TMS_Enum_LowHigh</t>
  </si>
  <si>
    <t>0 = LowHigh_NoRequest</t>
  </si>
  <si>
    <t>1 = LowHigh_Low</t>
  </si>
  <si>
    <t>2 = LowHigh_High</t>
  </si>
  <si>
    <t>3 = LowHigh_Reserved</t>
  </si>
  <si>
    <t>TMS_Enum_LVChrgnFailWarn</t>
  </si>
  <si>
    <t>0 = LVChrgnFailWarn_idle</t>
  </si>
  <si>
    <t>1 = LVChrgnFailWarn_Warning</t>
  </si>
  <si>
    <t>2 = LVChrgnFailWarn_NoWarning</t>
  </si>
  <si>
    <t>3 = LVChrgnFailWarn_Reserved</t>
  </si>
  <si>
    <t>TMS_Enum_LvlCtrlSrc</t>
  </si>
  <si>
    <t>0 = LvlCtrlSrc_Disable</t>
  </si>
  <si>
    <t>1 = LvlCtrlSrc_Readjustment</t>
  </si>
  <si>
    <t>2 = LvlCtrlSrc_ManualLevelling</t>
  </si>
  <si>
    <t>3 = LvlCtrlSrc_SpeedDependent</t>
  </si>
  <si>
    <t>4 = LvlCtrlSrc_ServiceLevelling</t>
  </si>
  <si>
    <t>5 = LvlCtrlSrc_Cargo</t>
  </si>
  <si>
    <t>6 = LvlCtrlSrc_EasyEntry</t>
  </si>
  <si>
    <t>7 = LvlCtrlSrc_Unknow</t>
  </si>
  <si>
    <t>TMS_Enum_LvlInhb</t>
  </si>
  <si>
    <t>0 = LvlInhb_NoInhibit</t>
  </si>
  <si>
    <t>1 = LvlInhb_LevelDownInhibit</t>
  </si>
  <si>
    <t>2 = LvlInhb_LevelUpInhibit</t>
  </si>
  <si>
    <t>3 = LvlInhb_LevelInhibit</t>
  </si>
  <si>
    <t>TMS_Enum_LvlInhbnDir</t>
  </si>
  <si>
    <t>0 = LvlInhbnDir_None</t>
  </si>
  <si>
    <t>1 = LvlInhbnDir_ManualUp</t>
  </si>
  <si>
    <t>2 = LvlInhbnDir_ManualDown</t>
  </si>
  <si>
    <t>3 = LvlInhbnDir_AutomaticUp</t>
  </si>
  <si>
    <t>4 = LvlInhbnDir_AutomaticDown</t>
  </si>
  <si>
    <t>5 = LvlInhbnDir_ReadjustmentUp</t>
  </si>
  <si>
    <t>6 = LvlInhbnDir_ReadjustmentDown</t>
  </si>
  <si>
    <t>7 = LvlInhbnDir_Cargo</t>
  </si>
  <si>
    <t>8 = LvlInhbnDir_EasyEntry</t>
  </si>
  <si>
    <t>9 = LvlInhbnDir_Reserved1</t>
  </si>
  <si>
    <t>10 = LvlInhbnDir_Reserved2</t>
  </si>
  <si>
    <t>11 = LvlInhbnDir_Reserved3</t>
  </si>
  <si>
    <t>12 = LvlInhbnDir_Reserved4</t>
  </si>
  <si>
    <t>13 = LvlInhbnDir_Reserved5</t>
  </si>
  <si>
    <t>14 = LvlInhbnDir_Reserved6</t>
  </si>
  <si>
    <t>15 = LvlInhbnDir_Reserved7</t>
  </si>
  <si>
    <t>TMS_Enum_LvlInhbnRsn</t>
  </si>
  <si>
    <t>0 = LvlInhbnRsn_None</t>
  </si>
  <si>
    <t>1 = LvlInhbnRsn_HighDynamic</t>
  </si>
  <si>
    <t>2 = LvlInhbnRsn_CompressorOverheat</t>
  </si>
  <si>
    <t>3 = LvlInhbnRsn_DoorStatus</t>
  </si>
  <si>
    <t>4 = LvlInhbnRsn_Torsion</t>
  </si>
  <si>
    <t>5 = LvlInhbnRsn_Slpoe</t>
  </si>
  <si>
    <t>6 = LvlInhbnRsn_Reserved2</t>
  </si>
  <si>
    <t>7 = LvlInhbnRsn_Reserved3</t>
  </si>
  <si>
    <t>TMS_Enum_LvlMov</t>
  </si>
  <si>
    <t>0 = LvlMov_None</t>
  </si>
  <si>
    <t>1 = LvlMov_GoingUp</t>
  </si>
  <si>
    <t>2 = LvlMov_GoingDown</t>
  </si>
  <si>
    <t>3 = LvlMov_Interrupt</t>
  </si>
  <si>
    <t>TMS_Enum_LvlOfClimaCmft</t>
  </si>
  <si>
    <t>0 = LvlOfClimaCmft_Off</t>
  </si>
  <si>
    <t>1 = LvlOfClimaCmft_Lvl1</t>
  </si>
  <si>
    <t>2 = LvlOfClimaCmft_Lvl2</t>
  </si>
  <si>
    <t>3 = LvlOfClimaCmft_Lvl3</t>
  </si>
  <si>
    <t>4 = LvlOfClimaCmft_Lvl4</t>
  </si>
  <si>
    <t>5 = LvlOfClimaCmft_Lvl5</t>
  </si>
  <si>
    <t>6 = LvlOfClimaCmft_Lvl6</t>
  </si>
  <si>
    <t>7 = LvlOfClimaCmft_Lvl7</t>
  </si>
  <si>
    <t>TMS_Enum_LvlWarn2</t>
  </si>
  <si>
    <t>0 = LvlWarn2_NoWarn</t>
  </si>
  <si>
    <t>1 = LvlWarn2_Lvl1</t>
  </si>
  <si>
    <t>2 = LvlWarn2_Lvl2</t>
  </si>
  <si>
    <t>3 = LvlWarn2_Lvl3</t>
  </si>
  <si>
    <t>TMS_Enum_LVPwrSplyErrSts</t>
  </si>
  <si>
    <t>0 = PwrSplyErrSts_SysOk</t>
  </si>
  <si>
    <t>1 = PwrSplyErrSts_UhiDurgDrvg</t>
  </si>
  <si>
    <t>2 = PwrSplyErrSts_UloDurgdrvg</t>
  </si>
  <si>
    <t>3 = PwrSplyErrSts_BattRlyFlt</t>
  </si>
  <si>
    <t>4 = PwrSplyErrSts_BattSnsrComFlt</t>
  </si>
  <si>
    <t>5 = PwrSplyErrSts_BattSnsrHwFlt</t>
  </si>
  <si>
    <t>6 = PwrSplyErrSts_FltComDcDc</t>
  </si>
  <si>
    <t>7 = PwrSplyErrSts_FltElecDcDc</t>
  </si>
  <si>
    <t>8 = PwrSplyErrSts_FltDcDc</t>
  </si>
  <si>
    <t>9 = PwrSplyErrSts_SupCptrHwFlt</t>
  </si>
  <si>
    <t>10 = PwrSplyErrSts_AltFltMecl</t>
  </si>
  <si>
    <t>11 = PwrSplyErrSts_AltFltElec</t>
  </si>
  <si>
    <t>12 = PwrSplyErrSts_AltFltT</t>
  </si>
  <si>
    <t>13 = PwrSplyErrSts_AltFltCom</t>
  </si>
  <si>
    <t>14 = PwrSplyErrSts_SpprtBattFltChrgn</t>
  </si>
  <si>
    <t>15 = PwrSplyErrSts_LoSOC</t>
  </si>
  <si>
    <t>TMS_Enum_LvrSwt2</t>
  </si>
  <si>
    <t>0 = LvrSwt2_NotAvailble</t>
  </si>
  <si>
    <t>1 = LvrSwt2_PressInsd</t>
  </si>
  <si>
    <t>2 = LvrSwt2_PressOutd</t>
  </si>
  <si>
    <t>3 = LvrSwt2_Error</t>
  </si>
  <si>
    <t>4 = LvrSwt2_Reserved1</t>
  </si>
  <si>
    <t>5 = LvrSwt2_Reserved2</t>
  </si>
  <si>
    <t>TMS_Enum_LvrSwt3</t>
  </si>
  <si>
    <t>0 = LvrSwt3_NotAvailble</t>
  </si>
  <si>
    <t>1 = LvrSwt3_ShortPress</t>
  </si>
  <si>
    <t>2 = LvrSwt3_LongPress</t>
  </si>
  <si>
    <t>3 = LvrSwt3_Error</t>
  </si>
  <si>
    <t>4 = LvrSwt3_Reserved</t>
  </si>
  <si>
    <t>TMS_Enum_MassgIntenLvl</t>
  </si>
  <si>
    <t>0 = MassgIntenLvl_IntenLo</t>
  </si>
  <si>
    <t>1 = MassgIntenLvl_IntenNorm</t>
  </si>
  <si>
    <t>2 = MassgIntenLvl_IntenHi</t>
  </si>
  <si>
    <t>3 = MassgIntenLvl_Off</t>
  </si>
  <si>
    <t>TMS_Enum_MassgProgTyp</t>
  </si>
  <si>
    <t>0 = MassgProgTyp_Prog1</t>
  </si>
  <si>
    <t>1 = MassgProgTyp_Prog2</t>
  </si>
  <si>
    <t>2 = MassgProgTyp_Prog3</t>
  </si>
  <si>
    <t>3 = MassgProgTyp_Prog4</t>
  </si>
  <si>
    <t>4 = MassgProgTyp_Prog5</t>
  </si>
  <si>
    <t>5 = MassgProgTyp_Prog6</t>
  </si>
  <si>
    <t>6 = MassgProgTyp_Prog7</t>
  </si>
  <si>
    <t>7 = MassgProgTyp_Prog8</t>
  </si>
  <si>
    <t>TMS_Enum_MemPosn</t>
  </si>
  <si>
    <t>0 = MemPosn_ProfPosn</t>
  </si>
  <si>
    <t>1 = MemPosn_MemBnk1</t>
  </si>
  <si>
    <t>2 = MemPosn_MemBnk2</t>
  </si>
  <si>
    <t>3 = MemPosn_MemBnk3</t>
  </si>
  <si>
    <t>TMS_Enum_MirrAdjCmdTyp</t>
  </si>
  <si>
    <t>0 = MirrAdjCmdTyp_Idle</t>
  </si>
  <si>
    <t>1 = MirrAdjCmdTyp_Up</t>
  </si>
  <si>
    <t>2 = MirrAdjCmdTyp_Dwn</t>
  </si>
  <si>
    <t>3 = MirrAdjCmdTyp_Le</t>
  </si>
  <si>
    <t>4 = MirrAdjCmdTyp_Ri</t>
  </si>
  <si>
    <t>TMS_Enum_MirrDirReqTyp</t>
  </si>
  <si>
    <t>0 = MirrDirReqTyp_Idle</t>
  </si>
  <si>
    <t>1 = MirrDirReqTyp_Up</t>
  </si>
  <si>
    <t>2 = MirrDirReqTyp_Down</t>
  </si>
  <si>
    <t>3 = MirrDirReqTyp_Left</t>
  </si>
  <si>
    <t>4 = MirrDirReqTyp_Right</t>
  </si>
  <si>
    <t>TMS_Enum_MirrDwnCmdTyp</t>
  </si>
  <si>
    <t>0 = MirrDwnCmdTyp_Idle</t>
  </si>
  <si>
    <t>1 = MirrDwnCmdTyp_MirrUp</t>
  </si>
  <si>
    <t>2 = MirrDwnCmdTyp_MirrDwn</t>
  </si>
  <si>
    <t>TMS_Enum_MirrDwnStsTyp</t>
  </si>
  <si>
    <t>0 = MirrDwnStsTyp_MirrTiltUndefd</t>
  </si>
  <si>
    <t>1 = MirrDwnStsTyp_MirrUpPosn</t>
  </si>
  <si>
    <t>2 = MirrDwnStsTyp_MirrTiltPosn</t>
  </si>
  <si>
    <t>3 = MirrDwnStsTyp_MirrMovgToUpPosn</t>
  </si>
  <si>
    <t>4 = MirrDwnStsTyp_MirrMovgToTiltPosn</t>
  </si>
  <si>
    <t>TMS_Enum_MirrFoldCmdTyp</t>
  </si>
  <si>
    <t>0 = MirrFoldCmdTyp_Idle</t>
  </si>
  <si>
    <t>1 = MirrFoldCmdTyp_FoldIn</t>
  </si>
  <si>
    <t>2 = MirrFoldCmdTyp_FoldOut</t>
  </si>
  <si>
    <t>TMS_Enum_MirrFoldStsTyp</t>
  </si>
  <si>
    <t>0 = MirrFoldStsTyp_MirrFoldPosnUndefd</t>
  </si>
  <si>
    <t>1 = MirrFoldStsTyp_MirrNotFoldPosn</t>
  </si>
  <si>
    <t>2 = MirrFoldStsTyp_MirrFoldPosn</t>
  </si>
  <si>
    <t>3 = MirrFoldStsTyp_MirrMovgToNotFold</t>
  </si>
  <si>
    <t>4 = MirrFoldStsTyp_MirrMovgToFold</t>
  </si>
  <si>
    <t>TMS_Enum_MirrSeldIndcnTyp</t>
  </si>
  <si>
    <t>0 = MirrSeldIndcnTyp_LedOff</t>
  </si>
  <si>
    <t>1 = MirrSeldIndcnTyp_LedOnLe</t>
  </si>
  <si>
    <t>2 = MirrSeldIndcnTyp_LedOnRi</t>
  </si>
  <si>
    <t>3 = MirrSeldIndcnTyp_LedOnLeAndRi</t>
  </si>
  <si>
    <t>TMS_Enum_MirrSelnReqTyp</t>
  </si>
  <si>
    <t>0 = MirrSelnReqTyp_Idle</t>
  </si>
  <si>
    <t>1 = MirrSelnReqTyp_Le</t>
  </si>
  <si>
    <t>2 = MirrSelnReqTyp_Ri</t>
  </si>
  <si>
    <t>3 = MirrSelnReqTyp_LeAndRi</t>
  </si>
  <si>
    <t>TMS_Enum_MmedMaiPwrMod</t>
  </si>
  <si>
    <t>0 = MmedMaiPwrMod_OnlyMCURunning</t>
  </si>
  <si>
    <t>1 = MmedMaiPwrMod_STR</t>
  </si>
  <si>
    <t>2 = MmedMaiPwrMod_SystemInit</t>
  </si>
  <si>
    <t>3 = MmedMaiPwrMod_HMIOFF</t>
  </si>
  <si>
    <t>4 = MmedMaiPwrMod_RunMode</t>
  </si>
  <si>
    <t>5 = MmedMaiPwrMod_RemoteMode</t>
  </si>
  <si>
    <t>6 = MmedMaiPwrMod_ReadyToSTR</t>
  </si>
  <si>
    <t>7 = MmedMaiPwrMod_ReadyToSleep</t>
  </si>
  <si>
    <t>TMS_Enum_ModCfmd</t>
  </si>
  <si>
    <t>0 = ModCfmd_NoReq</t>
  </si>
  <si>
    <t>1 = ModCfmd_MarsParking</t>
  </si>
  <si>
    <t>2 = ModCfmd_Reserved2</t>
  </si>
  <si>
    <t>3 = ModCfmd_Reserved3</t>
  </si>
  <si>
    <t>4 = ModCfmd_Reserved4</t>
  </si>
  <si>
    <t>5 = ModCfmd_ANP</t>
  </si>
  <si>
    <t>6 = ModCfmd_Reserved6</t>
  </si>
  <si>
    <t>7 = ModCfmd_Reserved7</t>
  </si>
  <si>
    <t>8 = ModCfmd_Reserved8</t>
  </si>
  <si>
    <t>9 = ModCfmd_ACC_HWA</t>
  </si>
  <si>
    <t>10 = ModCfmd_PEB</t>
  </si>
  <si>
    <t>11 = ModCfmd_APA</t>
  </si>
  <si>
    <t>12 = ModCfmd_RPA</t>
  </si>
  <si>
    <t>13 = ModCfmd_HPA</t>
  </si>
  <si>
    <t>14 = ModCfmd_TJP_HWC</t>
  </si>
  <si>
    <t>15 = ModCfmd_NOP</t>
  </si>
  <si>
    <t>TMS_Enum_ModeCmptHp</t>
  </si>
  <si>
    <t>0 = ModeCmptHp_vent</t>
  </si>
  <si>
    <t>1 = ModeCmptHp_cool</t>
  </si>
  <si>
    <t>2 = ModeCmptHp_hot</t>
  </si>
  <si>
    <t>3 = ModeCmptHp_cool_hot</t>
  </si>
  <si>
    <t>4 = ModeCmptHp_cool_defog</t>
  </si>
  <si>
    <t>5 = ModeCmptHp_hot_defog</t>
  </si>
  <si>
    <t>6 = ModeCmptHp_cool_hot_defog</t>
  </si>
  <si>
    <t>7 = ModeCmptHp_reserved</t>
  </si>
  <si>
    <t>TMS_Enum_ModeDMC</t>
  </si>
  <si>
    <t>0 = ModeDMC_Off</t>
  </si>
  <si>
    <t>1 = ModeDMC_Rpm</t>
  </si>
  <si>
    <t>2 = ModeDMC_Trq</t>
  </si>
  <si>
    <t>TMS_Enum_ModSeld</t>
  </si>
  <si>
    <t>0 = ModSeld_NoSeld</t>
  </si>
  <si>
    <t>1 = ModSeld_CustomizationMod1</t>
  </si>
  <si>
    <t>2 = ModSeld_CustomizationMod2</t>
  </si>
  <si>
    <t>3 = ModSeld_CustomizationMod3</t>
  </si>
  <si>
    <t>TMS_Enum_ModStatusRms</t>
  </si>
  <si>
    <t>0 = ModStatusRms_Invalid</t>
  </si>
  <si>
    <t>1 = ModStatusRms_PwrCns</t>
  </si>
  <si>
    <t>2 = ModStatusRms_PwrGen</t>
  </si>
  <si>
    <t>3 = ModStatusRms_OffSts</t>
  </si>
  <si>
    <t>4 = ModStatusRms_RdySts</t>
  </si>
  <si>
    <t>5 = ModStatusRms_Abnormal</t>
  </si>
  <si>
    <t>6 = ModStatusRms_Invalid1</t>
  </si>
  <si>
    <t>7 = ModStatusRms_Invalid2</t>
  </si>
  <si>
    <t>8 = ModStatusRms_Invalid3</t>
  </si>
  <si>
    <t>9 = ModStatusRms_Invalid4</t>
  </si>
  <si>
    <t>10 = ModStatusRms_Invalid5</t>
  </si>
  <si>
    <t>11 = ModStatusRms_Invalid6</t>
  </si>
  <si>
    <t>12 = ModStatusRms_Invalid7</t>
  </si>
  <si>
    <t>13 = ModStatusRms_Invalid8</t>
  </si>
  <si>
    <t>14 = ModStatusRms_Invalid9</t>
  </si>
  <si>
    <t>15 = ModStatusRms_Invalid10</t>
  </si>
  <si>
    <t>TMS_Enum_MotorStatus</t>
  </si>
  <si>
    <t>0 = ElevatorMotorStatus_normal</t>
  </si>
  <si>
    <t>1 = ElevatorMotorStatus_shorted</t>
  </si>
  <si>
    <t>2 = ElevatorMotorStatus_opened</t>
  </si>
  <si>
    <t>TMS_Enum_MotrCfgTyp</t>
  </si>
  <si>
    <t>0 = MotrCfgTyp_NoMotr</t>
  </si>
  <si>
    <t>1 = MotrCfgTyp_MotrWoSnsr</t>
  </si>
  <si>
    <t>2 = MotrCfgTyp_MotrWthSnsr</t>
  </si>
  <si>
    <t>TMS_Enum_MsgReqByHillDwnCtrl1</t>
  </si>
  <si>
    <t>0 = MsgReqByHillDwnCtrl1_MsgForHillDwnCtrlNotReqd</t>
  </si>
  <si>
    <t>1 = MsgReqByHillDwnCtrl1_MsgForHillDwnCtrlOnReqd</t>
  </si>
  <si>
    <t>2 = MsgReqByHillDwnCtrl1_MsgForHillDwnCtrlReqdForBrkg</t>
  </si>
  <si>
    <t>3 = MsgReqByHillDwnCtrl1_MsgForHillDwnCtrlTmpOffReqd</t>
  </si>
  <si>
    <t>4 = MsgReqByHillDwnCtrl1_Resd4</t>
  </si>
  <si>
    <t>5 = MsgReqByHillDwnCtrl1_Resd5</t>
  </si>
  <si>
    <t>6 = MsgReqByHillDwnCtrl1_Resd6</t>
  </si>
  <si>
    <t>7 = MsgReqByHillDwnCtrl1_Resd7</t>
  </si>
  <si>
    <t>TMS_Enum_MsgSts</t>
  </si>
  <si>
    <t>0 = MsgSts_Inactive</t>
  </si>
  <si>
    <t>1 = MsgSts_Active</t>
  </si>
  <si>
    <t>TMS_Enum_Mute</t>
  </si>
  <si>
    <t>0 = Unmute</t>
  </si>
  <si>
    <t>1 = mute</t>
  </si>
  <si>
    <t>TMS_Enum_NFCFeedbackSts</t>
  </si>
  <si>
    <t>1 = NFCFeedbackkSts_RestSuccessfully</t>
  </si>
  <si>
    <t>TMS_Enum_NFCLinkCtrl</t>
  </si>
  <si>
    <t>1 = NFCLinkSetup</t>
  </si>
  <si>
    <t>2 = NFCLinkTeardownAndReset</t>
  </si>
  <si>
    <t>TMS_Enum_NFCSts</t>
  </si>
  <si>
    <t>0 = NFCSts_NotDetected</t>
  </si>
  <si>
    <t>1 = NFCSts_Detected</t>
  </si>
  <si>
    <t>TMS_Enum_NoiseFlrSwt</t>
  </si>
  <si>
    <t>0 = NormalMode</t>
  </si>
  <si>
    <t>1 = PolarPlotMode</t>
  </si>
  <si>
    <t>TMS_Enum_NoReqOffReq</t>
  </si>
  <si>
    <t>0 = NoReqOffReq_NoReq</t>
  </si>
  <si>
    <t>1 = NoReqOffReq_OffReq</t>
  </si>
  <si>
    <t>TMS_Enum_NormalStatus</t>
  </si>
  <si>
    <t>0 = NormalStatus_Normal</t>
  </si>
  <si>
    <t>1 = NormalStatus_Error</t>
  </si>
  <si>
    <t>TMS_Enum_Normalwarning</t>
  </si>
  <si>
    <t>0 = Normalwarning_Normal</t>
  </si>
  <si>
    <t>1 = Normalwarning_Warning</t>
  </si>
  <si>
    <t>TMS_Enum_NormSptType</t>
  </si>
  <si>
    <t>0 = NormSptType_Norm</t>
  </si>
  <si>
    <t>1 = NormSptType_Spt</t>
  </si>
  <si>
    <t>TMS_Enum_NotActvActv1</t>
  </si>
  <si>
    <t>0 = NotActvActv1_NotActv</t>
  </si>
  <si>
    <t>1 = NotActvActv1_Actv</t>
  </si>
  <si>
    <t>TMS_Enum_NotCmpl1</t>
  </si>
  <si>
    <t>0 = NotCmpl1_NotCmpl</t>
  </si>
  <si>
    <t>1 = NotCmpl1_Cmpl</t>
  </si>
  <si>
    <t>TMS_Enum_NotOkOk</t>
  </si>
  <si>
    <t>0 = NotOkOk_NotOk</t>
  </si>
  <si>
    <t>1 = NotOkOk_Ok</t>
  </si>
  <si>
    <t>2 = NotOkOk_Di</t>
  </si>
  <si>
    <t>3 = NotOkOk_Resd</t>
  </si>
  <si>
    <t>TMS_Enum_NoYes1</t>
  </si>
  <si>
    <t>0 = NoYes1_No</t>
  </si>
  <si>
    <t>1 = NoYes1_Yes</t>
  </si>
  <si>
    <t>TMS_Enum_NoYesCrit1</t>
  </si>
  <si>
    <t>0 = NoYesCrit1_NotVld1</t>
  </si>
  <si>
    <t>1 = NoYesCrit1_No</t>
  </si>
  <si>
    <t>2 = NoYesCrit1_Yes</t>
  </si>
  <si>
    <t>3 = NoYesCrit1_NotVld2</t>
  </si>
  <si>
    <t>TMS_Enum_NoYesUnknown</t>
  </si>
  <si>
    <t>0 = NoYesUnknown_No</t>
  </si>
  <si>
    <t>1 = NoYesUnknown_Yes</t>
  </si>
  <si>
    <t>2 = NoYesUnknown_Unknown</t>
  </si>
  <si>
    <t>TMS_Enum_ObjectClass</t>
  </si>
  <si>
    <t>0 = ObjectClass_Unknown</t>
  </si>
  <si>
    <t>1 = ObjectClass_Car</t>
  </si>
  <si>
    <t>2 = ObjectClass_Truck</t>
  </si>
  <si>
    <t>6 = ObjectClass_SensorError</t>
  </si>
  <si>
    <t>3 = ObjectClass_Pedestrian</t>
  </si>
  <si>
    <t>TMS_Enum_ObjSide</t>
  </si>
  <si>
    <t>0 = ObjSide_None</t>
  </si>
  <si>
    <t>1 = ObjSide_Left</t>
  </si>
  <si>
    <t>2 = ObjSide_Right</t>
  </si>
  <si>
    <t>3 = ObjSide_Both</t>
  </si>
  <si>
    <t>TMS_Enum_ObjTypMai</t>
  </si>
  <si>
    <t>0 = ObjTpyMai_None</t>
  </si>
  <si>
    <t>1 = ObjTpyMai_Bump</t>
  </si>
  <si>
    <t>2 = ObjTpyMai_Manhole</t>
  </si>
  <si>
    <t>3 = ObjTpyMai_Pothole</t>
  </si>
  <si>
    <t>4 = ObjTpyMai_Step</t>
  </si>
  <si>
    <t>5 = ObjTpyMai_Reserved_1</t>
  </si>
  <si>
    <t>6 = ObjTpyMai_Reserved_2</t>
  </si>
  <si>
    <t>7 = ObjTpyMai_Reserved_3</t>
  </si>
  <si>
    <t>8 = ObjTpyMai_Reserved_4</t>
  </si>
  <si>
    <t>9 = ObjTpyMai_Reserved_5</t>
  </si>
  <si>
    <t>10 = ObjTpyMai_Reserved_6</t>
  </si>
  <si>
    <t>11 = ObjTpyMai_Reserved_7</t>
  </si>
  <si>
    <t>12 = ObjTpyMai_Reserved_8</t>
  </si>
  <si>
    <t>13 = ObjTpyMai_Reserved_9</t>
  </si>
  <si>
    <t>14 = ObjTpyMai_Reserved_10</t>
  </si>
  <si>
    <t>15 = ObjTpyMai_Reserved_11</t>
  </si>
  <si>
    <t>TMS_Enum_OccptPresSt1</t>
  </si>
  <si>
    <t>0 = OccptPresSt1_Undefd1</t>
  </si>
  <si>
    <t>1 = OccptPresSt1_OccptNotPrsnt</t>
  </si>
  <si>
    <t>2 = OccptPresSt1_OccptPrsnt</t>
  </si>
  <si>
    <t>3 = OccptPresSt1_Undefd2</t>
  </si>
  <si>
    <t>TMS_Enum_OffOnAut1</t>
  </si>
  <si>
    <t>0 = OffOnAut1_Off</t>
  </si>
  <si>
    <t>1 = OffOnAut1_On</t>
  </si>
  <si>
    <t>2 = OffOnAut1_Aut</t>
  </si>
  <si>
    <t>TMS_Enum_OffOnErrInvalid</t>
  </si>
  <si>
    <t>0 = OffOnErrInvalid_Off</t>
  </si>
  <si>
    <t>1 = OffOnErrInvalid_On</t>
  </si>
  <si>
    <t>2 = OffOnErrInvalid_Err</t>
  </si>
  <si>
    <t>3 = OffOnErrInvalid_Invalid</t>
  </si>
  <si>
    <t>TMS_Enum_OkNokDi</t>
  </si>
  <si>
    <t>0 = OkNokDi_Ok</t>
  </si>
  <si>
    <t>1 = OkNokDi_NotOk</t>
  </si>
  <si>
    <t>2 = OkNokDi_Disabled</t>
  </si>
  <si>
    <t>3 = OkNokDi_Reserved</t>
  </si>
  <si>
    <t>TMS_Enum_OkNotOk</t>
  </si>
  <si>
    <t>0 = OkNotOk_NotOk</t>
  </si>
  <si>
    <t>1 = OkNotOk_Ok</t>
  </si>
  <si>
    <t>TMS_Enum_OkNotOk1</t>
  </si>
  <si>
    <t>0 = OkNotOk1_Ok</t>
  </si>
  <si>
    <t>1 = OkNotOk1_NotOk</t>
  </si>
  <si>
    <t>TMS_Enum_OnBdChrgrHndlSts</t>
  </si>
  <si>
    <t>0 = OnBdChrgrHndlSts_Disconnected</t>
  </si>
  <si>
    <t>1 = OnBdChrgrHndlSts_ConnectedWithoutPower</t>
  </si>
  <si>
    <t>2 = OnBdChrgrHndlSts_PowerAvailableButNotActivated</t>
  </si>
  <si>
    <t>3 = OnBdChrgrHndlSts_ConnectedWithPower</t>
  </si>
  <si>
    <t>4 = OnBdChrgrHndlSts_Init</t>
  </si>
  <si>
    <t>5 = OnBdChrgrHndlSts_Fault</t>
  </si>
  <si>
    <t>TMS_Enum_OnBdChrgrHndlSts1</t>
  </si>
  <si>
    <t>0 = OnBdChrgrHndlSts1_Disconnected</t>
  </si>
  <si>
    <t>1 = OnBdChrgrHndlSts1_ConnectedWithoutPower</t>
  </si>
  <si>
    <t>2 = OnBdChrgrHndlSts1_PowerAvailableButNotActivated</t>
  </si>
  <si>
    <t>3 = OnBdChrgrHndlSts1_ConnectedWithPower</t>
  </si>
  <si>
    <t>4 = OnBdChrgrHndlSts1_DischargeConnectwithoutpowerincar</t>
  </si>
  <si>
    <t>5 = OnBdChrgrHndlSts1_DischargeConnectwithoutpoweroutcar</t>
  </si>
  <si>
    <t>6 = OnBdChrgrHndlSts1_DischargeConnectwithpowerincar</t>
  </si>
  <si>
    <t>7 = OnBdChrgrHndlSts1_DischargeConnectwithpoweroutcar</t>
  </si>
  <si>
    <t>8 = OnBdChrgrHndlSts1_Init</t>
  </si>
  <si>
    <t>9 = OnBdChrgrHndlSts1_Fault</t>
  </si>
  <si>
    <t>10 = OnBdChrgrHndlSts1_NotCompleteConnnected</t>
  </si>
  <si>
    <t>11 = OnBdChrgrHndlSts1_Reserved0</t>
  </si>
  <si>
    <t>12 = OnBdChrgrHndlSts1_Reserved1</t>
  </si>
  <si>
    <t>13 = OnBdChrgrHndlSts1_Reserved2</t>
  </si>
  <si>
    <t>TMS_Enum_OnBdChrgrHndlSts2</t>
  </si>
  <si>
    <t>0 = OnBdChrgrHndlSts2_Disconnected</t>
  </si>
  <si>
    <t>1 = OnBdChrgrHndlSts2_ConnectedWithoutPower</t>
  </si>
  <si>
    <t>2 = OnBdChrgrHndlSts2_PowerAvailableButNotActivated</t>
  </si>
  <si>
    <t>3 = OnBdChrgrHndlSts2_ConnectedWithPower</t>
  </si>
  <si>
    <t>4 = OnBdChrgrHndlSts2_DischargeConnectwithoutpowerincar</t>
  </si>
  <si>
    <t>5 = OnBdChrgrHndlSts2_DischargeConnectwithoutpoweroutcar</t>
  </si>
  <si>
    <t>6 = OnBdChrgrHndlSts2_DischargeConnectwithpowerincar</t>
  </si>
  <si>
    <t>7 = OnBdChrgrHndlSts2_DischargeConnectwithpoweroutcar</t>
  </si>
  <si>
    <t>8 = OnBdChrgrHndlSts2_Init</t>
  </si>
  <si>
    <t>9 = OnBdChrgrHndlSts2_Fault</t>
  </si>
  <si>
    <t>10 = OnBdChrgrHndlSts2_NotCompleteConnnected</t>
  </si>
  <si>
    <t>11 = OnBdChrgrHndlSts2_ConnectedWithPowerButNotPWM</t>
  </si>
  <si>
    <t>12 = OnBdChrgrHndlSts2_Reserved1</t>
  </si>
  <si>
    <t>13 = OnBdChrgrHndlSts2_Reserved2</t>
  </si>
  <si>
    <t>TMS_Enum_OnOff1</t>
  </si>
  <si>
    <t>0 = OnOff1_Off</t>
  </si>
  <si>
    <t>1 = OnOff1_On</t>
  </si>
  <si>
    <t>TMS_Enum_OnOff2</t>
  </si>
  <si>
    <t>0 = OnOff2_On</t>
  </si>
  <si>
    <t>1 = OnOff2_Off</t>
  </si>
  <si>
    <t>TMS_Enum_OnOffCrit1</t>
  </si>
  <si>
    <t>0 = OnOffCrit1_NotVld1</t>
  </si>
  <si>
    <t>1 = OnOffCrit1_Off</t>
  </si>
  <si>
    <t>2 = OnOffCrit1_On</t>
  </si>
  <si>
    <t>3 = OnOffCrit1_NotVld2</t>
  </si>
  <si>
    <t>TMS_Enum_OnOffDetd1</t>
  </si>
  <si>
    <t>0 = OnOffDetd1_NoInfo</t>
  </si>
  <si>
    <t>1 = OnOffDetd1_OffDetd</t>
  </si>
  <si>
    <t>2 = OnOffDetd1_NotOnOrOffDetd</t>
  </si>
  <si>
    <t>3 = OnOffDetd1_OnDetd</t>
  </si>
  <si>
    <t>TMS_Enum_OnOffNoReq</t>
  </si>
  <si>
    <t>0 = OnOffNoReq_NoReq</t>
  </si>
  <si>
    <t>1 = OnOffNoReq_On</t>
  </si>
  <si>
    <t>2 = OnOffNoReq_Off</t>
  </si>
  <si>
    <t>TMS_Enum_OnOffSafe1</t>
  </si>
  <si>
    <t>0 = OnOffSafe1_OnOffSafeInvld1</t>
  </si>
  <si>
    <t>1 = OnOffSafe1_OnOffSafeOn</t>
  </si>
  <si>
    <t>2 = OnOffSafe1_OnOffSafeOff</t>
  </si>
  <si>
    <t>3 = OnOffSafe1_OnOffSafeInvld2</t>
  </si>
  <si>
    <t>TMS_Enum_OnOffSts</t>
  </si>
  <si>
    <t>0 = OnOffSts_OFF</t>
  </si>
  <si>
    <t>1 = OnOffSts_ON</t>
  </si>
  <si>
    <t>2 = OnOffSts_Unknow</t>
  </si>
  <si>
    <t>TMS_Enum_OnOffUnknown</t>
  </si>
  <si>
    <t>0 = OnOffUnknown_Init</t>
  </si>
  <si>
    <t>1 = OnOffUnknown_On</t>
  </si>
  <si>
    <t>2 = OnOffUnknown_Off</t>
  </si>
  <si>
    <t>3 = OnOffUnknown_Unknown</t>
  </si>
  <si>
    <t>4 = OnOffUnknown_Reserved1</t>
  </si>
  <si>
    <t>5 = OnOffUnknown_Reserved2</t>
  </si>
  <si>
    <t>TMS_Enum_OpenClose</t>
  </si>
  <si>
    <t>0 = OpenClose_Open</t>
  </si>
  <si>
    <t>1 = OpenClose_Close</t>
  </si>
  <si>
    <t>TMS_Enum_OpenCls3</t>
  </si>
  <si>
    <t>0 = OpenCls3_NoRequest</t>
  </si>
  <si>
    <t>1 = OpenCls3_Close</t>
  </si>
  <si>
    <t>2 = OpenCls3_Reserved1</t>
  </si>
  <si>
    <t>3 = OpenCls3_Reserved2</t>
  </si>
  <si>
    <t>TMS_Enum_OpenClsGlbCmd</t>
  </si>
  <si>
    <t>0 = OpenClsGlbCmd_Idle</t>
  </si>
  <si>
    <t>1 = OpenClsGlbCmd_GlobalOpenWindow</t>
  </si>
  <si>
    <t>2 = OpenClsGlbCmd_GlobalCloseWindowAndSunroof</t>
  </si>
  <si>
    <t>3 = OpenClsGlbCmd_GlobalCloseWindow</t>
  </si>
  <si>
    <t>4 = OpenClsGlbCmd_GlobalStop</t>
  </si>
  <si>
    <t>5 = OpenClsGlbCmd_Resd1</t>
  </si>
  <si>
    <t>6 = OpenClsGlbCmd_Resd2</t>
  </si>
  <si>
    <t>7 = OpenClsGlbCmd_Resd3</t>
  </si>
  <si>
    <t>TMS_Enum_OpenClsReq</t>
  </si>
  <si>
    <t>0 = OpenClsReq_Default</t>
  </si>
  <si>
    <t>1 = OpenClsReq_Open</t>
  </si>
  <si>
    <t>2 = OpenClsReq_Close</t>
  </si>
  <si>
    <t>3 = OpenClsReq_Reserved</t>
  </si>
  <si>
    <t>TMS_Enum_OperationMode</t>
  </si>
  <si>
    <t>0 = OperationMode_Reserved1</t>
  </si>
  <si>
    <t>1 = OperationMode_Init</t>
  </si>
  <si>
    <t>2 = OperationMode_Normal</t>
  </si>
  <si>
    <t>4 = OperationMode_Blocked</t>
  </si>
  <si>
    <t>3 = OperationMode_Degraded</t>
  </si>
  <si>
    <t>TMS_Enum_Orntn</t>
  </si>
  <si>
    <t>0 = Orntn_OnWheels</t>
  </si>
  <si>
    <t>1 = Orntn_LeftSide</t>
  </si>
  <si>
    <t>2 = Orntn_RightSide</t>
  </si>
  <si>
    <t>3 = Orntn_OnRoof</t>
  </si>
  <si>
    <t>4 = Orntn_Indeterminate</t>
  </si>
  <si>
    <t>5 = Orntn_Resd1</t>
  </si>
  <si>
    <t>6 = Orntn_Resd2</t>
  </si>
  <si>
    <t>7 = Orntn_Resd3</t>
  </si>
  <si>
    <t>TMS_Enum_OutdAirQlyQf</t>
  </si>
  <si>
    <t>0 = OutdAirQlyQf_SnsrNotOk</t>
  </si>
  <si>
    <t>1 = OutdAirQlyQf_SnsrOk</t>
  </si>
  <si>
    <t>TMS_Enum_OutdBriSts</t>
  </si>
  <si>
    <t>0 = OutdBriSts_Ukwn</t>
  </si>
  <si>
    <t>1 = OutdBriSts_Night</t>
  </si>
  <si>
    <t>2 = OutdBriSts_Day</t>
  </si>
  <si>
    <t>3 = OutdBriSts_Invld</t>
  </si>
  <si>
    <t>TMS_Enum_PAHndlTyp</t>
  </si>
  <si>
    <t>4 = BLUETOOTH</t>
  </si>
  <si>
    <t>TMS_Enum_ParChks1</t>
  </si>
  <si>
    <t>0 = ParChks1_Unevennrof1</t>
  </si>
  <si>
    <t>1 = ParChks1_Evennrof1</t>
  </si>
  <si>
    <t>TMS_Enum_PassMemPosn</t>
  </si>
  <si>
    <t>0 = PassMemPosn_Idle</t>
  </si>
  <si>
    <t>1 = PassMemPosn_MemBnk1</t>
  </si>
  <si>
    <t>2 = PassMemPosn_MemBnk2</t>
  </si>
  <si>
    <t>3 = PassMemPosn_MemBnk3</t>
  </si>
  <si>
    <t>TMS_Enum_PassSeatSts1</t>
  </si>
  <si>
    <t>0 = PassSeatSts1_Empty</t>
  </si>
  <si>
    <t>1 = PassSeatSts1_Fmale</t>
  </si>
  <si>
    <t>2 = PassSeatSts1_OccptLrg</t>
  </si>
  <si>
    <t>3 = PassSeatSts1_Ukwn</t>
  </si>
  <si>
    <t>TMS_Enum_PATarpkgDir</t>
  </si>
  <si>
    <t>0 = PATarpkgDirNoInfo</t>
  </si>
  <si>
    <t>1 = PATarpkgDirLeft</t>
  </si>
  <si>
    <t>2 = PATarpkgDirRight</t>
  </si>
  <si>
    <t>TMS_Enum_PatSeld</t>
  </si>
  <si>
    <t>0 = PatSeld_NoSeld</t>
  </si>
  <si>
    <t>1 = PatSeld_RefrshPatSeld</t>
  </si>
  <si>
    <t>2 = PatSeld_ParentchildPatSeld</t>
  </si>
  <si>
    <t>3 = PatSeld_Restpatseld</t>
  </si>
  <si>
    <t>4 = PatSeld_RomanticPatseld</t>
  </si>
  <si>
    <t>5 = PatSeld_StrangerPatseld</t>
  </si>
  <si>
    <t>6 = PatSeld_TheaterPatseld</t>
  </si>
  <si>
    <t>7 = PatSeld_PetPatseld</t>
  </si>
  <si>
    <t>8 = PatSeld_BiochalPatseld</t>
  </si>
  <si>
    <t>9 = PatSeld_CarWashPatseld</t>
  </si>
  <si>
    <t>10 = PatSeld_EcoPatseld</t>
  </si>
  <si>
    <t>11 = PatSeld_KingPatseld</t>
  </si>
  <si>
    <t>12 = PatSeld_CustomizationPatseld</t>
  </si>
  <si>
    <t>13 = PatSeld_MeetingPatseld</t>
  </si>
  <si>
    <t>TMS_Enum_PEBSysSts</t>
  </si>
  <si>
    <t>0 = PEBSysSts_Off</t>
  </si>
  <si>
    <t>1 = PEBSysSts_Standby</t>
  </si>
  <si>
    <t>2 = PEBSysSts_Inactivate</t>
  </si>
  <si>
    <t>3 = PEBSysSts_PEBactivate</t>
  </si>
  <si>
    <t>4 = PEBSysSts_MSPactivate</t>
  </si>
  <si>
    <t>5 = PEBSysSts_Failure</t>
  </si>
  <si>
    <t>6 = PEBSysSts_Inhibited</t>
  </si>
  <si>
    <t>7 = PEBSysSts_Initialze</t>
  </si>
  <si>
    <t>8 = PEBSysSts_Reserved1</t>
  </si>
  <si>
    <t>9 = PEBSysSts_Reserved2</t>
  </si>
  <si>
    <t>10 = PEBSysSts_Reserved3</t>
  </si>
  <si>
    <t>11 = PEBSysSts_Reserved4</t>
  </si>
  <si>
    <t>12 = PEBSysSts_Reserved5</t>
  </si>
  <si>
    <t>13 = PEBSysSts_Reserved6</t>
  </si>
  <si>
    <t>14 = PEBSysSts_Reserved7</t>
  </si>
  <si>
    <t>15 = PEBSysSts_Reserved8</t>
  </si>
  <si>
    <t>TMS_Enum_PedlFCompCtrlSt1</t>
  </si>
  <si>
    <t>0 = PedlFCompCtrlSt1_NotActv</t>
  </si>
  <si>
    <t>1 = PedlFCompCtrlSt1_Hld</t>
  </si>
  <si>
    <t>2 = PedlFCompCtrlSt1_Actv</t>
  </si>
  <si>
    <t>3 = PedlFCompCtrlSt1_Resd3</t>
  </si>
  <si>
    <t>TMS_Enum_PitchAndRoll</t>
  </si>
  <si>
    <t>0 = PitchAndRoll_Invalid</t>
  </si>
  <si>
    <t>1 = PitchAndRoll_Neg14</t>
  </si>
  <si>
    <t>2 = PitchAndRoll_Neg13</t>
  </si>
  <si>
    <t>3 = PitchAndRoll_Neg12</t>
  </si>
  <si>
    <t>4 = PitchAndRoll_Neg11</t>
  </si>
  <si>
    <t>5 = PitchAndRoll_Neg10</t>
  </si>
  <si>
    <t>6 = PitchAndRoll_Neg9</t>
  </si>
  <si>
    <t>7 = PitchAndRoll_Neg8</t>
  </si>
  <si>
    <t>8 = PitchAndRoll_Neg7</t>
  </si>
  <si>
    <t>9 = PitchAndRoll_Neg6</t>
  </si>
  <si>
    <t>10 = PitchAndRoll_Neg5</t>
  </si>
  <si>
    <t>11 = PitchAndRoll_Neg4</t>
  </si>
  <si>
    <t>12 = PitchAndRoll_Neg3</t>
  </si>
  <si>
    <t>13 = PitchAndRoll_Neg2</t>
  </si>
  <si>
    <t>14 = PitchAndRoll_Neg1</t>
  </si>
  <si>
    <t>15 = PitchAndRoll_Pos0</t>
  </si>
  <si>
    <t>16 = PitchAndRoll_Pos1</t>
  </si>
  <si>
    <t>17 = PitchAndRoll_Pos2</t>
  </si>
  <si>
    <t>18 = PitchAndRoll_Pos3</t>
  </si>
  <si>
    <t>19 = PitchAndRoll_Pos4</t>
  </si>
  <si>
    <t>20 = PitchAndRoll_Pos5</t>
  </si>
  <si>
    <t>21 = PitchAndRoll_Pos6</t>
  </si>
  <si>
    <t>22 = PitchAndRoll_Pos7</t>
  </si>
  <si>
    <t>23 = PitchAndRoll_Pos8</t>
  </si>
  <si>
    <t>24 = PitchAndRoll_Pos9</t>
  </si>
  <si>
    <t>25 = PitchAndRoll_Pos10</t>
  </si>
  <si>
    <t>26 = PitchAndRoll_Pos11</t>
  </si>
  <si>
    <t>27 = PitchAndRoll_Pos12</t>
  </si>
  <si>
    <t>28 = PitchAndRoll_Pos13</t>
  </si>
  <si>
    <t>29 = PitchAndRoll_Pos14</t>
  </si>
  <si>
    <t>30 = PitchAndRoll_Reserved1</t>
  </si>
  <si>
    <t>31 = PitchAndRoll_Reserved2</t>
  </si>
  <si>
    <t>TMS_Enum_PlsHeatgSts</t>
  </si>
  <si>
    <t>0 = PlsHeatgSts_Idle</t>
  </si>
  <si>
    <t>1 = PlsHeatgSts_Ini</t>
  </si>
  <si>
    <t>2 = PlsHeatgSts_Heatg</t>
  </si>
  <si>
    <t>3 = PlsHeatgSts_HeatgFinsih</t>
  </si>
  <si>
    <t>4 = PlsHeatgSts_Err</t>
  </si>
  <si>
    <t>5 = PlsHeatgSts_Inhb</t>
  </si>
  <si>
    <t>6 = PlsHeatgSts_Reserve1</t>
  </si>
  <si>
    <t>TMS_Enum_PmSnrVoltgRangErr</t>
  </si>
  <si>
    <t>0 = PmSnrVoltgRangErr_NoError</t>
  </si>
  <si>
    <t>1 = PmSnrVoltgRangErr_Undervoltage</t>
  </si>
  <si>
    <t>2 = PmSnrVoltgRangErr_Overvoltage</t>
  </si>
  <si>
    <t>TMS_Enum_PmSnsrErrSts</t>
  </si>
  <si>
    <t>0 = PmSnsrErrSts_NoError</t>
  </si>
  <si>
    <t>1 = PmSnsrErrSts_ShortToGroundOrOpenCircuit</t>
  </si>
  <si>
    <t>2 = PmSnsrErrSts_ShortToBatt</t>
  </si>
  <si>
    <t>3 = PmSnsrErrSts_Resvd</t>
  </si>
  <si>
    <t>TMS_Enum_PmSnsrSts</t>
  </si>
  <si>
    <t>0 = PmSnsrSts_Initial</t>
  </si>
  <si>
    <t>1 = PmSnsrSts_Collecting</t>
  </si>
  <si>
    <t>2 = PmSnsrSts_Complete</t>
  </si>
  <si>
    <t>3 = PmSnsrSts_Error</t>
  </si>
  <si>
    <t>TMS_Enum_PollingMod</t>
  </si>
  <si>
    <t>0 = PollingMod_PolllingMode</t>
  </si>
  <si>
    <t>1 = PollingMod_RunningMode</t>
  </si>
  <si>
    <t>2 = PollingMod_ActivePollingMode</t>
  </si>
  <si>
    <t>TMS_Enum_PosnAut</t>
  </si>
  <si>
    <t>0 = PosnAut_PosnAutNotActv</t>
  </si>
  <si>
    <t>1 = PosnAut_PosnAutActv</t>
  </si>
  <si>
    <t>TMS_Enum_PosPerc1</t>
  </si>
  <si>
    <t>0 = PosPerc1_NoReq</t>
  </si>
  <si>
    <t>1 = PosPerc1_0to20PercTopPos</t>
  </si>
  <si>
    <t>2 = PosPerc1_21to40PercTopPos</t>
  </si>
  <si>
    <t>3 = PosPerc1_41to60PercTopPos</t>
  </si>
  <si>
    <t>4 = PosPerc1_61to80PercTopPos</t>
  </si>
  <si>
    <t>5 = PosPerc1_81to100PercTopPos</t>
  </si>
  <si>
    <t>TMS_Enum_PostImpctBrkgNoYes</t>
  </si>
  <si>
    <t>0 = PostImpctBrkgNoYes_Undefd0</t>
  </si>
  <si>
    <t>1 = PostImpctBrkgNoYes_No</t>
  </si>
  <si>
    <t>2 = PostImpctBrkgNoYes_Yes</t>
  </si>
  <si>
    <t>3 = PostImpctBrkgNoYes_Undefd3</t>
  </si>
  <si>
    <t>TMS_Enum_PostImpctBrkgRdy</t>
  </si>
  <si>
    <t>0 = PostImpctBrkgRdy_No</t>
  </si>
  <si>
    <t>1 = PostImpctBrkgRdy_Yes</t>
  </si>
  <si>
    <t>2 = PostImpctBrkgRdy_Di</t>
  </si>
  <si>
    <t>3 = PostImpctBrkgRdy_Resd</t>
  </si>
  <si>
    <t>TMS_Enum_PreHeatgReq</t>
  </si>
  <si>
    <t>0 = PreHeatgReq_Default</t>
  </si>
  <si>
    <t>1 = PreHeatgReq_On</t>
  </si>
  <si>
    <t>2 = PreHeatgReq_Off</t>
  </si>
  <si>
    <t>3 = PreHeatgReq_Reserved</t>
  </si>
  <si>
    <t>TMS_Enum_PresScale</t>
  </si>
  <si>
    <t>0 = PresScale_Undefined</t>
  </si>
  <si>
    <t>1 = PresScale_VeryLow</t>
  </si>
  <si>
    <t>2 = PresScale_Low</t>
  </si>
  <si>
    <t>3 = PresScale_Medium</t>
  </si>
  <si>
    <t>4 = PresScale_High</t>
  </si>
  <si>
    <t>5 = PresScale_VeryHigh</t>
  </si>
  <si>
    <t>TMS_Enum_PrkgAssiSysRemPrkgSts</t>
  </si>
  <si>
    <t>0 = PrkgAssiSysRemPrkgSts_OFF</t>
  </si>
  <si>
    <t>1 = PrkgAssiSysRemPrkgSts_Remoteparkinstandby</t>
  </si>
  <si>
    <t>2 = PrkgAssiSysRemPrkgSts_Remoteparkoutstandby</t>
  </si>
  <si>
    <t>3 = PrkgAssiSysRemPrkgSts_Searching</t>
  </si>
  <si>
    <t>4 = PrkgAssiSysRemPrkgSts_Remoteparkinpreactive</t>
  </si>
  <si>
    <t>5 = PrkgAssiSysRemPrkgSts_Remoteparkactive</t>
  </si>
  <si>
    <t>6 = PrkgAssiSysRemPrkgSts_Parkprocessactive</t>
  </si>
  <si>
    <t>7 = PrkgAssiSysRemPrkgSts_Suspend</t>
  </si>
  <si>
    <t>8 = PrkgAssiSysRemPrkgSts_Abort</t>
  </si>
  <si>
    <t>9 = PrkgAssiSysRemPrkgSts_Remoteparkprocesscompleted</t>
  </si>
  <si>
    <t>10 = PrkgAssiSysRemPrkgSts_Remoteparkoutprocscompleted</t>
  </si>
  <si>
    <t>11 = PrkgAssiSysRemPrkgSts_Remoteparkcompleted</t>
  </si>
  <si>
    <t>12 = PrkgAssiSysRemPrkgSts_Quit</t>
  </si>
  <si>
    <t>13 = PrkgAssiSysRemPrkgSts_Failure</t>
  </si>
  <si>
    <t>14 = PrkgAssiSysRemPrkgSts_Cancel</t>
  </si>
  <si>
    <t>TMS_Enum_PrkgBrkElectcCtrlReq</t>
  </si>
  <si>
    <t>0 = PrkgBrkElectcCtrlReq_NoRequest</t>
  </si>
  <si>
    <t>1 = PrkgBrkElectcCtrlReq_ReleaseRequest</t>
  </si>
  <si>
    <t>2 = PrkgBrkElectcCtrlReq_ApplyRequest</t>
  </si>
  <si>
    <t>3 = PrkgBrkElectcCtrlReq_Reserved</t>
  </si>
  <si>
    <t>TMS_Enum_PrkgCtrlCal</t>
  </si>
  <si>
    <t>0 = PrkgCtrlCal_Inactive</t>
  </si>
  <si>
    <t>1 = PrkgCtrlCal_Crusing</t>
  </si>
  <si>
    <t>2 = PrkgCtrlCal_Parking</t>
  </si>
  <si>
    <t>3 = PrkgCtrlCal_Reserved1</t>
  </si>
  <si>
    <t>4 = PrkgCtrlCal_Reserved2</t>
  </si>
  <si>
    <t>5 = PrkgCtrlCal_Reserved3</t>
  </si>
  <si>
    <t>6 = PrkgCtrlCal_Reserved4</t>
  </si>
  <si>
    <t>7 = PrkgCtrlCal_Reserved5</t>
  </si>
  <si>
    <t>TMS_Enum_PrkgDstCtrlSysSts</t>
  </si>
  <si>
    <t>0 = PrkgDstCtrlSysSts_Off</t>
  </si>
  <si>
    <t>1 = PrkgDstCtrlSysSts_Standby</t>
  </si>
  <si>
    <t>2 = PrkgDstCtrlSysSts_FrontRearActive</t>
  </si>
  <si>
    <t>3 = PrkgDstCtrlSysSts_FrontActive</t>
  </si>
  <si>
    <t>4 = PrkgDstCtrlSysSts_RearActive</t>
  </si>
  <si>
    <t>5 = PrkgDstCtrlSysSts_SystemFailure</t>
  </si>
  <si>
    <t>6 = PrkgDstCtrlSysSts_Inhibited</t>
  </si>
  <si>
    <t>7 = PrkgDstCtrlSysSts_Initialize</t>
  </si>
  <si>
    <t>8 = PrkgDstCtrlSysSts_Covered</t>
  </si>
  <si>
    <t>9 = PrkgDstCtrlSysSts_FrontActiveTrailerMode</t>
  </si>
  <si>
    <t>10 = PrkgDstCtrlSysSts_Reserved1</t>
  </si>
  <si>
    <t>11 = PrkgDstCtrlSysSts_Reserved2</t>
  </si>
  <si>
    <t>12 = PrkgDstCtrlSysSts_Reserved3</t>
  </si>
  <si>
    <t>13 = PrkgDstCtrlSysSts_Reserved4</t>
  </si>
  <si>
    <t>14 = PrkgDstCtrlSysSts_Reserved5</t>
  </si>
  <si>
    <t>15 = PrkgDstCtrlSysSts_Reserved6</t>
  </si>
  <si>
    <t>TMS_Enum_PrkLatLgtFail</t>
  </si>
  <si>
    <t>0 = PrkLatLgtFail_NoFailure</t>
  </si>
  <si>
    <t>1 = PrkLatLgtFail_SteeringFailure</t>
  </si>
  <si>
    <t>2 = PrkLatLgtFail_BrakeFailure</t>
  </si>
  <si>
    <t>3 = PrkLatLgtFail_PropulsionFailure</t>
  </si>
  <si>
    <t>4 = PrkLatLgtFail_RBUFailure</t>
  </si>
  <si>
    <t>5 = PrkLatLgtFail_CommunicationFailure</t>
  </si>
  <si>
    <t>6 = PrkLatLgtFail_VDSWInternalFailure</t>
  </si>
  <si>
    <t>7 = PrkLatLgtFail_RWSFailure</t>
  </si>
  <si>
    <t>TMS_Enum_PrpsnActvnSt</t>
  </si>
  <si>
    <t>0 = PrpsnActvnSt_Undefined</t>
  </si>
  <si>
    <t>1 = PrpsnActvnSt_PrpsnDi</t>
  </si>
  <si>
    <t>2 = PrpsnActvnSt_PrpsnEnad</t>
  </si>
  <si>
    <t>TMS_Enum_PsdNotPsd</t>
  </si>
  <si>
    <t>0 = PsdNotPsd_NotPsd</t>
  </si>
  <si>
    <t>1 = PsdNotPsd_Psd</t>
  </si>
  <si>
    <t>TMS_Enum_PsdNotPsd1</t>
  </si>
  <si>
    <t>0 = PsdNotPsd1_NotPsd</t>
  </si>
  <si>
    <t>1 = PsdNotPsd1_Psd</t>
  </si>
  <si>
    <t>TMS_Enum_PsdNotPsd2</t>
  </si>
  <si>
    <t>0 = PsdNotPsd2_NoInfo1</t>
  </si>
  <si>
    <t>1 = PsdNotPsd2_NotPsd</t>
  </si>
  <si>
    <t>2 = PsdNotPsd2_Psd</t>
  </si>
  <si>
    <t>3 = PsdNotPsd2_NoInfo2</t>
  </si>
  <si>
    <t>TMS_Enum_PsdNotPsd3</t>
  </si>
  <si>
    <t>0 = PsdNotPsd3_NoInfo1</t>
  </si>
  <si>
    <t>1 = PsdNotPsd3_Psd</t>
  </si>
  <si>
    <t>2 = PsdNotPsd3_NotPsd</t>
  </si>
  <si>
    <t>3 = PsdNotPsd3_NoInfo2</t>
  </si>
  <si>
    <t>TMS_Enum_PtActvnReq1</t>
  </si>
  <si>
    <t>0 = PtActvnReq1_NoPtActvnReq</t>
  </si>
  <si>
    <t>1 = PtActvnReq1_PtActvnReq</t>
  </si>
  <si>
    <t>2 = PtActvnReq1_PtActvnReqRem</t>
  </si>
  <si>
    <t>3 = PtActvnReq1_PtActvnNotDriving</t>
  </si>
  <si>
    <t>TMS_Enum_PtAllwdToTrsmActr1</t>
  </si>
  <si>
    <t>0 = PtAllwdToTrsmActr1_NotAllwd1</t>
  </si>
  <si>
    <t>1 = PtAllwdToTrsmActr1_RvsAllwd</t>
  </si>
  <si>
    <t>2 = PtAllwdToTrsmActr1_RvsNotAllwd</t>
  </si>
  <si>
    <t>3 = PtAllwdToTrsmActr1_NotAllwd2</t>
  </si>
  <si>
    <t>4 = PtAllwdToTrsmActr1_ParkRelsAllwd</t>
  </si>
  <si>
    <t>5 = PtAllwdToTrsmActr1_RvsAllwdAndParkRelsAllwd</t>
  </si>
  <si>
    <t>6 = PtAllwdToTrsmActr1_RvsNotAllwdAndParkRelsAllwd</t>
  </si>
  <si>
    <t>7 = PtAllwdToTrsmActr1_NotAllwd3</t>
  </si>
  <si>
    <t>8 = PtAllwdToTrsmActr1_ParkRelsNotAllwd</t>
  </si>
  <si>
    <t>9 = PtAllwdToTrsmActr1_RvsAllwdAndParkRelsNotAllwd</t>
  </si>
  <si>
    <t>10 = PtAllwdToTrsmActr1_RvsNotAllwdAndParkRelsNotAllwd</t>
  </si>
  <si>
    <t>11 = PtAllwdToTrsmActr1_NotAllwd4</t>
  </si>
  <si>
    <t>12 = PtAllwdToTrsmActr1_NotAllwd5</t>
  </si>
  <si>
    <t>13 = PtAllwdToTrsmActr1_NotAllwd6</t>
  </si>
  <si>
    <t>14 = PtAllwdToTrsmActr1_NotAllwd7</t>
  </si>
  <si>
    <t>15 = PtAllwdToTrsmActr1_NotAllwd8</t>
  </si>
  <si>
    <t>TMS_Enum_PTCModeReq</t>
  </si>
  <si>
    <t>0 = PTCModeReq_Power</t>
  </si>
  <si>
    <t>1 = PTCModeReq_Duty</t>
  </si>
  <si>
    <t>2 = PTCModeReq_Direct</t>
  </si>
  <si>
    <t>TMS_Enum_PTCPwrDerating</t>
  </si>
  <si>
    <t>0 = PTCPwrDerating_Reserved</t>
  </si>
  <si>
    <t>1 = PTCPwrDerating_PCBovertempderatingpower</t>
  </si>
  <si>
    <t>2 = PTCPwrDerating_IGBTovertempderatingpower</t>
  </si>
  <si>
    <t>3 = PTCPwrDerating_COREovertempderatingpower</t>
  </si>
  <si>
    <t>4 = PTCPwrDerating_SHUNTovertempderatingpower</t>
  </si>
  <si>
    <t>TMS_Enum_PumpFltSts</t>
  </si>
  <si>
    <t>0 = PumpFltSts_No_Error</t>
  </si>
  <si>
    <t>1 = PumpFltSts_Short_to_battery</t>
  </si>
  <si>
    <t>2 = PumpFltSts_Short_to_GND</t>
  </si>
  <si>
    <t>3 = PumpFltSts_Open_circuit</t>
  </si>
  <si>
    <t>4 = PumpFltSts_Over_temperature</t>
  </si>
  <si>
    <t>5 = PumpFltSts_Over_voltage</t>
  </si>
  <si>
    <t>6 = PumpFltSts_Stuck</t>
  </si>
  <si>
    <t>7 = PumpFltSts_DryRun</t>
  </si>
  <si>
    <t>8 = PumpFltSts_Pending</t>
  </si>
  <si>
    <t>TMS_Enum_PUnit</t>
  </si>
  <si>
    <t>0 = PUnit_Pa</t>
  </si>
  <si>
    <t>1 = PUnit_Psi</t>
  </si>
  <si>
    <t>2 = PUnit_Bar</t>
  </si>
  <si>
    <t>3 = PUnit_Atm</t>
  </si>
  <si>
    <t>4 = PUnit_UkwnUnit</t>
  </si>
  <si>
    <t>TMS_Enum_PWarnFlg</t>
  </si>
  <si>
    <t>0 = PWarnFlg_Normal</t>
  </si>
  <si>
    <t>1 = PWarnFlg_LowPressureWarning</t>
  </si>
  <si>
    <t>2 = PWarnFlg_HighPressureWarning</t>
  </si>
  <si>
    <t>3 = PWarnFlg_Reserve</t>
  </si>
  <si>
    <t>TMS_Enum_PwrCnsUnit</t>
  </si>
  <si>
    <t>0 = PwrCnsUnit_KWhPer100Km</t>
  </si>
  <si>
    <t>1 = PwrCnsUnit_KWhPer100Mile</t>
  </si>
  <si>
    <t>TMS_Enum_PwrDegradedSts</t>
  </si>
  <si>
    <t>0 = PwrDegradedSts_Default</t>
  </si>
  <si>
    <t>1 = PwrDegradedSts_OBCOverT</t>
  </si>
  <si>
    <t>2 = PwrDegradedSts_ChrgrOverT</t>
  </si>
  <si>
    <t>3 = PwrDegradedSts_HndlLockgFlt</t>
  </si>
  <si>
    <t>4 = PwrDegradedSts_IntElecFlt</t>
  </si>
  <si>
    <t>5 = PwrDegradedSts_OBCCoolingOverT</t>
  </si>
  <si>
    <t>6 = PwrDegradedSts_OBCLowT</t>
  </si>
  <si>
    <t>15 = PwrDegradedSts_Reserved</t>
  </si>
  <si>
    <t>7 = PwrDegradedSts_Reserved1</t>
  </si>
  <si>
    <t>8 = PwrDegradedSts_Reserved2</t>
  </si>
  <si>
    <t>TMS_Enum_PwrDoorWarn</t>
  </si>
  <si>
    <t>0 = PwrDoorWarn_NoWarn</t>
  </si>
  <si>
    <t>1 = PwrDoorWarn_AntiPnchWarn</t>
  </si>
  <si>
    <t>2 = PwrDoorWarn_ObstclDetnWarn</t>
  </si>
  <si>
    <t>TMS_Enum_Qf1</t>
  </si>
  <si>
    <t>0 = Qf1_DevOfDataUndefd</t>
  </si>
  <si>
    <t>1 = Qf1_DataTmpUndefdAndEvlnInProgs</t>
  </si>
  <si>
    <t>2 = Qf1_DevOfDataNotWithinRngAllwd</t>
  </si>
  <si>
    <t>3 = Qf1_DataCalcdWithDevDefd</t>
  </si>
  <si>
    <t>TMS_Enum_QF2</t>
  </si>
  <si>
    <t>0 = QF2_Invalid</t>
  </si>
  <si>
    <t>1 = QF2_Low</t>
  </si>
  <si>
    <t>2 = QF2_High</t>
  </si>
  <si>
    <t>TMS_Enum_Qly2</t>
  </si>
  <si>
    <t>0 = Qly2_Flt</t>
  </si>
  <si>
    <t>1 = Qly2_NoInfo</t>
  </si>
  <si>
    <t>2 = Qly2_Vld</t>
  </si>
  <si>
    <t>TMS_Enum_Qly3</t>
  </si>
  <si>
    <t>0 = Qly3_De0</t>
  </si>
  <si>
    <t>1 = Qly3_De1</t>
  </si>
  <si>
    <t>2 = Qly3_De2</t>
  </si>
  <si>
    <t>3 = Qly3_De3</t>
  </si>
  <si>
    <t>4 = Qly3_De4</t>
  </si>
  <si>
    <t>5 = Qly3_De5</t>
  </si>
  <si>
    <t>6 = Qly3_De6</t>
  </si>
  <si>
    <t>7 = Qly3_De7</t>
  </si>
  <si>
    <t>TMS_Enum_Qly4</t>
  </si>
  <si>
    <t>0 = Qly4_InvalidValue</t>
  </si>
  <si>
    <t>1 = Qly4_QlyNotOkLowConfidence</t>
  </si>
  <si>
    <t>2 = Qly4_QlyOkHighConfidence</t>
  </si>
  <si>
    <t>3 = Qly4_InvalidValue2</t>
  </si>
  <si>
    <t>TMS_Enum_QualityFactor</t>
  </si>
  <si>
    <t>0 = QualityFactor_QfUndefd</t>
  </si>
  <si>
    <t>1 = QualityFactor_QfInProgs</t>
  </si>
  <si>
    <t>2 = QualityFactor_QfNotSpc</t>
  </si>
  <si>
    <t>3 = QualityFactor_QfSnsrDataOk</t>
  </si>
  <si>
    <t>TMS_Enum_RadarSts</t>
  </si>
  <si>
    <t>0 = RadarSts_NOT_INIT</t>
  </si>
  <si>
    <t>1 = RadarSts_INIT</t>
  </si>
  <si>
    <t>2 = RadarSts_STANDBY</t>
  </si>
  <si>
    <t>3 = RadarSts_ACTIVE</t>
  </si>
  <si>
    <t>4 = RadarSts_FAILURE</t>
  </si>
  <si>
    <t>5 = RadarSts_SensorBlockage</t>
  </si>
  <si>
    <t>6 = RadarSts_Reserved1</t>
  </si>
  <si>
    <t>7 = RadarSts_Reserved2</t>
  </si>
  <si>
    <t>8 = RadarSts_Reserved3</t>
  </si>
  <si>
    <t>9 = RadarSts_Reserved4</t>
  </si>
  <si>
    <t>TMS_Enum_RatUse</t>
  </si>
  <si>
    <t>0 = RatUse_NoRequest</t>
  </si>
  <si>
    <t>1 = RatUse_Low</t>
  </si>
  <si>
    <t>2 = RatUse_Mid</t>
  </si>
  <si>
    <t>3 = RatUse_High</t>
  </si>
  <si>
    <t>TMS_Enum_RdrDetnDynProp</t>
  </si>
  <si>
    <t>0 = Stationary</t>
  </si>
  <si>
    <t>1 = Moving</t>
  </si>
  <si>
    <t>TMS_Enum_RdrObjDynProp</t>
  </si>
  <si>
    <t>0 = MOVING_DYNAMICPROPERTY</t>
  </si>
  <si>
    <t>1 = STATIONARY_DYNAMICPROPERTY</t>
  </si>
  <si>
    <t>2 = ONCOMING_DYNAMICPROPERTY</t>
  </si>
  <si>
    <t>3 = CROSSING_LEFT_TO_RIGHT_DYNAMICPR</t>
  </si>
  <si>
    <t>4 = CROSSING_RIGHT_TO_LEFT_DYNAMICPR</t>
  </si>
  <si>
    <t>5 = UNKNOWN_DYNAMICPROPERTY</t>
  </si>
  <si>
    <t>6 = STOPPED_DYNAMICPROPERTY</t>
  </si>
  <si>
    <t>7 = RESERVED</t>
  </si>
  <si>
    <t>TMS_Enum_RdrObjTrackSts</t>
  </si>
  <si>
    <t>0 = RdrObjTrackSts_Invld</t>
  </si>
  <si>
    <t>1 = RdrObjTrackSts_Updated</t>
  </si>
  <si>
    <t>2 = RdrObjTrackSts_New</t>
  </si>
  <si>
    <t>3 = RdrObjTrackSts_Coasted</t>
  </si>
  <si>
    <t>TMS_Enum_RdrObjTyp</t>
  </si>
  <si>
    <t>0 = RdrObjTyp_Point</t>
  </si>
  <si>
    <t>1 = RdrObjTyp_Car</t>
  </si>
  <si>
    <t>2 = RdrObjTyp_Truck</t>
  </si>
  <si>
    <t>3 = RdrObjTyp_Pedestrian</t>
  </si>
  <si>
    <t>4 = RdrObjTyp_MotorCycle</t>
  </si>
  <si>
    <t>5 = RdrObjTyp_Bicycle</t>
  </si>
  <si>
    <t>6 = RdrObjTyp_Wide</t>
  </si>
  <si>
    <t>7 = RdrObjTyp_Reserved1</t>
  </si>
  <si>
    <t>8 = RdrObjTyp_Reserved2</t>
  </si>
  <si>
    <t>9 = RdrObjTyp_Reserved3</t>
  </si>
  <si>
    <t>10 = RdrObjTyp_Unclassified</t>
  </si>
  <si>
    <t>TMS_Enum_RdrStsCalibrationSts</t>
  </si>
  <si>
    <t>0 = CalibSts_Unknown</t>
  </si>
  <si>
    <t>1 = CalibSts_Calibrated</t>
  </si>
  <si>
    <t>2 = CalibSts_SensorMisalignmentDetected</t>
  </si>
  <si>
    <t>3 = CalibSts_CalibrationInProcess</t>
  </si>
  <si>
    <t>4 = CalibSts_NotCalibrated</t>
  </si>
  <si>
    <t>5 = CalibSts_Reserved1</t>
  </si>
  <si>
    <t>6 = CalibSts_Reserved2</t>
  </si>
  <si>
    <t>7 = CalibSts_Reserved3</t>
  </si>
  <si>
    <t>TMS_Enum_RdrStsModulationSts</t>
  </si>
  <si>
    <t>0 = Unsynchronized</t>
  </si>
  <si>
    <t>1 = TimeSyncFailure</t>
  </si>
  <si>
    <t>2 = ModulationFailure</t>
  </si>
  <si>
    <t>3 = Synchronized</t>
  </si>
  <si>
    <t>TMS_Enum_RefDrvReq</t>
  </si>
  <si>
    <t>0 = RefDrvReq_NoReq</t>
  </si>
  <si>
    <t>1 = RefDrvReq_REFDRV_Req</t>
  </si>
  <si>
    <t>2 = RefDrvReq_Reserved</t>
  </si>
  <si>
    <t>3 = RefDrvReq_SNA</t>
  </si>
  <si>
    <t>TMS_Enum_RemHvBattHeatgReq</t>
  </si>
  <si>
    <t>0 = RemHvBattHeatgReq_OFF</t>
  </si>
  <si>
    <t>1 = RemHvBattHeatgReq_ON</t>
  </si>
  <si>
    <t>TMS_Enum_ReminderWhileLock</t>
  </si>
  <si>
    <t>0 = ReminderWhileLock_IDLE</t>
  </si>
  <si>
    <t>1 = ReminderWhileLock_NOT_SET_APPROACH_LOCK_HMI</t>
  </si>
  <si>
    <t>2 = ReminderWhileLock_DOOR_CLOSE_STOP_DUR_CLOSE_BY_APPROACH</t>
  </si>
  <si>
    <t>3 = ReminderWhileLock_DOOR_CLOSE_STOP_DUR_CLOSE_BY_NFC_PE</t>
  </si>
  <si>
    <t>4 = ReminderWhileLock_KEY_FORGET_REMINDER_NFC</t>
  </si>
  <si>
    <t>TMS_Enum_RemoteHAVPFBStatus</t>
  </si>
  <si>
    <t>0 = RemoteHAVPFBStatus_Default</t>
  </si>
  <si>
    <t>1 = RemoteHAVPFBStatus_RVIAuthFail</t>
  </si>
  <si>
    <t>2 = RemoteHAVPFBStatus_Reserve1</t>
  </si>
  <si>
    <t>3 = RemoteHAVPFBStatus_Reserve2</t>
  </si>
  <si>
    <t>4 = RemoteHAVPFBStatus_Success</t>
  </si>
  <si>
    <t>TMS_Enum_RemStrtDev1</t>
  </si>
  <si>
    <t>0 = RemStrtDev1_NotRqstd</t>
  </si>
  <si>
    <t>1 = RemStrtDev1_RqstdByKey</t>
  </si>
  <si>
    <t>2 = RemStrtDev1_RqstdByTelm</t>
  </si>
  <si>
    <t>3 = RemStrtDev1_Resd</t>
  </si>
  <si>
    <t>TMS_Enum_RemStrtMsgBlkd1</t>
  </si>
  <si>
    <t>0 = RemStrtMsgBlkd1_NoFailr</t>
  </si>
  <si>
    <t>1 = RemStrtMsgBlkd1_LoBatt</t>
  </si>
  <si>
    <t>2 = RemStrtMsgBlkd1_GearLvrNotInP</t>
  </si>
  <si>
    <t>3 = RemStrtMsgBlkd1_LoFuLvl</t>
  </si>
  <si>
    <t>4 = RemStrtMsgBlkd1_KeyInVeh</t>
  </si>
  <si>
    <t>5 = RemStrtMsgBlkd1_NrOfClimaLim</t>
  </si>
  <si>
    <t>6 = RemStrtMsgBlkd1_BrkPedlPsd</t>
  </si>
  <si>
    <t>7 = RemStrtMsgBlkd1_EngFlt</t>
  </si>
  <si>
    <t>8 = RemStrtMsgBlkd1_HoodOpend</t>
  </si>
  <si>
    <t>9 = RemStrtMsgBlkd1_ImobActvd</t>
  </si>
  <si>
    <t>TMS_Enum_RemVentWarningSts</t>
  </si>
  <si>
    <t>0 = RemVentWarningSts_NoErr</t>
  </si>
  <si>
    <t>1 = RemVentWarningSts_Err</t>
  </si>
  <si>
    <t>2 = RemVentWarningSts_PwrNotAllwd</t>
  </si>
  <si>
    <t>3 = RemVentWarningSts_EgyNotAllwd</t>
  </si>
  <si>
    <t>TMS_Enum_ReqForPassAirbIndcnAckd</t>
  </si>
  <si>
    <t>0 = ReqForPassAirbIndcnAckd_Idle</t>
  </si>
  <si>
    <t>1 = ReqForPassAirbIndcnAckd_MsgAckd</t>
  </si>
  <si>
    <t>TMS_Enum_ReqFragLvlTelm</t>
  </si>
  <si>
    <t>0 = ReqFragLvl_OFF</t>
  </si>
  <si>
    <t>1 = ReqFragLvl_Level1</t>
  </si>
  <si>
    <t>2 = ReqFragLvl_Level2</t>
  </si>
  <si>
    <t>3 = ReqFragLvl_Level3</t>
  </si>
  <si>
    <t>TMS_Enum_ReqSts1</t>
  </si>
  <si>
    <t>0 = ReqSts1_NotReqd</t>
  </si>
  <si>
    <t>1 = ReqSts1_Reqd</t>
  </si>
  <si>
    <t>TMS_Enum_ReqSts2</t>
  </si>
  <si>
    <t>0 = ReqSts2_Default</t>
  </si>
  <si>
    <t>1 = ReqSts2_NotReqd</t>
  </si>
  <si>
    <t>2 = ReqSts2_Reqd</t>
  </si>
  <si>
    <t>3 = ReqSts2_Reserved</t>
  </si>
  <si>
    <t>TMS_Enum_ReqStsSteer</t>
  </si>
  <si>
    <t>0 = ReqStsSteer_NoReq</t>
  </si>
  <si>
    <t>1 = ReqStsSteer_ParkReq</t>
  </si>
  <si>
    <t>2 = ReqStsSteer_EvasiveReq</t>
  </si>
  <si>
    <t>3 = ReqStsSteer_Spare01</t>
  </si>
  <si>
    <t>TMS_Enum_RestrntSysLampReq</t>
  </si>
  <si>
    <t>0 = RestrntSysLampReq_LampOff</t>
  </si>
  <si>
    <t>1 = RestrntSysLampReq_Ukwn</t>
  </si>
  <si>
    <t>2 = RestrntSysLampReq_LampFlash</t>
  </si>
  <si>
    <t>3 = RestrntSysLampReq_LampOn</t>
  </si>
  <si>
    <t>TMS_Enum_RiLeTyp</t>
  </si>
  <si>
    <t>0 = RiLeTyp_Right</t>
  </si>
  <si>
    <t>1 = RiLeTyp_Left</t>
  </si>
  <si>
    <t>TMS_Enum_RiseOrFallControl</t>
  </si>
  <si>
    <t>0 = RiseOrFallControl_stop</t>
  </si>
  <si>
    <t>1 = RiseOrFallControl_Rise</t>
  </si>
  <si>
    <t>2 = RiseOrFallControl_fall</t>
  </si>
  <si>
    <t>3 = RiseOrFallControl_reserved</t>
  </si>
  <si>
    <t>TMS_Enum_RPAReqJIDU</t>
  </si>
  <si>
    <t>0 = RPAReqJIDU_NoRequest</t>
  </si>
  <si>
    <t>1 = RPAReqJIDU_RPA_Start_Request</t>
  </si>
  <si>
    <t>2 = RPAReqJIDU_APA_Quit_Request</t>
  </si>
  <si>
    <t>3 = RPAReqJIDU_ParkOutMod_Request</t>
  </si>
  <si>
    <t>4 = RPAReqJIDU_APA_ParkOut_Request</t>
  </si>
  <si>
    <t>5 = RPAReqJIDU_Park_Out_Front_Left</t>
  </si>
  <si>
    <t>6 = RPAReqJIDU_Park_Out_Front_Right</t>
  </si>
  <si>
    <t>7 = RPAReqJIDU_Park_Out_Rear_Left</t>
  </si>
  <si>
    <t>8 = RPAReqJIDU_Park_Out_Rear_Right</t>
  </si>
  <si>
    <t>9 = RPAReqJIDU_Park_Out_Left_Front</t>
  </si>
  <si>
    <t>10 = RPAReqJIDU_Park_Out_Right_Front</t>
  </si>
  <si>
    <t>11 = RPAReqJIDU_APA_Pausing_Request</t>
  </si>
  <si>
    <t>12 = RPAReqJIDU_APA_Continue_Request</t>
  </si>
  <si>
    <t>13 = RPAReqJIDU_Quit_Because_Mobile_Device_Power_Low</t>
  </si>
  <si>
    <t>14 = RPAReqJIDU_Park_Out_Front</t>
  </si>
  <si>
    <t>15 = RPAReqJIDU_Park_Out_Rear</t>
  </si>
  <si>
    <t>TMS_Enum_S2Sts</t>
  </si>
  <si>
    <t>0 = S2Sts_Default</t>
  </si>
  <si>
    <t>1 = S2Sts_Open</t>
  </si>
  <si>
    <t>2 = S2Sts_Closed</t>
  </si>
  <si>
    <t>3 = S2Sts_Reserved</t>
  </si>
  <si>
    <t>TMS_Enum_ScreenICSts</t>
  </si>
  <si>
    <t>0 = ScreenICSts_All_IC_Ok</t>
  </si>
  <si>
    <t>1 = ScreenICSts_Fault1</t>
  </si>
  <si>
    <t>2 = ScreenICSts_Fault2</t>
  </si>
  <si>
    <t>3 = ScreenICSts_Fault3</t>
  </si>
  <si>
    <t>4 = ScreenICSts_Fault4</t>
  </si>
  <si>
    <t>5 = ScreenICSts_Fault5</t>
  </si>
  <si>
    <t>6 = ScreenICSts_Fault6</t>
  </si>
  <si>
    <t>7 = ScreenICSts_Fault7</t>
  </si>
  <si>
    <t>8 = ScreenICSts_Fault8</t>
  </si>
  <si>
    <t>9 = ScreenICSts_Fault9</t>
  </si>
  <si>
    <t>10 = ScreenICSts_Fault10</t>
  </si>
  <si>
    <t>11 = ScreenICSts_Fault11</t>
  </si>
  <si>
    <t>12 = ScreenICSts_Fault12</t>
  </si>
  <si>
    <t>13 = ScreenICSts_Fault13</t>
  </si>
  <si>
    <t>14 = ScreenICSts_Fault14</t>
  </si>
  <si>
    <t>15 = ScreenICSts_Fault15</t>
  </si>
  <si>
    <t>16 = ScreenICSts_Fault16</t>
  </si>
  <si>
    <t>17 = ScreenICSts_Fault17</t>
  </si>
  <si>
    <t>18 = ScreenICSts_Fault18</t>
  </si>
  <si>
    <t>19 = ScreenICSts_Fault19</t>
  </si>
  <si>
    <t>20 = ScreenICSts_Fault20</t>
  </si>
  <si>
    <t>21 = ScreenICSts_Fault21</t>
  </si>
  <si>
    <t>22 = ScreenICSts_Fault22</t>
  </si>
  <si>
    <t>23 = ScreenICSts_Fault23</t>
  </si>
  <si>
    <t>24 = ScreenICSts_Fault24</t>
  </si>
  <si>
    <t>25 = ScreenICSts_Fault25</t>
  </si>
  <si>
    <t>26 = ScreenICSts_Fault26</t>
  </si>
  <si>
    <t>27 = ScreenICSts_Fault27</t>
  </si>
  <si>
    <t>28 = ScreenICSts_Fault28</t>
  </si>
  <si>
    <t>29 = ScreenICSts_Fault29</t>
  </si>
  <si>
    <t>30 = ScreenICSts_Fault30</t>
  </si>
  <si>
    <t>31 = ScreenICSts_Fault31</t>
  </si>
  <si>
    <t>32 = ScreenICSts_Fault32</t>
  </si>
  <si>
    <t>33 = ScreenICSts_Fault33</t>
  </si>
  <si>
    <t>34 = ScreenICSts_Fault34</t>
  </si>
  <si>
    <t>35 = ScreenICSts_Fault35</t>
  </si>
  <si>
    <t>36 = ScreenICSts_Fault36</t>
  </si>
  <si>
    <t>37 = ScreenICSts_Fault37</t>
  </si>
  <si>
    <t>38 = ScreenICSts_Fault38</t>
  </si>
  <si>
    <t>39 = ScreenICSts_Fault39</t>
  </si>
  <si>
    <t>40 = ScreenICSts_Fault40</t>
  </si>
  <si>
    <t>41 = ScreenICSts_Fault41</t>
  </si>
  <si>
    <t>42 = ScreenICSts_Fault42</t>
  </si>
  <si>
    <t>43 = ScreenICSts_Fault43</t>
  </si>
  <si>
    <t>44 = ScreenICSts_Fault44</t>
  </si>
  <si>
    <t>45 = ScreenICSts_Fault45</t>
  </si>
  <si>
    <t>46 = ScreenICSts_Fault46</t>
  </si>
  <si>
    <t>47 = ScreenICSts_Fault47</t>
  </si>
  <si>
    <t>48 = ScreenICSts_Fault48</t>
  </si>
  <si>
    <t>49 = ScreenICSts_Fault49</t>
  </si>
  <si>
    <t>50 = ScreenICSts_Fault50</t>
  </si>
  <si>
    <t>51 = ScreenICSts_Fault51</t>
  </si>
  <si>
    <t>52 = ScreenICSts_Fault52</t>
  </si>
  <si>
    <t>53 = ScreenICSts_Fault53</t>
  </si>
  <si>
    <t>54 = ScreenICSts_Fault54</t>
  </si>
  <si>
    <t>55 = ScreenICSts_Fault55</t>
  </si>
  <si>
    <t>56 = ScreenICSts_Fault56</t>
  </si>
  <si>
    <t>57 = ScreenICSts_Fault57</t>
  </si>
  <si>
    <t>58 = ScreenICSts_Fault58</t>
  </si>
  <si>
    <t>59 = ScreenICSts_Fault59</t>
  </si>
  <si>
    <t>60 = ScreenICSts_Fault60</t>
  </si>
  <si>
    <t>61 = ScreenICSts_Fault61</t>
  </si>
  <si>
    <t>62 = ScreenICSts_Fault62</t>
  </si>
  <si>
    <t>63 = ScreenICSts_All_IC_Fault</t>
  </si>
  <si>
    <t>TMS_Enum_SeatActvSpplFct1</t>
  </si>
  <si>
    <t>0 = SeatActvSpplFct1_NotAvl</t>
  </si>
  <si>
    <t>1 = SeatActvSpplFct1_LumExtnAndLumHei</t>
  </si>
  <si>
    <t>2 = SeatActvSpplFct1_BackBlster</t>
  </si>
  <si>
    <t>3 = SeatActvSpplFct1_CushExtn</t>
  </si>
  <si>
    <t>4 = SeatActvSpplFct1_HdrestHeiAndHdrestTilt</t>
  </si>
  <si>
    <t>5 = SeatActvSpplFct1_MassgFct</t>
  </si>
  <si>
    <t>6 = SeatActvSpplFct1_ShoulderFct</t>
  </si>
  <si>
    <t>7 = SeatActvSpplFct1_LegrestFct</t>
  </si>
  <si>
    <t>TMS_Enum_SeatClimaLvl</t>
  </si>
  <si>
    <t>0 = SeatClimaLvl_Off</t>
  </si>
  <si>
    <t>1 = SeatClimaLvl_Lvl1</t>
  </si>
  <si>
    <t>2 = SeatClimaLvl_Lvl2</t>
  </si>
  <si>
    <t>3 = SeatClimaLvl_Lvl3</t>
  </si>
  <si>
    <t>TMS_Enum_SeatHeatDurgClimaEnad2</t>
  </si>
  <si>
    <t>0 = SeatHeatDurgClimaEnad2_SeatHeatOff</t>
  </si>
  <si>
    <t>1 = SeatHeatDurgClimaEnad2_SeatDrvOn</t>
  </si>
  <si>
    <t>2 = SeatHeatDurgClimaEnad2_SeatPassOn</t>
  </si>
  <si>
    <t>3 = SeatHeatDurgClimaEnad2_SeatDrvrAndPass</t>
  </si>
  <si>
    <t>4 = SeatHeatDurgClimaEnad2_SeatLeftRearOn</t>
  </si>
  <si>
    <t>5 = SeatHeatDurgClimaEnad2_SeatRightRearOn</t>
  </si>
  <si>
    <t>TMS_Enum_SetSpdSts</t>
  </si>
  <si>
    <t>0 = SetSpdSts_Unknown</t>
  </si>
  <si>
    <t>1 = SetSpdSts_ManuallySet</t>
  </si>
  <si>
    <t>2 = SetSpdSts_AutomaticallySet</t>
  </si>
  <si>
    <t>3 = SetSpdSts_Reserved</t>
  </si>
  <si>
    <t>TMS_Enum_ShortDrop</t>
  </si>
  <si>
    <t>0 = ShortDrop_Idle</t>
  </si>
  <si>
    <t>1 = ShortDrop_Close</t>
  </si>
  <si>
    <t>2 = ShortDrop_Open</t>
  </si>
  <si>
    <t>TMS_Enum_ShortDropSts</t>
  </si>
  <si>
    <t>0 = ShortDropSts_Idle</t>
  </si>
  <si>
    <t>1 = ShortDropSts_WindowDown</t>
  </si>
  <si>
    <t>2 = ShortDropSts_WindowClosed</t>
  </si>
  <si>
    <t>3 = ShortDropSts_NotUsed</t>
  </si>
  <si>
    <t>TMS_Enum_ShttrActrFlt</t>
  </si>
  <si>
    <t>0 = ShttrActrFlt_ShttrActrNoFlt</t>
  </si>
  <si>
    <t>1 = ShttrActrFlt_ShttrActrFlt</t>
  </si>
  <si>
    <t>TMS_Enum_ShttrBlkd</t>
  </si>
  <si>
    <t>0 = ShttrBlkd_ShttrNotBlkd</t>
  </si>
  <si>
    <t>1 = ShttrBlkd_ShttrBlkd</t>
  </si>
  <si>
    <t>TMS_Enum_ShttrCalActv</t>
  </si>
  <si>
    <t>0 = ShttrCalActv_NotActv</t>
  </si>
  <si>
    <t>1 = ShttrCalActv_Actv</t>
  </si>
  <si>
    <t>TMS_Enum_ShttrCalEna</t>
  </si>
  <si>
    <t>0 = ShttrCalEna_ShttrCalNotEnad</t>
  </si>
  <si>
    <t>1 = ShttrCalEna_ShttrCalEnad</t>
  </si>
  <si>
    <t>TMS_Enum_ShttrCalIndcd</t>
  </si>
  <si>
    <t>0 = ShttrCalIndcd_ShttrCalNotIndcd</t>
  </si>
  <si>
    <t>1 = ShttrCalIndcd_ShttrCalIndcd</t>
  </si>
  <si>
    <t>TMS_Enum_ShttrElecErr</t>
  </si>
  <si>
    <t>0 = ShttrElecErr_ShttrNoElecErr</t>
  </si>
  <si>
    <t>1 = ShttrElecErr_ShttrElecErr</t>
  </si>
  <si>
    <t>TMS_Enum_ShttrSnsrFlt</t>
  </si>
  <si>
    <t>0 = ShttrSnsrFlt_ShttrSnsrNoFlt</t>
  </si>
  <si>
    <t>1 = ShttrSnsrFlt_ShttrSnsrFlt</t>
  </si>
  <si>
    <t>TMS_Enum_ShttrTErr</t>
  </si>
  <si>
    <t>0 = ShttrTErr_ShttrTNoErr</t>
  </si>
  <si>
    <t>1 = ShttrTErr_ShttrTErr</t>
  </si>
  <si>
    <t>TMS_Enum_ShttrULoErr</t>
  </si>
  <si>
    <t>0 = ShttrULoErr_ShttrNoULoErr</t>
  </si>
  <si>
    <t>1 = ShttrULoErr_ShttrULoErr</t>
  </si>
  <si>
    <t>TMS_Enum_SnsrFltOfPrkgDstCtrl2</t>
  </si>
  <si>
    <t>0 = SnsrFltOfPrkgDstCtrl2_NoFault</t>
  </si>
  <si>
    <t>1 = SnsrFltOfPrkgDstCtrl2_Front_USS_Fault</t>
  </si>
  <si>
    <t>2 = SnsrFltOfPrkgDstCtrl2_Rear_USS_Fault</t>
  </si>
  <si>
    <t>3 = SnsrFltOfPrkgDstCtrl2_Front_and_Rear_USS_Fault</t>
  </si>
  <si>
    <t>4 = SnsrFltOfPrkgDstCtrl2_Reserve1</t>
  </si>
  <si>
    <t>5 = SnsrFltOfPrkgDstCtrl2_Reserve2</t>
  </si>
  <si>
    <t>6 = SnsrFltOfPrkgDstCtrl2_Reserve3</t>
  </si>
  <si>
    <t>7 = SnsrFltOfPrkgDstCtrl2_Reserve4</t>
  </si>
  <si>
    <t>TMS_Enum_SnsrInclnFailr</t>
  </si>
  <si>
    <t>0 = SnsrInclnFailr_NoFailr</t>
  </si>
  <si>
    <t>1 = SnsrInclnFailr_Failr</t>
  </si>
  <si>
    <t>TMS_Enum_SnsrIntrScanrFailr</t>
  </si>
  <si>
    <t>0 = SnsrIntrScanrFailr_NoFailr</t>
  </si>
  <si>
    <t>1 = SnsrIntrScanrFailr_Failr</t>
  </si>
  <si>
    <t>TMS_Enum_SnsrSoundrBattBackedFailr</t>
  </si>
  <si>
    <t>0 = SnsrSoundrBattBackedFailr_NoFailr</t>
  </si>
  <si>
    <t>1 = SnsrSoundrBattBackedFailr_Failr</t>
  </si>
  <si>
    <t>TMS_Enum_SnsrSrc1</t>
  </si>
  <si>
    <t>0 = SnsrSrc1_Ukwn</t>
  </si>
  <si>
    <t>1 = SnsrSrc1_Radar</t>
  </si>
  <si>
    <t>2 = SnsrSrc1_Cam</t>
  </si>
  <si>
    <t>3 = SnsrSrc1_Fusn</t>
  </si>
  <si>
    <t>TMS_Enum_SOHSts</t>
  </si>
  <si>
    <t>0 = SOHSts_Not_Learned</t>
  </si>
  <si>
    <t>1 = SOHSts_Learned</t>
  </si>
  <si>
    <t>3 = SOHSts_Invalid</t>
  </si>
  <si>
    <t>TMS_Enum_Sorroundlvl</t>
  </si>
  <si>
    <t>0 = SurroundLvl_low</t>
  </si>
  <si>
    <t>1 = SurroundLvl_mid</t>
  </si>
  <si>
    <t>2 = SurroundLvl_high</t>
  </si>
  <si>
    <t>TMS_Enum_SoundEffect</t>
  </si>
  <si>
    <t>0 = SoundEffect_beats</t>
  </si>
  <si>
    <t>1 = SoundEffect_EQ1</t>
  </si>
  <si>
    <t>2 = SoundEffect_EQ2</t>
  </si>
  <si>
    <t>3 = SoundEffect_EQ3</t>
  </si>
  <si>
    <t>4 = SoundEffect_customer</t>
  </si>
  <si>
    <t>5 = SoundEffect_reserved1</t>
  </si>
  <si>
    <t>6 = SoundEffect_reserved2</t>
  </si>
  <si>
    <t>7 = SoundEffect_reserved3</t>
  </si>
  <si>
    <t>TMS_Enum_SoundField</t>
  </si>
  <si>
    <t>0 = SoundField_all</t>
  </si>
  <si>
    <t>1 = SoundField_Front</t>
  </si>
  <si>
    <t>2 = SoundField_Drive</t>
  </si>
  <si>
    <t>TMS_Enum_SpdLvlReq</t>
  </si>
  <si>
    <t>0 = SpdLvlReq_Level0_Slow</t>
  </si>
  <si>
    <t>1 = SpdLvlReq_Level1_Normal</t>
  </si>
  <si>
    <t>2 = SpdLvlReq_Level2_Fast</t>
  </si>
  <si>
    <t>3 = SpdLvlReq_SNA</t>
  </si>
  <si>
    <t>TMS_Enum_SpdUnit1</t>
  </si>
  <si>
    <t>0 = SpdUnit1_KiloMtrPerHr</t>
  </si>
  <si>
    <t>1 = SpdUnit1_MilePerHr</t>
  </si>
  <si>
    <t>TMS_Enum_SpeedLvl</t>
  </si>
  <si>
    <t>0 = SpeedLvl_SpeedLevelLow</t>
  </si>
  <si>
    <t>1 = SpeedLvl_SpeedLevelNormal</t>
  </si>
  <si>
    <t>2 = SpeedLvl_SpeedLevelFast</t>
  </si>
  <si>
    <t>3 = SpeedLvl_SNA</t>
  </si>
  <si>
    <t>TMS_Enum_StandStillMgrStsForHld1</t>
  </si>
  <si>
    <t>0 = StandStillMgrStsForHld1_StandStillMgrStsForHldVal0</t>
  </si>
  <si>
    <t>1 = StandStillMgrStsForHld1_StandStillMgrStsForHldVal1</t>
  </si>
  <si>
    <t>2 = StandStillMgrStsForHld1_StandStillMgrStsForHldVal2</t>
  </si>
  <si>
    <t>3 = StandStillMgrStsForHld1_StandStillMgrStsForHldVal3</t>
  </si>
  <si>
    <t>4 = StandStillMgrStsForHld1_StandStillMgrStsForHldVal4</t>
  </si>
  <si>
    <t>5 = StandStillMgrStsForHld1_StandStillMgrStsForHldVal5</t>
  </si>
  <si>
    <t>6 = StandStillMgrStsForHld1_StandStillMgrStsForHldVal6</t>
  </si>
  <si>
    <t>7 = StandStillMgrStsForHld1_StandStillMgrStsForHldVal7</t>
  </si>
  <si>
    <t>TMS_Enum_StandStillMgrStsForPark1</t>
  </si>
  <si>
    <t>0 = StandStillMgrStsForPark1_ParkNotReqd</t>
  </si>
  <si>
    <t>1 = StandStillMgrStsForPark1_ParkReqdByDrvr</t>
  </si>
  <si>
    <t>2 = StandStillMgrStsForPark1_ParkReqdAutByHldTiExcd</t>
  </si>
  <si>
    <t>3 = StandStillMgrStsForPark1_ParkReqdAut</t>
  </si>
  <si>
    <t>TMS_Enum_StandStillMgrStsForPark2</t>
  </si>
  <si>
    <t>0 = StandStillMgrStsForPark2_ParkNotReqd</t>
  </si>
  <si>
    <t>1 = StandStillMgrStsForPark2_ParkReqdByDrvr</t>
  </si>
  <si>
    <t>2 = StandStillMgrStsForPark2_ParkReqdAutByHldTiExcd</t>
  </si>
  <si>
    <t>3 = StandStillMgrStsForPark2_ParkReqdAut</t>
  </si>
  <si>
    <t>4 = StandStillMgrStsForPark2_ParkNotAvl</t>
  </si>
  <si>
    <t>TMS_Enum_StaticIssue</t>
  </si>
  <si>
    <t>0 = StaticIssue_Idle</t>
  </si>
  <si>
    <t>1 = StaticIssue_NotCorrect</t>
  </si>
  <si>
    <t>TMS_Enum_Status</t>
  </si>
  <si>
    <t>0 = Status_Idle</t>
  </si>
  <si>
    <t>1 = Status_Failure</t>
  </si>
  <si>
    <t>2 = Status_Succeed</t>
  </si>
  <si>
    <t>TMS_Enum_SteerAsscLvl</t>
  </si>
  <si>
    <t>0 = SteerAsscLvl_Ukwn</t>
  </si>
  <si>
    <t>1 = SteerAsscLvl_Lvl1</t>
  </si>
  <si>
    <t>2 = SteerAsscLvl_Lvl2</t>
  </si>
  <si>
    <t>3 = SteerAsscLvl_Lvl3</t>
  </si>
  <si>
    <t>4 = SteerAsscLvl_Lvl4</t>
  </si>
  <si>
    <t>5 = SteerAsscLvl_Resd5</t>
  </si>
  <si>
    <t>6 = SteerAsscLvl_Resd6</t>
  </si>
  <si>
    <t>7 = SteerAsscLvl_Resd7</t>
  </si>
  <si>
    <t>TMS_Enum_SteerErrReq3</t>
  </si>
  <si>
    <t>0 = SteerErrReq3_NoReq</t>
  </si>
  <si>
    <t>1 = SteerErrReq3_SteerAssiSrvRqrd</t>
  </si>
  <si>
    <t>2 = SteerErrReq3_SteerErrStopSfty</t>
  </si>
  <si>
    <t>3 = SteerErrReq3_SteerAssiUrgentSrvRqrd</t>
  </si>
  <si>
    <t>4 = SteerErrReq3_SteerAssiTmpRedn</t>
  </si>
  <si>
    <t>5 = SteerErrReq3_Spare01</t>
  </si>
  <si>
    <t>6 = SteerErrReq3_Spare02</t>
  </si>
  <si>
    <t>7 = SteerErrReq3_Spare03</t>
  </si>
  <si>
    <t>TMS_Enum_SteerLockEnagOfPrpsn</t>
  </si>
  <si>
    <t>0 = SteerLockEnagOfPrpsn_SteerLockEnagResd1</t>
  </si>
  <si>
    <t>1 = SteerLockEnagOfPrpsn_PrpsnInhbFromSteerLock</t>
  </si>
  <si>
    <t>2 = SteerLockEnagOfPrpsn_PrpsnAllwdFromSteerLock</t>
  </si>
  <si>
    <t>3 = SteerLockEnagOfPrpsn_SteerLockEnagResd2</t>
  </si>
  <si>
    <t>TMS_Enum_SteerMod</t>
  </si>
  <si>
    <t>0 = SteerMod_Ukwn</t>
  </si>
  <si>
    <t>1 = SteerMod_Mod1</t>
  </si>
  <si>
    <t>2 = SteerMod_Mod2</t>
  </si>
  <si>
    <t>3 = SteerMod_Mod3</t>
  </si>
  <si>
    <t>4 = SteerMod_Mod4</t>
  </si>
  <si>
    <t>5 = SteerMod_Resd5</t>
  </si>
  <si>
    <t>6 = SteerMod_Resd6</t>
  </si>
  <si>
    <t>7 = SteerMod_Resd7</t>
  </si>
  <si>
    <t>TMS_Enum_SteerServoSts1</t>
  </si>
  <si>
    <t>0 = SteerServoSts1_SteerPwrAssidElecFullFct</t>
  </si>
  <si>
    <t>1 = SteerServoSts1_SteerPwrAssidElecCritErr</t>
  </si>
  <si>
    <t>TMS_Enum_SteerWhlHeatgOnCmdTyp</t>
  </si>
  <si>
    <t>0 = SteerWhlHeatgOnCmdTyp_Off</t>
  </si>
  <si>
    <t>1 = SteerWhlHeatgOnCmdTyp_Lo</t>
  </si>
  <si>
    <t>2 = SteerWhlHeatgOnCmdTyp_Med</t>
  </si>
  <si>
    <t>3 = SteerWhlHeatgOnCmdTyp_Hi</t>
  </si>
  <si>
    <t>TMS_Enum_SteerWhlTouchSwt</t>
  </si>
  <si>
    <t>0 = SteerWhlTouchSwt_NotAvailble</t>
  </si>
  <si>
    <t>1 = SteerWhlTouchSwt_ShortPress</t>
  </si>
  <si>
    <t>2 = SteerWhlTouchSwt_LongPress</t>
  </si>
  <si>
    <t>3 = SteerWhlTouchSwt_Error</t>
  </si>
  <si>
    <t>TMS_Enum_SteerWhlTouchSwt2</t>
  </si>
  <si>
    <t>0 = SteerWhlTouchSwt2_NotAvalible</t>
  </si>
  <si>
    <t>1 = SteerWhlTouchSwt2_UpPsd</t>
  </si>
  <si>
    <t>2 = SteerWhlTouchSwt2_LongUpPsd</t>
  </si>
  <si>
    <t>3 = SteerWhlTouchSwt2_DownPsd</t>
  </si>
  <si>
    <t>4 = SteerWhlTouchSwt2_LongDownPsd</t>
  </si>
  <si>
    <t>5 = SteerWhlTouchSwt2_Error</t>
  </si>
  <si>
    <t>TMS_Enum_SteerWhlTouchTurnLightSwt</t>
  </si>
  <si>
    <t>0 = SteerWhlTouchTurnLightSwt_NotAvailable</t>
  </si>
  <si>
    <t>1 = SteerWhlTouchTurnLightSwt_LightPress</t>
  </si>
  <si>
    <t>2 = SteerWhlTouchTurnLightSwt_FullPress</t>
  </si>
  <si>
    <t>3 = SteerWhlTouchTurnLightSwt_Error</t>
  </si>
  <si>
    <t>TMS_Enum_StrtInProgs1</t>
  </si>
  <si>
    <t>0 = StrtInProgs1_StrtStsOff</t>
  </si>
  <si>
    <t>1 = StrtInProgs1_StrtStsImminent</t>
  </si>
  <si>
    <t>2 = StrtInProgs1_StrtStsStrtng</t>
  </si>
  <si>
    <t>3 = StrtInProgs1_StrtStsRunng</t>
  </si>
  <si>
    <t>TMS_Enum_StrtMsg2</t>
  </si>
  <si>
    <t>0 = StrtMsg2_NoMsg</t>
  </si>
  <si>
    <t>1 = StrtMsg2_Msg1</t>
  </si>
  <si>
    <t>2 = StrtMsg2_Msg2</t>
  </si>
  <si>
    <t>3 = StrtMsg2_Msg3</t>
  </si>
  <si>
    <t>4 = StrtMsg2_Msg4</t>
  </si>
  <si>
    <t>5 = StrtMsg2_Msg5</t>
  </si>
  <si>
    <t>6 = StrtMsg2_Msg6</t>
  </si>
  <si>
    <t>7 = StrtMsg2_Msg7</t>
  </si>
  <si>
    <t>8 = StrtMsg2_Msg8</t>
  </si>
  <si>
    <t>9 = StrtMsg2_Msg9</t>
  </si>
  <si>
    <t>10 = StrtMsg2_Msg10</t>
  </si>
  <si>
    <t>11 = StrtMsg2_Msg11</t>
  </si>
  <si>
    <t>TMS_Enum_StrtMsgToModMgnt1</t>
  </si>
  <si>
    <t>0 = StrtMsgToModMgnt1_NoInhb</t>
  </si>
  <si>
    <t>1 = StrtMsgToModMgnt1_PwrUpDly</t>
  </si>
  <si>
    <t>2 = StrtMsgToModMgnt1_AltvStrt</t>
  </si>
  <si>
    <t>3 = StrtMsgToModMgnt1_inhbremstrt</t>
  </si>
  <si>
    <t>4 = StrtMsgToModMgnt1_diremstrt</t>
  </si>
  <si>
    <t>5 = StrtMsgToModMgnt1_SelnOfParkOrNeut</t>
  </si>
  <si>
    <t>6 = StrtMsgToModMgnt1_Resd1</t>
  </si>
  <si>
    <t>7 = StrtMsgToModMgnt1_Resd2</t>
  </si>
  <si>
    <t>TMS_Enum_StrtRemSts1</t>
  </si>
  <si>
    <t>0 = StrtRemSts1_Idle</t>
  </si>
  <si>
    <t>1 = StrtRemSts1_Strtg</t>
  </si>
  <si>
    <t>2 = StrtRemSts1_Actv</t>
  </si>
  <si>
    <t>TMS_Enum_StrtReq2</t>
  </si>
  <si>
    <t>0 = StrtReq2_NotReqd</t>
  </si>
  <si>
    <t>1 = StrtReq2_Reqd</t>
  </si>
  <si>
    <t>2 = StrtReq2_RemReqd</t>
  </si>
  <si>
    <t>TMS_Enum_Sts</t>
  </si>
  <si>
    <t>0 = Sts_Resd</t>
  </si>
  <si>
    <t>1 = Sts_Err</t>
  </si>
  <si>
    <t>2 = Sts_CmplOk</t>
  </si>
  <si>
    <t>3 = Sts_InProgs</t>
  </si>
  <si>
    <t>TMS_Enum_StsFd</t>
  </si>
  <si>
    <t>0 = StsFd_None</t>
  </si>
  <si>
    <t>1 = StsFd_On</t>
  </si>
  <si>
    <t>2 = StsFd_Off</t>
  </si>
  <si>
    <t>3 = StsFd_Error</t>
  </si>
  <si>
    <t>4 = StsFd_Functionallimit</t>
  </si>
  <si>
    <t>5 = StsFd_Energylimit</t>
  </si>
  <si>
    <t>6 = StsFd_Resvd1</t>
  </si>
  <si>
    <t>7 = StsFd_Resvd2</t>
  </si>
  <si>
    <t>TMS_Enum_StsModAct</t>
  </si>
  <si>
    <t>0 = StsModAct_None</t>
  </si>
  <si>
    <t>1 = StsModAct_TrailerMode</t>
  </si>
  <si>
    <t>2 = StsModAct_CrashMode</t>
  </si>
  <si>
    <t>3 = StsModAct_TransportMode</t>
  </si>
  <si>
    <t>4 = StsModAct_DynoMode</t>
  </si>
  <si>
    <t>5 = StsModAct_FactoryMode</t>
  </si>
  <si>
    <t>6 = StsModAct_HoistMode</t>
  </si>
  <si>
    <t>7 = StsModAct_JackMode</t>
  </si>
  <si>
    <t>TMS_Enum_SUMCtrlSts</t>
  </si>
  <si>
    <t>0 = SumCtrlSts_NA</t>
  </si>
  <si>
    <t>1 = SumCtrlSts_Active</t>
  </si>
  <si>
    <t>2 = SumCtrlSts_Idle</t>
  </si>
  <si>
    <t>3 = SumCtrlSts_Error</t>
  </si>
  <si>
    <t>4 = SumCtrlSts_Off</t>
  </si>
  <si>
    <t>5 = SumCtrlSts_Reserved1</t>
  </si>
  <si>
    <t>6 = SumCtrlSts_Reserved2</t>
  </si>
  <si>
    <t>7 = SumCtrlSts_Reserved3</t>
  </si>
  <si>
    <t>TMS_Enum_SumRoadTyp</t>
  </si>
  <si>
    <t>0 = SumRoadTyp_None</t>
  </si>
  <si>
    <t>1 = SumRoadTyp_Smooth</t>
  </si>
  <si>
    <t>2 = SumRoadTyp_Medium</t>
  </si>
  <si>
    <t>3 = SumRoadTyp_Rough</t>
  </si>
  <si>
    <t>4 = SumRoadTyp_Reserved_0</t>
  </si>
  <si>
    <t>5 = SumRoadTyp_Reserved_1</t>
  </si>
  <si>
    <t>6 = SumRoadTyp_Reserved_2</t>
  </si>
  <si>
    <t>7 = SumRoadTyp_Reserved_3</t>
  </si>
  <si>
    <t>8 = SumRoadTyp_Reserved_4</t>
  </si>
  <si>
    <t>9 = SumRoadTyp_Reserved_5</t>
  </si>
  <si>
    <t>10 = SumRoadTyp_Reserved_6</t>
  </si>
  <si>
    <t>11 = SumRoadTyp_Reserved_7</t>
  </si>
  <si>
    <t>12 = SumRoadTyp_Reserved_8</t>
  </si>
  <si>
    <t>13 = SumRoadTyp_Reserved_9</t>
  </si>
  <si>
    <t>14 = SumRoadTyp_Reserved_10</t>
  </si>
  <si>
    <t>15 = SumRoadTyp_Reserved_11</t>
  </si>
  <si>
    <t>TMS_Enum_SumSnsrSts</t>
  </si>
  <si>
    <t>0 = SumSnsrSts_NA</t>
  </si>
  <si>
    <t>1 = SumSnsrSts_Active</t>
  </si>
  <si>
    <t>2 = SumSnsrSts_Idle</t>
  </si>
  <si>
    <t>3 = SumSnsrSts_Error</t>
  </si>
  <si>
    <t>4 = SumSnsrSts_Off</t>
  </si>
  <si>
    <t>5 = SumSnsrSts_Reserved1</t>
  </si>
  <si>
    <t>6 = SumSnsrSts_Reserved2</t>
  </si>
  <si>
    <t>7 = SumSnsrSts_Reserved3</t>
  </si>
  <si>
    <t>TMS_Enum_SurroundType</t>
  </si>
  <si>
    <t>0 = SurroundType_off</t>
  </si>
  <si>
    <t>1 = SurroundType_2D_surround</t>
  </si>
  <si>
    <t>2 = SurroundType_3D_surround</t>
  </si>
  <si>
    <t>TMS_Enum_SuspFailrStsTyp2</t>
  </si>
  <si>
    <t>0 = SuspFailrStsTyp2_NoErr</t>
  </si>
  <si>
    <t>1 = SuspFailrStsTyp2_TrSwtConUsg</t>
  </si>
  <si>
    <t>2 = SuspFailrStsTyp2_CmprOvrheatd</t>
  </si>
  <si>
    <t>3 = SuspFailrStsTyp2_SrvRqrdErr</t>
  </si>
  <si>
    <t>4 = SuspFailrStsTyp2_StopCritErr</t>
  </si>
  <si>
    <t>5 = SuspFailrStsTyp2_LoAirM</t>
  </si>
  <si>
    <t>6 = SuspFailrStsTyp2_HiAirM</t>
  </si>
  <si>
    <t>7 = SuspFailrStsTyp2_VehLvlHiOrLoErr</t>
  </si>
  <si>
    <t>TMS_Enum_SuspFailrStsTyp3</t>
  </si>
  <si>
    <t>0 = SuspFailrStsTyp3_NoErr</t>
  </si>
  <si>
    <t>1 = SuspFailrStsTyp3_TrSwtConUsg</t>
  </si>
  <si>
    <t>2 = SuspFailrStsTyp3_CmprOvrheated</t>
  </si>
  <si>
    <t>3 = SuspFailrStsTyp3_SrvRqrdErr</t>
  </si>
  <si>
    <t>4 = SuspFailrStsTyp3_StopCritErr</t>
  </si>
  <si>
    <t>5 = SuspFailrStsTyp3_LoAirM</t>
  </si>
  <si>
    <t>6 = SuspFailrStsTyp3_HiAirM</t>
  </si>
  <si>
    <t>7 = SuspFailrStsTyp3_VehLvlHiOrLoErr</t>
  </si>
  <si>
    <t>8 = SuspFailrStsTyp3_ARCLoSts</t>
  </si>
  <si>
    <t>9 = SuspFailrStsTyp3_ARCOffSts</t>
  </si>
  <si>
    <t>10 = SuspFailrStsTyp3_CCDOffSts</t>
  </si>
  <si>
    <t>11 = SuspFailrStsTyp3_VehOvrLd</t>
  </si>
  <si>
    <t>TMS_Enum_SuspFailrStsTyp4</t>
  </si>
  <si>
    <t>0 = SuspFailrStsTyp4_NoErr</t>
  </si>
  <si>
    <t>1 = SuspFailrStsTyp4_MinorErr</t>
  </si>
  <si>
    <t>2 = SuspFailrStsTyp4_MajorErr</t>
  </si>
  <si>
    <t>3 = SuspFailrStsTyp4_CritErr</t>
  </si>
  <si>
    <t>TMS_Enum_SwpLeRiReq</t>
  </si>
  <si>
    <t>0 = idle</t>
  </si>
  <si>
    <t>1 = left</t>
  </si>
  <si>
    <t>2 = right</t>
  </si>
  <si>
    <t>TMS_Enum_SwtHozlSts1</t>
  </si>
  <si>
    <t>0 = SwtHozlSts1_Idle</t>
  </si>
  <si>
    <t>1 = SwtHozlSts1_Fwd</t>
  </si>
  <si>
    <t>2 = SwtHozlSts1_Backw</t>
  </si>
  <si>
    <t>TMS_Enum_SwtOpenClsErr</t>
  </si>
  <si>
    <t>0 = SwtOpenClsErr_Invalid</t>
  </si>
  <si>
    <t>1 = SwtOpenClsErr_Open</t>
  </si>
  <si>
    <t>2 = SwtOpenClsErr_Close</t>
  </si>
  <si>
    <t>3 = SwtOpenClsErr_Err</t>
  </si>
  <si>
    <t>TMS_Enum_SwtPark1</t>
  </si>
  <si>
    <t>0 = SwtPark1_SwtParkNotActv</t>
  </si>
  <si>
    <t>1 = SwtPark1_SwtParkActv</t>
  </si>
  <si>
    <t>TMS_Enum_SwtVertSts1</t>
  </si>
  <si>
    <t>0 = SwtVertSts1_Idle</t>
  </si>
  <si>
    <t>1 = SwtVertSts1_Up</t>
  </si>
  <si>
    <t>2 = SwtVertSts1_Dwn</t>
  </si>
  <si>
    <t>TMS_Enum_TailgatePos</t>
  </si>
  <si>
    <t>0 = TailgatePos_Unknown</t>
  </si>
  <si>
    <t>1 = TailgatePos_Fail</t>
  </si>
  <si>
    <t>2 = TailgatePos_0to20PercTopPos</t>
  </si>
  <si>
    <t>3 = TailgatePos_21to40PercTopPos</t>
  </si>
  <si>
    <t>4 = TailgatePos_41to60PercTopPos</t>
  </si>
  <si>
    <t>5 = TailgatePos_61to80PercTopPos</t>
  </si>
  <si>
    <t>6 = TailgatePos_81to100PercTopPos</t>
  </si>
  <si>
    <t>TMS_Enum_TakeoverMsg</t>
  </si>
  <si>
    <t>0 = TakeoverMsg_NoRequest</t>
  </si>
  <si>
    <t>1 = TakeoverMsg_Inattention</t>
  </si>
  <si>
    <t>2 = TakeoverMsg_TakeoverRequest</t>
  </si>
  <si>
    <t>3 = TakeoverMsg_SpeedReduce</t>
  </si>
  <si>
    <t>4 = TakeoverMsg_SafeStop</t>
  </si>
  <si>
    <t>5 = TakeoverMsg_AEB</t>
  </si>
  <si>
    <t>6 = TakeoverMsg_Reserved2</t>
  </si>
  <si>
    <t>7 = TakeoverMsg_Reserved3</t>
  </si>
  <si>
    <t>TMS_Enum_TelmAirFragChReq</t>
  </si>
  <si>
    <t>0 = TelmAirFragChReq_NoReq</t>
  </si>
  <si>
    <t>1 = TelmAirFragChReq_Ch1</t>
  </si>
  <si>
    <t>2 = TelmAirFragChReq_Ch2</t>
  </si>
  <si>
    <t>3 = TelmAirFragChReq_Ch3</t>
  </si>
  <si>
    <t>4 = TelmAirFragChReq_Ch4</t>
  </si>
  <si>
    <t>5 = TelmAirFragChReq_Ch5</t>
  </si>
  <si>
    <t>TMS_Enum_TelmDoorType</t>
  </si>
  <si>
    <t>0 = Default</t>
  </si>
  <si>
    <t>1 = Door5Close</t>
  </si>
  <si>
    <t>2 = reserve</t>
  </si>
  <si>
    <t>TMS_Enum_TelmLockgCenReq2</t>
  </si>
  <si>
    <t>0 = TelmLockgCenReq2_TelmNoReq</t>
  </si>
  <si>
    <t>1 = TelmLockgCenReq2_TelmLock</t>
  </si>
  <si>
    <t>2 = TelmLockgCenReq2_TelmUnlck</t>
  </si>
  <si>
    <t>3 = TelmLockgCenReq2_TelmUnlckByTrSwtEna</t>
  </si>
  <si>
    <t>TMS_Enum_TelmSeatClimaLvl</t>
  </si>
  <si>
    <t>0 = TelmSeatClimaLvl_off</t>
  </si>
  <si>
    <t>1 = TelmSeatClimaLvl_Lvl1</t>
  </si>
  <si>
    <t>2 = TelmSeatClimaLvl_Lvl2</t>
  </si>
  <si>
    <t>3 = TelmSeatClimaLvl_Lvl3</t>
  </si>
  <si>
    <t>TMS_Enum_TempErr</t>
  </si>
  <si>
    <t>0 = TempErr_Normal</t>
  </si>
  <si>
    <t>1 = TempErr_OverTemp</t>
  </si>
  <si>
    <t>2 = TempErr_UnderTemp</t>
  </si>
  <si>
    <t>3 = TempErr_Invalid</t>
  </si>
  <si>
    <t>TMS_Enum_TempSts</t>
  </si>
  <si>
    <t>0 = TempSts_Temperatureok</t>
  </si>
  <si>
    <t>1 = TempSts_OvertemperatureWarning</t>
  </si>
  <si>
    <t>2 = TempSts_PCBOvertemperature</t>
  </si>
  <si>
    <t>3 = TempSts_LowTemperature</t>
  </si>
  <si>
    <t>4 = TempSts_notused</t>
  </si>
  <si>
    <t>7 = TempSts_SNA</t>
  </si>
  <si>
    <t>TMS_Enum_ThermModAct</t>
  </si>
  <si>
    <t>0 = ThermModAct_Default</t>
  </si>
  <si>
    <t>1 = ThermModAct_PreCondition</t>
  </si>
  <si>
    <t>2 = ThermModAct_ParallelCircuit</t>
  </si>
  <si>
    <t>3 = ThermModAct_OneLoop</t>
  </si>
  <si>
    <t>4 = ThermModAct_AfterRun</t>
  </si>
  <si>
    <t>5 = ThermModAct_Reserved01</t>
  </si>
  <si>
    <t>6 = ThermModAct_Reserved02</t>
  </si>
  <si>
    <t>7 = ThermModAct_Reserved03</t>
  </si>
  <si>
    <t>TMS_Enum_ThermModAtTime</t>
  </si>
  <si>
    <t>1 = ThermalBalancing</t>
  </si>
  <si>
    <t>2 = PassiveHeating</t>
  </si>
  <si>
    <t>3 = ActiveHeating</t>
  </si>
  <si>
    <t>4 = PassiveCooling</t>
  </si>
  <si>
    <t>5 = ActiveCooling</t>
  </si>
  <si>
    <t>6 = CombinedCooling</t>
  </si>
  <si>
    <t>7 = Reserved</t>
  </si>
  <si>
    <t>TMS_Enum_ThermSts1</t>
  </si>
  <si>
    <t>0 = ThermSts1_Idle</t>
  </si>
  <si>
    <t>1 = ThermSts1_Prestart</t>
  </si>
  <si>
    <t>2 = ThermSts1_Standby</t>
  </si>
  <si>
    <t>3 = ThermSts1_Active</t>
  </si>
  <si>
    <t>4 = ThermSts1_off</t>
  </si>
  <si>
    <t>TMS_Enum_TiGapSetForLgtCtrl</t>
  </si>
  <si>
    <t>0 = TiGapSetForLgtCtrl_None</t>
  </si>
  <si>
    <t>1 = TiGapSetForLgtCtrl_TimeGap_1</t>
  </si>
  <si>
    <t>2 = TiGapSetForLgtCtrl_TimeGap_2</t>
  </si>
  <si>
    <t>3 = TiGapSetForLgtCtrl_TimeGap_3</t>
  </si>
  <si>
    <t>TMS_Enum_TorqueBoost</t>
  </si>
  <si>
    <t>0 = TorqueMode0</t>
  </si>
  <si>
    <t>2 = TorqueMode1</t>
  </si>
  <si>
    <t>4 = BoostMode0</t>
  </si>
  <si>
    <t>5 = BoostMode1</t>
  </si>
  <si>
    <t>TMS_Enum_TowBarDrvrStsType</t>
  </si>
  <si>
    <t>0 = TowBarDrvrStsType_Invalid</t>
  </si>
  <si>
    <t>1 = TowBarDrvrStsType_FoldPosn</t>
  </si>
  <si>
    <t>2 = TowBarDrvrStsType_UnflodPosn</t>
  </si>
  <si>
    <t>3 = TowBarDrvrStsType_MovgToFold</t>
  </si>
  <si>
    <t>4 = TowBarDrvrStsType_MovgToUnfold</t>
  </si>
  <si>
    <t>5 = TowBarDrvrStsType_FoldLockWaiting</t>
  </si>
  <si>
    <t>6 = TowBarDrvrStsType_UnFoldLockWaiting</t>
  </si>
  <si>
    <t>7 = TowBarDrvrStsType_Err</t>
  </si>
  <si>
    <t>TMS_Enum_TqRednDurgBrk</t>
  </si>
  <si>
    <t>0 = TqRednDurgBrk_NoTqRednReqd</t>
  </si>
  <si>
    <t>1 = TqRednDurgBrk_TqRednDurgPreBrk</t>
  </si>
  <si>
    <t>2 = TqRednDurgBrk_TqRednDurgBrkFull</t>
  </si>
  <si>
    <t>3 = TqRednDurgBrk_Resd3</t>
  </si>
  <si>
    <t>TMS_Enum_TrfcSgnInfoSts</t>
  </si>
  <si>
    <t>0 = TrfcSgnInfoSts_TSIUnknown</t>
  </si>
  <si>
    <t>1 = TrfcSgnInfoSts_TSIOff</t>
  </si>
  <si>
    <t>2 = TrfcSgnInfoSts_TSIOn_fusion</t>
  </si>
  <si>
    <t>3 = TrfcSgnInfoSts_TSIOn_visiononlymode</t>
  </si>
  <si>
    <t>4 = TrfcSgnInfoSts_TSIOn_navigationonlymode</t>
  </si>
  <si>
    <t>5 = TrfcSgnInfoSts_TSIUnavailable</t>
  </si>
  <si>
    <t>6 = TrfcSgnInfoSts_TSIServicerequired</t>
  </si>
  <si>
    <t>7 = TrfcSgnInfoSts_Reserved</t>
  </si>
  <si>
    <t>TMS_Enum_Trig1</t>
  </si>
  <si>
    <t>0 = Trig1_NoTrig</t>
  </si>
  <si>
    <t>1 = Trig1_Trig</t>
  </si>
  <si>
    <t>TMS_Enum_TrlrM</t>
  </si>
  <si>
    <t>0 = TrlrM_Lvl0</t>
  </si>
  <si>
    <t>1 = TrlrM_Lvl1</t>
  </si>
  <si>
    <t>2 = TrlrM_Lvl2</t>
  </si>
  <si>
    <t>3 = TrlrM_Lvl3</t>
  </si>
  <si>
    <t>TMS_Enum_TrOpenerReq1</t>
  </si>
  <si>
    <t>0 = TrOpenerReq1_TrOpenerIdle</t>
  </si>
  <si>
    <t>1 = TrOpenerReq1_TrOpenerOpen</t>
  </si>
  <si>
    <t>2 = TrOpenerReq1_TrOpenerCls</t>
  </si>
  <si>
    <t>3 = TrOpenerReq1_TrOpenerStop</t>
  </si>
  <si>
    <t>4 = TrOpenerReq1_TrOpenerClsDly</t>
  </si>
  <si>
    <t>TMS_Enum_TrOpenerSts1</t>
  </si>
  <si>
    <t>0 = TrOpenerSts1_Ukwn</t>
  </si>
  <si>
    <t>1 = TrOpenerSts1_FullClsd</t>
  </si>
  <si>
    <t>2 = TrOpenerSts1_MovgUp</t>
  </si>
  <si>
    <t>3 = TrOpenerSts1_MovgUpBrkg</t>
  </si>
  <si>
    <t>4 = TrOpenerSts1_StopDurgOpen</t>
  </si>
  <si>
    <t>5 = TrOpenerSts1_FullOpend</t>
  </si>
  <si>
    <t>6 = TrOpenerSts1_MovgDwn</t>
  </si>
  <si>
    <t>7 = TrOpenerSts1_MovgDwnBrkg</t>
  </si>
  <si>
    <t>8 = TrOpenerSts1_StopDurgCls</t>
  </si>
  <si>
    <t>9 = TrOpenerSts1_HalfClsd</t>
  </si>
  <si>
    <t>10 = TrOpenerSts1_StopMinPntForCls</t>
  </si>
  <si>
    <t>TMS_Enum_TrOpenerTrigSrc1</t>
  </si>
  <si>
    <t>0 = TrOpenerTrigSrc1_TrNoTrigSrc</t>
  </si>
  <si>
    <t>1 = TrOpenerTrigSrc1_TrKeyRem</t>
  </si>
  <si>
    <t>2 = TrOpenerTrigSrc1_TrSwtIntr</t>
  </si>
  <si>
    <t>3 = TrOpenerTrigSrc1_TrByFootOper</t>
  </si>
  <si>
    <t>4 = TrOpenerTrigSrc1_TrHndlOutd</t>
  </si>
  <si>
    <t>5 = TrOpenerTrigSrc1_TrShutFace</t>
  </si>
  <si>
    <t>6 = TrOpenerTrigSrc1_TrHMI</t>
  </si>
  <si>
    <t>7 = TrOpenerTrigSrc1_TrByAppch</t>
  </si>
  <si>
    <t>TMS_Enum_TrSfbtncmd</t>
  </si>
  <si>
    <t>0 = TrSfbtncmd_Idle</t>
  </si>
  <si>
    <t>1 = TrSfbtncmd_ShoPsd</t>
  </si>
  <si>
    <t>2 = TrSfbtncmd_DlyCls</t>
  </si>
  <si>
    <t>3 = TrSfbtncmd_PosnSet</t>
  </si>
  <si>
    <t>TMS_Enum_TrsmParkLock1</t>
  </si>
  <si>
    <t>0 = TrsmParkLock1_ParkNotEngd</t>
  </si>
  <si>
    <t>1 = TrsmParkLock1_ParkEngd</t>
  </si>
  <si>
    <t>2 = TrsmParkLock1_NotInUse</t>
  </si>
  <si>
    <t>3 = TrsmParkLock1_Undefd</t>
  </si>
  <si>
    <t>TMS_Enum_TSts1</t>
  </si>
  <si>
    <t>0 = TSts1_Norm</t>
  </si>
  <si>
    <t>1 = TSts1_Ovrheatd</t>
  </si>
  <si>
    <t>TMS_Enum_TurnLightSwt1</t>
  </si>
  <si>
    <t>0 = TurnLightSwt1_NotAvailble</t>
  </si>
  <si>
    <t>1 = TurnLightSwt1_DownPress1stGear</t>
  </si>
  <si>
    <t>2 = TurnLightSwt1_DownPress2edGear</t>
  </si>
  <si>
    <t>3 = TurnLightSwt1_UpPress1stGear</t>
  </si>
  <si>
    <t>4 = TurnLightSwt1_UpPress2edGear</t>
  </si>
  <si>
    <t>5 = TurnLightSwt1_Error</t>
  </si>
  <si>
    <t>6 = TurnLightSwt1_Reserved</t>
  </si>
  <si>
    <t>TMS_Enum_TwliBriSts1</t>
  </si>
  <si>
    <t>0 = TwliBriSts1_Night</t>
  </si>
  <si>
    <t>1 = TwliBriSts1_Day</t>
  </si>
  <si>
    <t>TMS_Enum_Typ</t>
  </si>
  <si>
    <t>0 = Typ_Toggle</t>
  </si>
  <si>
    <t>1 = Typ_Scroller</t>
  </si>
  <si>
    <t>TMS_Enum_Typ1</t>
  </si>
  <si>
    <t>0 = Typ1_Typ0</t>
  </si>
  <si>
    <t>1 = Typ1_Typ1</t>
  </si>
  <si>
    <t>2 = Typ1_Typ2</t>
  </si>
  <si>
    <t>3 = Typ1_Typ3</t>
  </si>
  <si>
    <t>4 = Typ1_Typ4</t>
  </si>
  <si>
    <t>5 = Typ1_Typ5</t>
  </si>
  <si>
    <t>6 = Typ1_Typ6</t>
  </si>
  <si>
    <t>7 = Typ1_Typ7</t>
  </si>
  <si>
    <t>TMS_Enum_Type2</t>
  </si>
  <si>
    <t>0 = Type2_A_Sample</t>
  </si>
  <si>
    <t>1 = Type2_B_Sample</t>
  </si>
  <si>
    <t>2 = Type2_C_Sample</t>
  </si>
  <si>
    <t>3 = Type2_Reserve</t>
  </si>
  <si>
    <t>TMS_Enum_UBoostReq</t>
  </si>
  <si>
    <t>0 = UBoostReq_NoOper</t>
  </si>
  <si>
    <t>1 = UBoostReq_InhbDcha</t>
  </si>
  <si>
    <t>2 = UBoostReq_RgnChrgDi</t>
  </si>
  <si>
    <t>3 = UBoostReq_UMax</t>
  </si>
  <si>
    <t>TMS_Enum_ULoWarn</t>
  </si>
  <si>
    <t>0 = ULoWarn_UOk</t>
  </si>
  <si>
    <t>1 = ULoWarn_ULoTmp</t>
  </si>
  <si>
    <t>2 = ULoWarn_ULoPrmnt</t>
  </si>
  <si>
    <t>TMS_Enum_UpDnSts</t>
  </si>
  <si>
    <t>0 = UpDnSts_Not_Available</t>
  </si>
  <si>
    <t>1 = UpDnSts_Up</t>
  </si>
  <si>
    <t>2 = UpDnSts_Down</t>
  </si>
  <si>
    <t>3 = UpDnSts_Error</t>
  </si>
  <si>
    <t>TMS_Enum_UpTipAut1</t>
  </si>
  <si>
    <t>0 = UpTipAut1_UpTipAutNotActv</t>
  </si>
  <si>
    <t>1 = UpTipAut1_UpTipAutActv</t>
  </si>
  <si>
    <t>TMS_Enum_UsgModSts1</t>
  </si>
  <si>
    <t>0 = UsgModSts1_UsgModAbdnd</t>
  </si>
  <si>
    <t>1 = UsgModSts1_UsgModInActv</t>
  </si>
  <si>
    <t>2 = UsgModSts1_UsgModCnvinc</t>
  </si>
  <si>
    <t>11 = UsgModSts1_UsgModActv</t>
  </si>
  <si>
    <t>13 = UsgModSts1_UsgModDrvg</t>
  </si>
  <si>
    <t>TMS_Enum_USSWarnPosn</t>
  </si>
  <si>
    <t>1 = Region1</t>
  </si>
  <si>
    <t>2 = Region2</t>
  </si>
  <si>
    <t>3 = Region3</t>
  </si>
  <si>
    <t>4 = Region4</t>
  </si>
  <si>
    <t>5 = Reserve</t>
  </si>
  <si>
    <t>TMS_Enum_Validity</t>
  </si>
  <si>
    <t>0 = Validity_NotValid</t>
  </si>
  <si>
    <t>1 = Validity_Valid</t>
  </si>
  <si>
    <t>TMS_Enum_Validity2</t>
  </si>
  <si>
    <t>0 = Valid</t>
  </si>
  <si>
    <t>1 = Invalid</t>
  </si>
  <si>
    <t>TMS_Enum_VehDrvSts</t>
  </si>
  <si>
    <t>0 = VehDrvSts_NoTq</t>
  </si>
  <si>
    <t>1 = VehDrvSts_BrkTq</t>
  </si>
  <si>
    <t>2 = VehDrvSts_Launch</t>
  </si>
  <si>
    <t>3 = VehDrvSts_Crp</t>
  </si>
  <si>
    <t>4 = VehDrvSts_Reserved1</t>
  </si>
  <si>
    <t>5 = VehDrvSts_PedalMap</t>
  </si>
  <si>
    <t>6 = VehDrvSts_Reserved2</t>
  </si>
  <si>
    <t>7 = VehDrvSts_BrkSTop</t>
  </si>
  <si>
    <t>8 = VehDrvSts_Reserved3</t>
  </si>
  <si>
    <t>9 = VehDrvSts_AVP</t>
  </si>
  <si>
    <t>10 = VehDrvSts_ANP</t>
  </si>
  <si>
    <t>TMS_Enum_VehGlb</t>
  </si>
  <si>
    <t>0 = VehMktGlb_SNA</t>
  </si>
  <si>
    <t>1 = VehMktGlb_World</t>
  </si>
  <si>
    <t>2 = VehMktGlb_Europe</t>
  </si>
  <si>
    <t>3 = VehMktGlb_NorthAmerica</t>
  </si>
  <si>
    <t>4 = VehMktGlb_SouthAmerica</t>
  </si>
  <si>
    <t>5 = VehMktGlb_MiddleEastAfrica</t>
  </si>
  <si>
    <t>6 = VehMktGlb_SouthEastAsia</t>
  </si>
  <si>
    <t>7 = VehMktGlb_Pacific</t>
  </si>
  <si>
    <t>8 = VehMktGlb_Russia</t>
  </si>
  <si>
    <t>9 = VehMktGlb_Korea</t>
  </si>
  <si>
    <t>10 = VehMktGlb_China</t>
  </si>
  <si>
    <t>11 = VehMktGlb_Taiwan</t>
  </si>
  <si>
    <t>12 = VehMktGlb_Japan</t>
  </si>
  <si>
    <t>13 = VehMktGlb_India</t>
  </si>
  <si>
    <t>14 = VehMktGlb_Israel</t>
  </si>
  <si>
    <t>15 = VehMktGlb_Turkey</t>
  </si>
  <si>
    <t>16 = VehMktGlb_Spare</t>
  </si>
  <si>
    <t>TMS_Enum_VehMtnSt2</t>
  </si>
  <si>
    <t>0 = VehMtnSt2_Ukwn</t>
  </si>
  <si>
    <t>1 = VehMtnSt2_StandStillVal1</t>
  </si>
  <si>
    <t>2 = VehMtnSt2_StandStillVal2</t>
  </si>
  <si>
    <t>3 = VehMtnSt2_StandStillVal3</t>
  </si>
  <si>
    <t>4 = VehMtnSt2_RollgFwdVal1</t>
  </si>
  <si>
    <t>5 = VehMtnSt2_RollgFwdVal2</t>
  </si>
  <si>
    <t>6 = VehMtnSt2_RollgBackwVal1</t>
  </si>
  <si>
    <t>7 = VehMtnSt2_RollgBackwVal2</t>
  </si>
  <si>
    <t>TMS_Enum_VehNotParkInfoWarn</t>
  </si>
  <si>
    <t>0 = VehNotParkInfoWarn_NoTxt</t>
  </si>
  <si>
    <t>1 = VehNotParkInfoWarn_ShifttoP</t>
  </si>
  <si>
    <t>2 = VehNotParkInfoWarn_OutofP</t>
  </si>
  <si>
    <t>TMS_Enum_VehSpdIndcdUnit</t>
  </si>
  <si>
    <t>0 = VehSpdIndcdUnit_Kmph</t>
  </si>
  <si>
    <t>1 = VehSpdIndcdUnit_Mph</t>
  </si>
  <si>
    <t>2 = VehSpdIndcdUnit_UkwnUnit</t>
  </si>
  <si>
    <t>TMS_Enum_VehSpdLvl</t>
  </si>
  <si>
    <t>0 = VehSpdLvl_Off</t>
  </si>
  <si>
    <t>1 = VehSpdLvl_Low</t>
  </si>
  <si>
    <t>2 = VehSpdLvl_Middle</t>
  </si>
  <si>
    <t>3 = VehSpdLvl_High</t>
  </si>
  <si>
    <t>TMS_Enum_VehStopReq1</t>
  </si>
  <si>
    <t>0 = VehStopReq1_NoReqOnVehStop</t>
  </si>
  <si>
    <t>1 = VehStopReq1_ReqOnVehStopSoftToStandStill</t>
  </si>
  <si>
    <t>TMS_Enum_VentnActr01BlckInd</t>
  </si>
  <si>
    <t>0 = VentnActr01BlckInd_Disabled</t>
  </si>
  <si>
    <t>1 = VentnActr01BlckInd_Enabled</t>
  </si>
  <si>
    <t>2 = VentnActr01BlckInd_Reserved</t>
  </si>
  <si>
    <t>3 = VentnActr01BlckInd_Signalinvalid</t>
  </si>
  <si>
    <t>TMS_Enum_VentnActr01BlckSts</t>
  </si>
  <si>
    <t>0 = VentnActr01BlckSts_NoBlock</t>
  </si>
  <si>
    <t>1 = VentnActr01BlckSts_Block</t>
  </si>
  <si>
    <t>2 = VentnActr01BlckSts_Reserved</t>
  </si>
  <si>
    <t>3 = VentnActr01BlckSts_Signalinvalid</t>
  </si>
  <si>
    <t>TMS_Enum_VentnActr01DrvDir</t>
  </si>
  <si>
    <t>0 = VentnActr01DrvDir_Downward</t>
  </si>
  <si>
    <t>1 = VentnActr01DrvDir_Upward</t>
  </si>
  <si>
    <t>2 = VentnActr01DrvDir_Initialization</t>
  </si>
  <si>
    <t>3 = VentnActr01DrvDir_Signalinvalid</t>
  </si>
  <si>
    <t>TMS_Enum_VentnActr01ElecErr</t>
  </si>
  <si>
    <t>0 = VentnActr01ElecErr_Normal</t>
  </si>
  <si>
    <t>1 = VentnActr01ElecErr_ElecErr</t>
  </si>
  <si>
    <t>2 = VentnActr01ElecErr_PrmntElecErr</t>
  </si>
  <si>
    <t>3 = VentnActr01ElecErr_Signalinvalid</t>
  </si>
  <si>
    <t>TMS_Enum_VentnActr01OvrTempErr</t>
  </si>
  <si>
    <t>0 = VentnActr01OvrTempErr_Normal</t>
  </si>
  <si>
    <t>1 = VentnActr01OvrTempErr_OvrTempErr</t>
  </si>
  <si>
    <t>2 = VentnActr01OvrTempErr_Reserved</t>
  </si>
  <si>
    <t>3 = VentnActr01OvrTempErr_Signalinvalid</t>
  </si>
  <si>
    <t>TMS_Enum_VentnActr01ResetSts</t>
  </si>
  <si>
    <t>0 = VentnActr01ResetSts_NoReset</t>
  </si>
  <si>
    <t>1 = VentnActr01ResetSts_Reset</t>
  </si>
  <si>
    <t>2 = VentnActr01ResetSts_Reserved</t>
  </si>
  <si>
    <t>3 = VentnActr01ResetSts_Signalinvalid</t>
  </si>
  <si>
    <t>TMS_Enum_VentnActr01SpclFct</t>
  </si>
  <si>
    <t>0 = VentnActr01SpclFct_None</t>
  </si>
  <si>
    <t>1 = VentnActr01SpclFct_SpecialFunction1active</t>
  </si>
  <si>
    <t>2 = VentnActr01SpclFct_Reserved</t>
  </si>
  <si>
    <t>3 = VentnActr01SpclFct_Signalinvalid</t>
  </si>
  <si>
    <t>TMS_Enum_VentnActr01SpdSts</t>
  </si>
  <si>
    <t>0 = VentnActr01SpdSts_Stop</t>
  </si>
  <si>
    <t>1 = VentnActr01SpdSts_Speedlevel1</t>
  </si>
  <si>
    <t>2 = VentnActr01SpdSts_Speedlevel2</t>
  </si>
  <si>
    <t>3 = VentnActr01SpdSts_Speedlevel3</t>
  </si>
  <si>
    <t>4 = VentnActr01SpdSts_Speedlevel4</t>
  </si>
  <si>
    <t>5 = VentnActr01SpdSts_Autospeed</t>
  </si>
  <si>
    <t>6 = VentnActr01SpdSts_Reserved0</t>
  </si>
  <si>
    <t>7 = VentnActr01SpdSts_Reserved1</t>
  </si>
  <si>
    <t>8 = VentnActr01SpdSts_Reserved2</t>
  </si>
  <si>
    <t>9 = VentnActr01SpdSts_Reserved3</t>
  </si>
  <si>
    <t>10 = VentnActr01SpdSts_Reserved4</t>
  </si>
  <si>
    <t>11 = VentnActr01SpdSts_Reserved5</t>
  </si>
  <si>
    <t>12 = VentnActr01SpdSts_Reserved6</t>
  </si>
  <si>
    <t>13 = VentnActr01SpdSts_Reserved7</t>
  </si>
  <si>
    <t>14 = VentnActr01SpdSts_Reserved8</t>
  </si>
  <si>
    <t>15 = VentnActr01SpdSts_Signalinvalid</t>
  </si>
  <si>
    <t>TMS_Enum_VentnActr01TrqSts</t>
  </si>
  <si>
    <t>1 = Valid</t>
  </si>
  <si>
    <t>2 = Reserved</t>
  </si>
  <si>
    <t>3 = Signalinvalid</t>
  </si>
  <si>
    <t>TMS_Enum_VentnActr01UrgcExist</t>
  </si>
  <si>
    <t>0 = VentnActr01UrgcExist_False</t>
  </si>
  <si>
    <t>1 = VentnActr01UrgcExist_True</t>
  </si>
  <si>
    <t>2 = VentnActr01UrgcExist_Reserved</t>
  </si>
  <si>
    <t>3 = VentnActr01UrgcExist_Signalinvalid</t>
  </si>
  <si>
    <t>TMS_Enum_VentnActr01VoltErr</t>
  </si>
  <si>
    <t>0 = VentnActr01VoltErr_Normal</t>
  </si>
  <si>
    <t>1 = VentnActr01VoltErr_UnderVolt</t>
  </si>
  <si>
    <t>2 = VentnActr01VoltErr_OvrVolt</t>
  </si>
  <si>
    <t>3 = VentnActr01VoltErr_Signalinvalid</t>
  </si>
  <si>
    <t>TMS_Enum_VentnMotBlockCmd</t>
  </si>
  <si>
    <t>0 = VentnMotBlockCmd_Blockdelectiondisable</t>
  </si>
  <si>
    <t>1 = VentnMotBlockCmd_Blockdelectionenable</t>
  </si>
  <si>
    <t>2 = VentnMotBlockCmd_Reserved</t>
  </si>
  <si>
    <t>3 = VentnMotBlockCmd_Signalinvalid</t>
  </si>
  <si>
    <t>TMS_Enum_VentnMotDir</t>
  </si>
  <si>
    <t>0 = VentnMotDir_CW</t>
  </si>
  <si>
    <t>1 = VentnMotDir_CCW</t>
  </si>
  <si>
    <t>2 = VentnMotDir_Reserved</t>
  </si>
  <si>
    <t>3 = VentnMotDir_Signalinvalid</t>
  </si>
  <si>
    <t>TMS_Enum_VentnMotMode</t>
  </si>
  <si>
    <t>0 = VentnMotMode_Normal</t>
  </si>
  <si>
    <t>1 = VentnMotMode_Stop</t>
  </si>
  <si>
    <t>2 = VentnMotMode_Reserved_orMaintainence</t>
  </si>
  <si>
    <t>3 = VentnMotMode_Signalinvalid</t>
  </si>
  <si>
    <t>TMS_Enum_VentnMotPsonAvl</t>
  </si>
  <si>
    <t>0 = VentnMotPsonAvl_Targetpositionvalid</t>
  </si>
  <si>
    <t>1 = VentnMotPsonAvl_Startpositionvalid</t>
  </si>
  <si>
    <t>2 = VentnMotPsonAvl_Bothpositionsinvalid</t>
  </si>
  <si>
    <t>3 = VentnMotPsonAvl_Signalinvalid</t>
  </si>
  <si>
    <t>TMS_Enum_VentnMotSaveData</t>
  </si>
  <si>
    <t>0 = VentnMotSaveData_Notsavedata</t>
  </si>
  <si>
    <t>1 = VentnMotSaveData_Savedata</t>
  </si>
  <si>
    <t>2 = VentnMotSaveData_Reserved</t>
  </si>
  <si>
    <t>3 = VentnMotSaveData_Signalinvalid</t>
  </si>
  <si>
    <t>TMS_Enum_VentnMotSpdSet</t>
  </si>
  <si>
    <t>0 = VentnMotSpdSet_Reserved0</t>
  </si>
  <si>
    <t>1 = VentnMotSpdSet_Speedlevel1</t>
  </si>
  <si>
    <t>2 = VentnMotSpdSet_Speedlevel2</t>
  </si>
  <si>
    <t>3 = VentnMotSpdSet_Speedlevel3</t>
  </si>
  <si>
    <t>4 = VentnMotSpdSet_Speedlevel4</t>
  </si>
  <si>
    <t>5 = VentnMotSpdSet_Autospeed</t>
  </si>
  <si>
    <t>6 = VentnMotSpdSet_Reserved1</t>
  </si>
  <si>
    <t>7 = VentnMotSpdSet_Reserved2</t>
  </si>
  <si>
    <t>8 = VentnMotSpdSet_Reserved3</t>
  </si>
  <si>
    <t>9 = VentnMotSpdSet_Reserved4</t>
  </si>
  <si>
    <t>10 = VentnMotSpdSet_Reserved5</t>
  </si>
  <si>
    <t>11 = VentnMotSpdSet_Reserved6</t>
  </si>
  <si>
    <t>12 = VentnMotSpdSet_Reserved7</t>
  </si>
  <si>
    <t>13 = VentnMotSpdSet_Reserved8</t>
  </si>
  <si>
    <t>14 = VentnMotSpdSet_Reserved9</t>
  </si>
  <si>
    <t>15 = VentnMotSpdSet_Signalinvalid</t>
  </si>
  <si>
    <t>TMS_Enum_VentnMotUrgcPson</t>
  </si>
  <si>
    <t>0 = VentnMotUrgcPson_Bottom</t>
  </si>
  <si>
    <t>1 = VentnMotUrgcPson_Top</t>
  </si>
  <si>
    <t>2 = VentnMotUrgcPson_Reserved</t>
  </si>
  <si>
    <t>3 = VentnMotUrgcPson_Signalinvalid</t>
  </si>
  <si>
    <t>TMS_Enum_VentnMotUrgcUnlck</t>
  </si>
  <si>
    <t>0 = VentnMotUrgcUnlck_Off</t>
  </si>
  <si>
    <t>1 = VentnMotUrgcUnlck_On</t>
  </si>
  <si>
    <t>2 = VentnMotUrgcUnlck_Reserved</t>
  </si>
  <si>
    <t>3 = VentnMotUrgcUnlck_Signalinvalid</t>
  </si>
  <si>
    <t>TMS_Enum_VFCOnOff</t>
  </si>
  <si>
    <t>0 = VFCOnOff_Off</t>
  </si>
  <si>
    <t>1 = VFCOnOff_On</t>
  </si>
  <si>
    <t>TMS_Enum_VlvFaultSts</t>
  </si>
  <si>
    <t>0 = VlvFaultSts_NoFault</t>
  </si>
  <si>
    <t>1 = VlvFaultSts_MotorCoilShort</t>
  </si>
  <si>
    <t>2 = VlvFaultSts_MotorCoilOpen</t>
  </si>
  <si>
    <t>3 = VlvFaultSts_OverTemperatureShutdown</t>
  </si>
  <si>
    <t>4 = VlvFaultSts_FaultStateIndeterminate</t>
  </si>
  <si>
    <t>5 = VlvFaultSts_Reserved</t>
  </si>
  <si>
    <t>TMS_Enum_VlvMode</t>
  </si>
  <si>
    <t>0 = VlvMode_NormalOperation</t>
  </si>
  <si>
    <t>1 = VlvMode_Mot_Off</t>
  </si>
  <si>
    <t>2 = VlvMode_Learning</t>
  </si>
  <si>
    <t>3 = VlvMode_Fail_Safe</t>
  </si>
  <si>
    <t>15 = VlvMode_SNA</t>
  </si>
  <si>
    <t>TMS_Enum_VlvMovEna</t>
  </si>
  <si>
    <t>0 = MoveDisable</t>
  </si>
  <si>
    <t>1 = MoveEnable</t>
  </si>
  <si>
    <t>TMS_Enum_VlvPosSetReq</t>
  </si>
  <si>
    <t>0 = VlvPosSetReq_MovetofullClosePosition</t>
  </si>
  <si>
    <t>1 = VlvPosSetReq_MovetoLevel1OpenPosition</t>
  </si>
  <si>
    <t>2 = VlvPosSetReq_MovetoLevel2OpenPosition</t>
  </si>
  <si>
    <t>3 = VlvPosSetReq_MovetoLevel3OpenPosition</t>
  </si>
  <si>
    <t>4 = VlvPosSetReq_MovetoLevel4OpenPosition</t>
  </si>
  <si>
    <t>5 = VlvPosSetReq_MovetoLevel5OpenPosition</t>
  </si>
  <si>
    <t>6 = VlvPosSetReq_MovetoLevel6OpenPosition</t>
  </si>
  <si>
    <t>7 = VlvPosSetReq_MovetoLevel7OpenPosition</t>
  </si>
  <si>
    <t>8 = VlvPosSetReq_MovetoLevel8OpenPosition</t>
  </si>
  <si>
    <t>9 = VlvPosSetReq_MovetoLevel9OpenPosition</t>
  </si>
  <si>
    <t>10 = VlvPosSetReq_MovetoLevel10OpenPosition</t>
  </si>
  <si>
    <t>11 = VlvPosSetReq_MovetoLevel11OpenPosition</t>
  </si>
  <si>
    <t>12 = VlvPosSetReq_MovetoLevel12OpenPosition</t>
  </si>
  <si>
    <t>13 = VlvPosSetReq_MovetoLevel13OpenPosition</t>
  </si>
  <si>
    <t>14 = VlvPosSetReq_MovetoLevel14OpenPosition</t>
  </si>
  <si>
    <t>15 = VlvPosSetReq_MovetoLevel15OpenPosition</t>
  </si>
  <si>
    <t>16 = VlvPosSetReq_MovetoLevel16OpenPosition</t>
  </si>
  <si>
    <t>17 = VlvPosSetReq_MovetoLevel17OpenPosition</t>
  </si>
  <si>
    <t>18 = VlvPosSetReq_MovetoLevel18OpenPosition</t>
  </si>
  <si>
    <t>19 = VlvPosSetReq_MovetoLevel19OpenPosition</t>
  </si>
  <si>
    <t>20 = VlvPosSetReq_MovetofullOpenPosition</t>
  </si>
  <si>
    <t>21 = VlvPosSetReq_Reserved</t>
  </si>
  <si>
    <t>TMS_Enum_VlvPosSts</t>
  </si>
  <si>
    <t>0 = VlvPosSts_FullClosePosition</t>
  </si>
  <si>
    <t>1 = VlvPosSts_Level1OpenPosition</t>
  </si>
  <si>
    <t>2 = VlvPosSts_Level2OpenPosition</t>
  </si>
  <si>
    <t>3 = VlvPosSts_Level3OpenPosition</t>
  </si>
  <si>
    <t>4 = VlvPosSts_Level4OpenPosition</t>
  </si>
  <si>
    <t>5 = VlvPosSts_Level5OpenPosition</t>
  </si>
  <si>
    <t>6 = VlvPosSts_Level6OpenPosition</t>
  </si>
  <si>
    <t>7 = VlvPosSts_Level7OpenPosition</t>
  </si>
  <si>
    <t>8 = VlvPosSts_Level8OpenPosition</t>
  </si>
  <si>
    <t>9 = VlvPosSts_Level9OpenPosition</t>
  </si>
  <si>
    <t>10 = VlvPosSts_Level10OpenPosition</t>
  </si>
  <si>
    <t>11 = VlvPosSts_Level11OpenPosition</t>
  </si>
  <si>
    <t>12 = VlvPosSts_Level12OpenPosition</t>
  </si>
  <si>
    <t>13 = VlvPosSts_Level13OpenPosition</t>
  </si>
  <si>
    <t>14 = VlvPosSts_Level14OpenPosition</t>
  </si>
  <si>
    <t>15 = VlvPosSts_Level15OpenPosition</t>
  </si>
  <si>
    <t>16 = VlvPosSts_Level16OpenPosition</t>
  </si>
  <si>
    <t>17 = VlvPosSts_Level17OpenPosition</t>
  </si>
  <si>
    <t>18 = VlvPosSts_Level18OpenPosition</t>
  </si>
  <si>
    <t>19 = VlvPosSts_Level19OpenPosition</t>
  </si>
  <si>
    <t>20 = VlvPosSts_FullOpenPosition</t>
  </si>
  <si>
    <t>21 = VlvPosSts_UnknowPosition</t>
  </si>
  <si>
    <t>22 = VlvPosSts_Reserved</t>
  </si>
  <si>
    <t>TMS_Enum_VlvRunSts</t>
  </si>
  <si>
    <t>0 = VlvRunSts_NotMoving</t>
  </si>
  <si>
    <t>1 = VlvRunSts_Moving</t>
  </si>
  <si>
    <t>TMS_Enum_VlvSpdLvl</t>
  </si>
  <si>
    <t>0 = VlvSpdLvl_Invalid</t>
  </si>
  <si>
    <t>1 = VlvSpdLvl_Level1</t>
  </si>
  <si>
    <t>2 = VlvSpdLvl_Level2</t>
  </si>
  <si>
    <t>3 = VlvSpdLvl_Reserved</t>
  </si>
  <si>
    <t>TMS_Enum_VlvSpdLvlReq</t>
  </si>
  <si>
    <t>0 = VlvSpdLvlReq_Invalid</t>
  </si>
  <si>
    <t>1 = VlvSpdLvlReq_Level1</t>
  </si>
  <si>
    <t>2 = VlvSpdLvlReq_Level2</t>
  </si>
  <si>
    <t>3 = VlvSpdLvlReq_Reserved</t>
  </si>
  <si>
    <t>TMS_Enum_VlvTempSts</t>
  </si>
  <si>
    <t>0 = VlvTempSts_TemperaureOK</t>
  </si>
  <si>
    <t>1 = VlvTempSts_OverTemperatureWarning</t>
  </si>
  <si>
    <t>2 = VlvTempSts_Reserved1</t>
  </si>
  <si>
    <t>3 = VlvTempSts_Reserved2</t>
  </si>
  <si>
    <t>TMS_Enum_VolFlowReqTyp1</t>
  </si>
  <si>
    <t>0 = VolFlowReqTyp1_NoReq</t>
  </si>
  <si>
    <t>1 = VolFlowReqTyp1_BrkReqNorm</t>
  </si>
  <si>
    <t>2 = VolFlowReqTyp1_BrkReqFast</t>
  </si>
  <si>
    <t>3 = VolFlowReqTyp1_Resd3</t>
  </si>
  <si>
    <t>TMS_Enum_VoltageErrorTLCM</t>
  </si>
  <si>
    <t>0 = VoltageError_normal</t>
  </si>
  <si>
    <t>1 = VoltageError_lowwerthan9V</t>
  </si>
  <si>
    <t>2 = VoltageError_higherthan16V</t>
  </si>
  <si>
    <t>TMS_Enum_VoltSts</t>
  </si>
  <si>
    <t>0 = VoltSts_VoltageOK</t>
  </si>
  <si>
    <t>1 = VoltSts_OverVoltage</t>
  </si>
  <si>
    <t>2 = VoltSts_UnderVoltage</t>
  </si>
  <si>
    <t>3 = VoltSts_Reserved</t>
  </si>
  <si>
    <t>TMS_Enum_VolUnit</t>
  </si>
  <si>
    <t>0 = VolUnit_litre</t>
  </si>
  <si>
    <t>1 = VolUnit_gallon1</t>
  </si>
  <si>
    <t>2 = VolUnit_gallon2</t>
  </si>
  <si>
    <t>3 = VolUnit_UkwnUnit</t>
  </si>
  <si>
    <t>TMS_Enum_WalkAwayLockHmi</t>
  </si>
  <si>
    <t>0 = WalkAwayLockHmi_Off</t>
  </si>
  <si>
    <t>1 = WalkAwayLockHmi_OnWithoutAnyDoorClose</t>
  </si>
  <si>
    <t>2 = WalkAwayLockHmi_OnWithDriverDoorClose</t>
  </si>
  <si>
    <t>3 = WalkAwayLockHmi_OnWithAllDoorClose</t>
  </si>
  <si>
    <t>4 = WalkAwayLockHmi_OnWithAllDoorAndTailgateClose</t>
  </si>
  <si>
    <t>5 = WalkAwayLockHmi_Reserved1</t>
  </si>
  <si>
    <t>6 = WalkAwayLockHmi_Reserved2</t>
  </si>
  <si>
    <t>7 = WalkAwayLockHmi_Reserved3</t>
  </si>
  <si>
    <t>TMS_Enum_Warn2</t>
  </si>
  <si>
    <t>0 = Warn2_NoWarn</t>
  </si>
  <si>
    <t>1 = Warn2_Warn</t>
  </si>
  <si>
    <t>TMS_Enum_WarningInd</t>
  </si>
  <si>
    <t>0 = WarningInd_NoWarning</t>
  </si>
  <si>
    <t>1 = WarningInd_Warning</t>
  </si>
  <si>
    <t>TMS_Enum_WhlLockReq</t>
  </si>
  <si>
    <t>0 = WhlLockReq_NoRequest</t>
  </si>
  <si>
    <t>1 = WhlLockReq_Apply</t>
  </si>
  <si>
    <t>2 = WhlLockReq_Release</t>
  </si>
  <si>
    <t>3 = WhlLockReq_Reserved</t>
  </si>
  <si>
    <t>TMS_Enum_WhlMotSysActvDampgModCodSts</t>
  </si>
  <si>
    <t>0 = WhlMotSysActvDampgModCodSts_NoDampg</t>
  </si>
  <si>
    <t>1 = WhlMotSysActvDampgModCodSts_LoDampg</t>
  </si>
  <si>
    <t>2 = WhlMotSysActvDampgModCodSts_MedDampg</t>
  </si>
  <si>
    <t>3 = WhlMotSysActvDampgModCodSts_HiDampg</t>
  </si>
  <si>
    <t>TMS_Enum_WhlMotSysCluStsTyp1</t>
  </si>
  <si>
    <t>0 = WhlMotSysCluStsTyp1_NoReq</t>
  </si>
  <si>
    <t>1 = WhlMotSysCluStsTyp1_ReqDisEngd</t>
  </si>
  <si>
    <t>2 = WhlMotSysCluStsTyp1_SlwPosDiffSpd</t>
  </si>
  <si>
    <t>3 = WhlMotSysCluStsTyp1_FstPosDiffSpd</t>
  </si>
  <si>
    <t>4 = WhlMotSysCluStsTyp1_SlwNegDiffSpd</t>
  </si>
  <si>
    <t>5 = WhlMotSysCluStsTyp1_FstNegDiffSpd</t>
  </si>
  <si>
    <t>6 = WhlMotSysCluStsTyp1_Reserved1</t>
  </si>
  <si>
    <t>7 = WhlMotSysCluStsTyp1_Reserved2</t>
  </si>
  <si>
    <t>TMS_Enum_WhlMotSysHeatFdBck</t>
  </si>
  <si>
    <t>0 = WhlMotSysHeatFdBck_On</t>
  </si>
  <si>
    <t>1 = WhlMotSysHeatFdBck_Off</t>
  </si>
  <si>
    <t>2 = WhlMotSysHeatFdBck_Inhibt</t>
  </si>
  <si>
    <t>3 = WhlMotSysHeatFdBck_Reserved</t>
  </si>
  <si>
    <t>TMS_Enum_WhlMotSysModStsTyp1</t>
  </si>
  <si>
    <t>0 = WhlMotSysModStsTyp1_Inin</t>
  </si>
  <si>
    <t>1 = WhlMotSysModStsTyp1_Stb</t>
  </si>
  <si>
    <t>2 = WhlMotSysModStsTyp1_TqCtrl</t>
  </si>
  <si>
    <t>3 = WhlMotSysModStsTyp1_SpdCtrlIdle</t>
  </si>
  <si>
    <t>4 = WhlMotSysModStsTyp1_CluOper</t>
  </si>
  <si>
    <t>5 = WhlMotSysModStsTyp1_PreChrg</t>
  </si>
  <si>
    <t>6 = WhlMotSysModStsTyp1_PwrDwn</t>
  </si>
  <si>
    <t>7 = WhlMotSysModStsTyp1_Flt</t>
  </si>
  <si>
    <t>TMS_Enum_WhlMotSysModStsTyp2</t>
  </si>
  <si>
    <t>0 = WhlMotSysModStsTyp2_Inin</t>
  </si>
  <si>
    <t>1 = WhlMotSysModStsTyp2_Stb</t>
  </si>
  <si>
    <t>2 = WhlMotSysModStsTyp2_TqCtrl</t>
  </si>
  <si>
    <t>3 = WhlMotSysModStsTyp2_SpdCtrlIdle</t>
  </si>
  <si>
    <t>4 = WhlMotSysModStsTyp2_CluOper</t>
  </si>
  <si>
    <t>5 = WhlMotSysModStsTyp2_PreChrg</t>
  </si>
  <si>
    <t>6 = WhlMotSysModStsTyp2_PwrDwn</t>
  </si>
  <si>
    <t>7 = WhlMotSysModStsTyp2_Flt</t>
  </si>
  <si>
    <t>8 = WhlMotSysModStsTyp2_TcsCtrl</t>
  </si>
  <si>
    <t>TMS_Enum_WhlRotlDirStd1</t>
  </si>
  <si>
    <t>0 = WhlRotlDirStd1_Undefd</t>
  </si>
  <si>
    <t>1 = WhlRotlDirStd1_StandStill</t>
  </si>
  <si>
    <t>2 = WhlRotlDirStd1_Fwd</t>
  </si>
  <si>
    <t>3 = WhlRotlDirStd1_Backw</t>
  </si>
  <si>
    <t>TMS_Enum_WinAndRoofAndCurtPosnTyp</t>
  </si>
  <si>
    <t>0 = WinAndRoofAndCurtPosnTyp_PosnUkwn</t>
  </si>
  <si>
    <t>1 = WinAndRoofAndCurtPosnTyp_ClsFull</t>
  </si>
  <si>
    <t>2 = WinAndRoofAndCurtPosnTyp_PercOpen4</t>
  </si>
  <si>
    <t>3 = WinAndRoofAndCurtPosnTyp_PercOpen8</t>
  </si>
  <si>
    <t>4 = WinAndRoofAndCurtPosnTyp_PercOpen12</t>
  </si>
  <si>
    <t>5 = WinAndRoofAndCurtPosnTyp_PercOpen16</t>
  </si>
  <si>
    <t>6 = WinAndRoofAndCurtPosnTyp_PercOpen20</t>
  </si>
  <si>
    <t>7 = WinAndRoofAndCurtPosnTyp_PercOpen24</t>
  </si>
  <si>
    <t>8 = WinAndRoofAndCurtPosnTyp_PercOpen28</t>
  </si>
  <si>
    <t>9 = WinAndRoofAndCurtPosnTyp_PercOpen32</t>
  </si>
  <si>
    <t>10 = WinAndRoofAndCurtPosnTyp_PercOpen36</t>
  </si>
  <si>
    <t>11 = WinAndRoofAndCurtPosnTyp_PercOpen40</t>
  </si>
  <si>
    <t>12 = WinAndRoofAndCurtPosnTyp_PercOpen44</t>
  </si>
  <si>
    <t>13 = WinAndRoofAndCurtPosnTyp_PercOpen48</t>
  </si>
  <si>
    <t>14 = WinAndRoofAndCurtPosnTyp_PercOpen52</t>
  </si>
  <si>
    <t>15 = WinAndRoofAndCurtPosnTyp_PercOpen56</t>
  </si>
  <si>
    <t>16 = WinAndRoofAndCurtPosnTyp_PercOpen60</t>
  </si>
  <si>
    <t>17 = WinAndRoofAndCurtPosnTyp_PercOpen64</t>
  </si>
  <si>
    <t>18 = WinAndRoofAndCurtPosnTyp_PercOpen68</t>
  </si>
  <si>
    <t>19 = WinAndRoofAndCurtPosnTyp_PercOpen72</t>
  </si>
  <si>
    <t>20 = WinAndRoofAndCurtPosnTyp_PercOpen76</t>
  </si>
  <si>
    <t>21 = WinAndRoofAndCurtPosnTyp_PercOpen80</t>
  </si>
  <si>
    <t>22 = WinAndRoofAndCurtPosnTyp_PercOpen84</t>
  </si>
  <si>
    <t>23 = WinAndRoofAndCurtPosnTyp_PercOpen88</t>
  </si>
  <si>
    <t>24 = WinAndRoofAndCurtPosnTyp_PercOpen92</t>
  </si>
  <si>
    <t>25 = WinAndRoofAndCurtPosnTyp_PercOpen96</t>
  </si>
  <si>
    <t>26 = WinAndRoofAndCurtPosnTyp_OpenFull</t>
  </si>
  <si>
    <t>27 = WinAndRoofAndCurtPosnTyp_Resd1</t>
  </si>
  <si>
    <t>28 = WinAndRoofAndCurtPosnTyp_Resd2</t>
  </si>
  <si>
    <t>29 = WinAndRoofAndCurtPosnTyp_Resd3</t>
  </si>
  <si>
    <t>30 = WinAndRoofAndCurtPosnTyp_Resd4</t>
  </si>
  <si>
    <t>31 = WinAndRoofAndCurtPosnTyp_Movg</t>
  </si>
  <si>
    <t>TMS_Enum_WindMod</t>
  </si>
  <si>
    <t>0 = WindMod_Flr</t>
  </si>
  <si>
    <t>1 = WindMod_Vent</t>
  </si>
  <si>
    <t>2 = WindMod_Defrst</t>
  </si>
  <si>
    <t>3 = WindMod_FlrDefrst</t>
  </si>
  <si>
    <t>4 = WindMod_FlrVent</t>
  </si>
  <si>
    <t>5 = WindMod_VentDefrst</t>
  </si>
  <si>
    <t>6 = WindMod_FlrVentDefrst</t>
  </si>
  <si>
    <t>7 = WindMod_Aut</t>
  </si>
  <si>
    <t>8 = WindMod_Unknow</t>
  </si>
  <si>
    <t>TMS_Enum_WinOpenClsGlbSts</t>
  </si>
  <si>
    <t>0 = WinOpenClsGlbReqFromTelm_Idle</t>
  </si>
  <si>
    <t>1 = WinOpenClsGlbReqFromTelm_Open</t>
  </si>
  <si>
    <t>2 = WinOpenClsGlbReqFromTelm_Close</t>
  </si>
  <si>
    <t>TMS_Enum_WinPosnReq</t>
  </si>
  <si>
    <t>0 = WinPosnReq_Idle</t>
  </si>
  <si>
    <t>1 = WinPosnReq_UpMan</t>
  </si>
  <si>
    <t>2 = WinPosnReq_UpAut</t>
  </si>
  <si>
    <t>3 = WinPosnReq_DwnMan</t>
  </si>
  <si>
    <t>4 = WinPosnReq_DwnAut</t>
  </si>
  <si>
    <t>5 = WinPosnReq_NotDefd</t>
  </si>
  <si>
    <t>TMS_Enum_WipgAutFrntMod</t>
  </si>
  <si>
    <t>0 = WipgAutFrntMod_Off</t>
  </si>
  <si>
    <t>1 = WipgAutFrntMod_ImdtMod</t>
  </si>
  <si>
    <t>2 = WipgAutFrntMod_IntlMod</t>
  </si>
  <si>
    <t>3 = WipgAutFrntMod_ContnsMod</t>
  </si>
  <si>
    <t>TMS_Enum_WipgSpd2</t>
  </si>
  <si>
    <t>0 = WipgSpd2_WipgSpd0Rpm</t>
  </si>
  <si>
    <t>1 = WipgSpd2_WipgSpd40Rpm</t>
  </si>
  <si>
    <t>2 = WipgSpd2_WipgSpd43Rpm</t>
  </si>
  <si>
    <t>3 = WipgSpd2_WipgSpd46Rpm</t>
  </si>
  <si>
    <t>4 = WipgSpd2_WipgSpd50Rpm</t>
  </si>
  <si>
    <t>5 = WipgSpd2_WipgSpd54Rpm</t>
  </si>
  <si>
    <t>6 = WipgSpd2_WipgSpd57Rpm</t>
  </si>
  <si>
    <t>7 = WipgSpd2_WipgSpd60Rpm</t>
  </si>
  <si>
    <t>TMS_Enum_WipgSpdInfo</t>
  </si>
  <si>
    <t>0 = WipgSpdInfo_Off</t>
  </si>
  <si>
    <t>1 = WipgSpdInfo_IntlLo</t>
  </si>
  <si>
    <t>2 = WipgSpdInfo_IntlHi</t>
  </si>
  <si>
    <t>3 = WipgSpdInfo_WipgSpd4045</t>
  </si>
  <si>
    <t>4 = WipgSpdInfo_WipgSpd4650</t>
  </si>
  <si>
    <t>5 = WipgSpdInfo_WipgSpd5155</t>
  </si>
  <si>
    <t>6 = WipgSpdInfo_WipgSpd5660</t>
  </si>
  <si>
    <t>7 = WipgSpdInfo_WiprErr</t>
  </si>
  <si>
    <t>TMS_Enum_WipgSpdIntlFromHmi</t>
  </si>
  <si>
    <t>0 = WipgSpdIntlFromHmi_Posn0</t>
  </si>
  <si>
    <t>1 = WipgSpdIntlFromHmi_Posn1</t>
  </si>
  <si>
    <t>2 = WipgSpdIntlFromHmi_Posn2</t>
  </si>
  <si>
    <t>3 = WipgSpdIntlFromHmi_Posn3</t>
  </si>
  <si>
    <t>4 = WipgSpdIntlFromHmi_Posn4</t>
  </si>
  <si>
    <t>5 = WipgSpdIntlFromHmi_Posn5</t>
  </si>
  <si>
    <t>6 = WipgSpdIntlFromHmi_Posn6</t>
  </si>
  <si>
    <t>7 = WipgSpdIntlFromHmi_Posn7</t>
  </si>
  <si>
    <t>TMS_Enum_WiprSrvModReq</t>
  </si>
  <si>
    <t>0 = WiprSrvModReq_NoActn</t>
  </si>
  <si>
    <t>1 = WiprSrvModReq_ActvtSrvPosn</t>
  </si>
  <si>
    <t>2 = WiprSrvModReq_DeActvtSrvPosn</t>
  </si>
  <si>
    <t>TMS_Enum_WPCChrgnSts</t>
  </si>
  <si>
    <t>0 = WPCChrgnSts_Standby</t>
  </si>
  <si>
    <t>1 = WPCChrgnSts_Charging</t>
  </si>
  <si>
    <t>2 = WPCChrgnSts_ChargingcompletedAvailedwhenRxsupport</t>
  </si>
  <si>
    <t>3 = WPCChrgnSts_Notinstandby</t>
  </si>
  <si>
    <t>TMS_Enum_WPCCtrlRes</t>
  </si>
  <si>
    <t>0 = WPCCtrlRes_WPCenabled</t>
  </si>
  <si>
    <t>1 = WPCCtrlRes_WPCdisabledbyPEPS</t>
  </si>
  <si>
    <t>2 = WPCCtrlRes_WPCshutdownbySwitchOrCAN</t>
  </si>
  <si>
    <t>3 = WPCCtrlRes_WPCdisabledbyNFC</t>
  </si>
  <si>
    <t>TMS_Enum_WPCFailureSts</t>
  </si>
  <si>
    <t>0 = WPCFailureSts_NoFailure</t>
  </si>
  <si>
    <t>1 = WPCFailureSts_OverTemperature</t>
  </si>
  <si>
    <t>2 = WPCFailureSts_RFOD</t>
  </si>
  <si>
    <t>3 = WPCFailureSts_VoltageProtected</t>
  </si>
  <si>
    <t>4 = WPCFailureSts_OverPowerProtected</t>
  </si>
  <si>
    <t>5 = WPCFailureSts_InternalFailure</t>
  </si>
  <si>
    <t>6 = WPCFailureSts_SmartPhoneNoResponseOrUnknown</t>
  </si>
  <si>
    <t>7 = WPCFailureSts_OFOD</t>
  </si>
  <si>
    <t>8 = WPCFailureSts_NFCCardProtect</t>
  </si>
  <si>
    <t>9 = WPCFailureSts_Reserved2</t>
  </si>
  <si>
    <t>10 = WPCFailureSts_Reserved3</t>
  </si>
  <si>
    <t>11 = WPCFailureSts_Reserved4</t>
  </si>
  <si>
    <t>12 = WPCFailureSts_Reserved5</t>
  </si>
  <si>
    <t>13 = WPCFailureSts_Reserved6</t>
  </si>
  <si>
    <t>14 = WPCFailureSts_Reserved7</t>
  </si>
  <si>
    <t>15 = WPCFailureSts_Invalid</t>
  </si>
  <si>
    <t>TMS_Enum_WPCModuleSts</t>
  </si>
  <si>
    <t>0 = WPCModuleSts_OverTemperatureProtected</t>
  </si>
  <si>
    <t>1 = WPCModuleSts_Standby</t>
  </si>
  <si>
    <t>2 = WPCModuleSts_Charging</t>
  </si>
  <si>
    <t>3 = WPCModuleSts_FOD</t>
  </si>
  <si>
    <t>4 = WPCModuleSts_VoltageProtected</t>
  </si>
  <si>
    <t>5 = WPCModuleSts_OverPowerProtected</t>
  </si>
  <si>
    <t>6 = WPCModuleSts_Transmittingcoildisable</t>
  </si>
  <si>
    <t>7 = WPCModuleSts_OFF</t>
  </si>
  <si>
    <t>8 = WPCModuleSts_ChargingCompleted</t>
  </si>
  <si>
    <t>9 = WPCModuleSts_DeactivatedbyUser</t>
  </si>
  <si>
    <t>10 = WPCModuleSts_InternalFailure</t>
  </si>
  <si>
    <t>11 = WPCModuleSts_NFCFailure</t>
  </si>
  <si>
    <t>12 = WPCModuleSts_NFCCardProtect</t>
  </si>
  <si>
    <t>13 = WPCModuleSts_Resvd5</t>
  </si>
  <si>
    <t>14 = WPCModuleSts_Resvd6</t>
  </si>
  <si>
    <t>15 = WPCModuleSts_Invalid</t>
  </si>
  <si>
    <t>TMS_Enum_YesNo1</t>
  </si>
  <si>
    <t>0 = YesNo1_Yes</t>
  </si>
  <si>
    <t>1 = YesNo1_No</t>
  </si>
  <si>
    <t>TMS_Enum_YesNo2</t>
  </si>
  <si>
    <t>0 = YesNo2_No</t>
  </si>
  <si>
    <t>1 = YesNo2_Yes</t>
  </si>
  <si>
    <t>TMS_Enum_ZoneId</t>
  </si>
  <si>
    <t>0 = ZoneId_kAllZone</t>
  </si>
  <si>
    <t>1 = ZoneId_kFirstRow</t>
  </si>
  <si>
    <t>2 = ZoneId_kSecondRow</t>
  </si>
  <si>
    <t>3 = ZoneId_kFirstRowLeft</t>
  </si>
  <si>
    <t>4 = ZoneId_kFirstRowRight</t>
  </si>
  <si>
    <t>5 = ZoneId_kSecondRowLeft</t>
  </si>
  <si>
    <t>6 = ZoneId_kSecondRowMiddl</t>
  </si>
  <si>
    <t>7 = ZoneId_kSecondRowRight</t>
  </si>
  <si>
    <t>8 = ZoneId_kThirdRow</t>
  </si>
  <si>
    <t>TMS_Enum_MotRunCmd</t>
  </si>
  <si>
    <t>0 = MotRunCmd_Stop</t>
  </si>
  <si>
    <t>停</t>
  </si>
  <si>
    <t>1 = MotRunCmd_CW</t>
  </si>
  <si>
    <t>正转</t>
  </si>
  <si>
    <t>2 = MotRunCmd_CCW</t>
  </si>
  <si>
    <t>反转</t>
  </si>
  <si>
    <t>3 = MotRunCmd_Low Side Brake</t>
  </si>
  <si>
    <t>刹车</t>
  </si>
  <si>
    <t>IoRx_CoolgFanPwmFlt_u8+N57:P57</t>
  </si>
  <si>
    <t>OnOffReq_FL</t>
  </si>
  <si>
    <t>OnOffReq_FR</t>
  </si>
  <si>
    <t>OnOffReq_RL</t>
  </si>
  <si>
    <t>AutoReq_FL</t>
  </si>
  <si>
    <t>AutoReq_FR</t>
  </si>
  <si>
    <t>AutoReq_RL</t>
  </si>
  <si>
    <t>MaxDefReq</t>
  </si>
  <si>
    <t>FastVent</t>
  </si>
  <si>
    <t>MaxACReq</t>
  </si>
  <si>
    <t>MaxHeatReq</t>
  </si>
  <si>
    <t>SmartClearReq</t>
  </si>
  <si>
    <t>ACReq_FL</t>
  </si>
  <si>
    <t>ACReq_FR</t>
  </si>
  <si>
    <t>ACReq_RL</t>
  </si>
  <si>
    <t>HeatReq_FL</t>
  </si>
  <si>
    <t>HeatReq_FR</t>
  </si>
  <si>
    <t>HeatReq_RL</t>
  </si>
  <si>
    <t>VentReq_FL</t>
  </si>
  <si>
    <t>VentReq_FR</t>
  </si>
  <si>
    <t>VentReq_RL</t>
  </si>
  <si>
    <t>TSet_FL</t>
  </si>
  <si>
    <t>TSet_FR</t>
  </si>
  <si>
    <t>TSet_RL</t>
  </si>
  <si>
    <t>WindLvl_FL</t>
  </si>
  <si>
    <t>WindLvl_FR</t>
  </si>
  <si>
    <t>WindLvl_RL</t>
  </si>
  <si>
    <t>OutletMode_FL</t>
  </si>
  <si>
    <t>OutletMode_FR</t>
  </si>
  <si>
    <t>OutletMode_RL</t>
  </si>
  <si>
    <t>Sync</t>
  </si>
  <si>
    <t>Inlet</t>
  </si>
  <si>
    <t>ECO</t>
  </si>
  <si>
    <t>AQS</t>
  </si>
  <si>
    <t>RrWndHet</t>
  </si>
  <si>
    <t>CfgAutoWindLvl</t>
  </si>
  <si>
    <t>ACFrtPnlLckRrPnl</t>
  </si>
  <si>
    <t>OccupantStsFL</t>
  </si>
  <si>
    <t>OccupantStsFR</t>
  </si>
  <si>
    <t>OccupantStsRL</t>
  </si>
  <si>
    <t>OccupantStsRM</t>
  </si>
  <si>
    <t>OccupantStsRR</t>
  </si>
  <si>
    <t>CmptmtFrntWindDewT</t>
  </si>
  <si>
    <t>CmptmtFrntWindT</t>
  </si>
  <si>
    <t>CmptmtRelHum</t>
  </si>
  <si>
    <t>RiSolarData</t>
  </si>
  <si>
    <t>LeSolarData</t>
  </si>
  <si>
    <t>VehSpd</t>
  </si>
  <si>
    <t>CarModSts</t>
  </si>
  <si>
    <t>UsgModSts</t>
  </si>
  <si>
    <t>Cal_Sig_AmbTEna</t>
  </si>
  <si>
    <t>Cal_Sig_AmbT</t>
  </si>
  <si>
    <t>Cal_Sig_InCarTEna</t>
  </si>
  <si>
    <t>Cal_Sig_InCarT</t>
  </si>
  <si>
    <t>Cal_Sig_HvacEvaprTFrntEna</t>
  </si>
  <si>
    <t>Cal_Sig_HvacEvaprTFrntT</t>
  </si>
  <si>
    <t>Cal_Sig_HvacEvaprTReEna</t>
  </si>
  <si>
    <t>Cal_Sig_HvacEvaprTReT</t>
  </si>
  <si>
    <t>Cal_Sig_HvacCondsorTFrntTEna</t>
  </si>
  <si>
    <t>Cal_Sig_HvacCondsorTFrntT</t>
  </si>
  <si>
    <t>Cal_Sig_CooltT1Ena</t>
  </si>
  <si>
    <t>Cal_Sig_CooltT1</t>
  </si>
  <si>
    <t>Cal_Sig_CooltT2Ena</t>
  </si>
  <si>
    <t>Cal_Sig_CooltT2</t>
  </si>
  <si>
    <t>Cal_Sig_CooltT3Ena</t>
  </si>
  <si>
    <t>Cal_Sig_CooltT3</t>
  </si>
  <si>
    <t>AutoDeHumPopUp</t>
  </si>
  <si>
    <t>AutoDefrstPopUp</t>
  </si>
  <si>
    <t>AutoFreshPopUp</t>
  </si>
  <si>
    <t>ClimaDefrstSts</t>
  </si>
  <si>
    <t>ClimaDefrstMaxSts</t>
  </si>
  <si>
    <t>HvacFrntBlowerSts</t>
  </si>
  <si>
    <t>HvacReBlowerSts</t>
  </si>
  <si>
    <t>HvacAirMFlwFrntEstimd</t>
  </si>
  <si>
    <t>HvacAirMFlwReEstimd</t>
  </si>
  <si>
    <t>HvacAirQFlwFrntEstimd</t>
  </si>
  <si>
    <t>HvacAirQFlwReEstimd</t>
  </si>
  <si>
    <t>HvacFrntBlwSpdFb</t>
  </si>
  <si>
    <t>HvacReBlwSpdFb</t>
  </si>
  <si>
    <t>HvacCoolgEnaFrnt</t>
  </si>
  <si>
    <t>HvacCoolgEnaRe</t>
  </si>
  <si>
    <t>HvacDefrstFlapActlPosn</t>
  </si>
  <si>
    <t>HvacEvaprTSpFrnt</t>
  </si>
  <si>
    <t>HvacEvaprTSpRe</t>
  </si>
  <si>
    <t>HvacModFlapActlPosnSecRowRi</t>
  </si>
  <si>
    <t>HvacOsaFlapActlPosn</t>
  </si>
  <si>
    <t>HvacRecFlapActlPosn</t>
  </si>
  <si>
    <t>HvacRecircActRat</t>
  </si>
  <si>
    <t>HvacTempFlapActlPosnSecRowRi</t>
  </si>
  <si>
    <t>HvacTgtAirTForRowFirstLe</t>
  </si>
  <si>
    <t>HvacTgtAirTForRowFirstRi</t>
  </si>
  <si>
    <t>HvacTgtAirTForRowSecLe</t>
  </si>
  <si>
    <t>HvacTgtAirTForRowSecRi</t>
  </si>
  <si>
    <t>AmbTEstimdAmbTEstimd</t>
  </si>
  <si>
    <t>AmbTEstimdQf</t>
  </si>
  <si>
    <t>CmptmtTFrntCmptmtTFrnt</t>
  </si>
  <si>
    <t>CmptmtTFrntFanForCmptmtTRunng</t>
  </si>
  <si>
    <t>CmptmtTFrntQf</t>
  </si>
  <si>
    <t>CmptmtTReCmptmtTFrnt</t>
  </si>
  <si>
    <t>CmptmtTReCmptmtTFrntQf</t>
  </si>
  <si>
    <t>CmptmtTReFanForCmptmtTRunng</t>
  </si>
  <si>
    <t>HvacEvaprTFrntTHvac</t>
  </si>
  <si>
    <t>HvacEvaprTFrntTQf</t>
  </si>
  <si>
    <t>HvacEvaprTReTHvac</t>
  </si>
  <si>
    <t>HvacEvaprTReTQf</t>
  </si>
  <si>
    <t>HvacAirTForRowFirstAtFlrLeTHvac</t>
  </si>
  <si>
    <t>HvacAirTForRowFirstAtFlrLeTQf</t>
  </si>
  <si>
    <t>HvacAirTForRowFirstAtFlrRiTHvac</t>
  </si>
  <si>
    <t>HvacAirTForRowFirstAtFlrRiTQf</t>
  </si>
  <si>
    <t>HvacAirTForRowFirstAtFaceLeTHvac</t>
  </si>
  <si>
    <t>HvacAirTForRowFirstAtFaceLeTQf</t>
  </si>
  <si>
    <t>HvacAirTForRowFirstAtFaceRiTHvac</t>
  </si>
  <si>
    <t>HvacAirTForRowFirstAtFaceRiTQf</t>
  </si>
  <si>
    <t>HvacAirTForRowSecAtFlrLeTHvac</t>
  </si>
  <si>
    <t>HvacAirTForRowSecAtFlrLeTQf</t>
  </si>
  <si>
    <t>HvacAirTForRowSecAtFlrRiTHvac</t>
  </si>
  <si>
    <t>HvacAirTForRowSecAtFlrRiTQf</t>
  </si>
  <si>
    <t>HvacAirTForRowSecAtFaceLeTHvac</t>
  </si>
  <si>
    <t>HvacAirTForRowSecAtFaceLeTQf</t>
  </si>
  <si>
    <t>HvacAirTForRowSecAtFaceRiTHvac</t>
  </si>
  <si>
    <t>HvacAirTForRowSecAtFaceRiTQf</t>
  </si>
  <si>
    <t>HvacCondsorTFrntTHvac</t>
  </si>
  <si>
    <t>HvacCondsorTFrntTQf</t>
  </si>
  <si>
    <t>HvacCondsorTspFrntTHvac</t>
  </si>
  <si>
    <t>ClimaThermReq</t>
  </si>
  <si>
    <t>ClimaThermSts</t>
  </si>
  <si>
    <t>HvacAirTHvacIntkT</t>
  </si>
  <si>
    <t>RsvdSigForClima01</t>
  </si>
  <si>
    <t>RsvdSigForClima02</t>
  </si>
  <si>
    <t>RsvdSigForClima03</t>
  </si>
  <si>
    <t>RsvdSigForClima04</t>
  </si>
  <si>
    <t>RsvdSigForClima05</t>
  </si>
  <si>
    <t>RsvdSigForClima06</t>
  </si>
  <si>
    <t>RsvdSigForClima07</t>
  </si>
  <si>
    <t>RsvdSigForClima08</t>
  </si>
  <si>
    <t>RsvdSigForClima09</t>
  </si>
  <si>
    <t>RsvdSigForClima10</t>
  </si>
  <si>
    <t>RsvdSigForClima11</t>
  </si>
  <si>
    <t>RsvdSigForClima12</t>
  </si>
  <si>
    <t>RsvdSigForClima13</t>
  </si>
  <si>
    <t>RsvdSigForClima14</t>
  </si>
  <si>
    <t>RsvdSigForClima15</t>
  </si>
  <si>
    <t>RsvdSigForClima16</t>
  </si>
  <si>
    <t>RsvdSigForClima17</t>
  </si>
  <si>
    <t>RsvdSigForClima18</t>
  </si>
  <si>
    <t>RsvdSigForClima19</t>
  </si>
  <si>
    <t>RsvdSigForClima20</t>
  </si>
  <si>
    <t>RsvdSigForClima21</t>
  </si>
  <si>
    <t>RsvdSigForClima22</t>
  </si>
  <si>
    <t>RsvdSigForClima23</t>
  </si>
  <si>
    <t>HvacDefrstFlapTgtPosn</t>
  </si>
  <si>
    <t>HvacModFlapTgtPosnFrstRowLe</t>
  </si>
  <si>
    <t>HvacModFlapTgtPosnFrstRowRi</t>
  </si>
  <si>
    <t>HvacModFlapTgtPosnSecRowLe</t>
  </si>
  <si>
    <t>HvacModFlapTgtPosnSecRowRi</t>
  </si>
  <si>
    <t>HvacOsaFlapTgtPosn</t>
  </si>
  <si>
    <t>HvacRecFlapTgtPosn</t>
  </si>
  <si>
    <t>HvacTempFlapTgtPosnFrstRowLe</t>
  </si>
  <si>
    <t>HvacTempFlapTgtPosnFrstRowRi</t>
  </si>
  <si>
    <t>HvacTempFlapTgtPosnSecRowLe</t>
  </si>
  <si>
    <t>HvacTempFlapTgtPosnSecRowRi</t>
  </si>
  <si>
    <t>HvBattThermRunAway</t>
  </si>
  <si>
    <t>WhlMotCooltFlowMinReq</t>
  </si>
  <si>
    <t>WhlMotSysCoolgReq</t>
  </si>
  <si>
    <t>WhlMotSysCooltT</t>
  </si>
  <si>
    <t>WhlMotSysInvrT</t>
  </si>
  <si>
    <t>WhlMotSysMotT</t>
  </si>
  <si>
    <t>DCChrgSt</t>
  </si>
  <si>
    <t>DCChrgnHndlSts</t>
  </si>
  <si>
    <t>ACChrgSt</t>
  </si>
  <si>
    <t>ACChrgnHndlSts</t>
  </si>
  <si>
    <t>HvBattCooltFlowReq</t>
  </si>
  <si>
    <t>HvBattCooltMaxTReq</t>
  </si>
  <si>
    <t>HvBattCooltMinTReq</t>
  </si>
  <si>
    <t>HvBattCooltTReq</t>
  </si>
  <si>
    <t>HvBattThermReq</t>
  </si>
  <si>
    <t>HvBattTAvg</t>
  </si>
  <si>
    <t>HvBattTMax</t>
  </si>
  <si>
    <t>HvBattTMin</t>
  </si>
  <si>
    <t>HvBattActSOC</t>
  </si>
  <si>
    <t>HvSysRlyStsChks</t>
  </si>
  <si>
    <t>HvSysRlyStsCntr</t>
  </si>
  <si>
    <t>HvSysRlyStsHvSysRlySts</t>
  </si>
  <si>
    <t>HvCmprPwrAllwd</t>
  </si>
  <si>
    <t>HvHeatrPwrAllwd</t>
  </si>
  <si>
    <t>WhlMotCooltFlwEstimd</t>
  </si>
  <si>
    <t>HvBattCooltFlwEstimd</t>
  </si>
  <si>
    <t>HvBattThermReqFb</t>
  </si>
  <si>
    <t>HvCmprNormPwrDes</t>
  </si>
  <si>
    <t>HvHeatrNormPwrDes</t>
  </si>
  <si>
    <t>HvCmprCritPwrDes</t>
  </si>
  <si>
    <t>HvHeatrCritPwrDes</t>
  </si>
  <si>
    <t>ThermDeiceReq</t>
  </si>
  <si>
    <t>ThermRfgModReq</t>
  </si>
  <si>
    <t>ThermRfgModSts</t>
  </si>
  <si>
    <t>ThermRfgModSwtSts</t>
  </si>
  <si>
    <t>ThermCooltModReq</t>
  </si>
  <si>
    <t>ThermCooltModSts</t>
  </si>
  <si>
    <t>ThermCooltModSwtSts</t>
  </si>
  <si>
    <t>RfgSnsrT1</t>
  </si>
  <si>
    <t>RfgSnsrT2</t>
  </si>
  <si>
    <t>RfgSnsrT3</t>
  </si>
  <si>
    <t>RfgSnsrT4</t>
  </si>
  <si>
    <t>RfgSnsrP1</t>
  </si>
  <si>
    <t>RfgSnsrPT1T</t>
  </si>
  <si>
    <t>RfgSnsrPT1P</t>
  </si>
  <si>
    <t>RfgSnsrT5Rsvd</t>
  </si>
  <si>
    <t>RfgSnsrT6Rsvd</t>
  </si>
  <si>
    <t>RfgSnsrT7Rsvd</t>
  </si>
  <si>
    <t>RfgSnsrT8Rsvd</t>
  </si>
  <si>
    <t>RfgSnsrP5Rsvd</t>
  </si>
  <si>
    <t>RfgSnsrP6Rsvd</t>
  </si>
  <si>
    <t>RfgSnsrP7Rsvd</t>
  </si>
  <si>
    <t>RfgSnsrP8Rsvd</t>
  </si>
  <si>
    <t>CooltSnsrT1</t>
  </si>
  <si>
    <t>CooltSnsrT2</t>
  </si>
  <si>
    <t>CooltSnsrT3</t>
  </si>
  <si>
    <t>CooltSnsrT4Rsvd</t>
  </si>
  <si>
    <t>CooltSnsrT5Rsvd</t>
  </si>
  <si>
    <t>CooltSnsrT6Rsvd</t>
  </si>
  <si>
    <t>CooltSnsrT7Rsvd</t>
  </si>
  <si>
    <t>CooltSnsrT8Rsvd</t>
  </si>
  <si>
    <t>CRFMAirMFlwEstimd</t>
  </si>
  <si>
    <t>CRFMAirQFlwEstimd</t>
  </si>
  <si>
    <t>ThermCptsSts</t>
  </si>
  <si>
    <t>ThermProtnSts</t>
  </si>
  <si>
    <t>ThermSysSts</t>
  </si>
  <si>
    <t>RsvdSigForTherm01</t>
  </si>
  <si>
    <t>RsvdSigForTherm02</t>
  </si>
  <si>
    <t>RsvdSigForTherm03</t>
  </si>
  <si>
    <t>RsvdSigForTherm04</t>
  </si>
  <si>
    <t>RsvdSigForTherm05</t>
  </si>
  <si>
    <t>RsvdSigForTherm06</t>
  </si>
  <si>
    <t>RsvdSigForTherm07</t>
  </si>
  <si>
    <t>RsvdSigForTherm08</t>
  </si>
  <si>
    <t>RsvdSigForTherm09</t>
  </si>
  <si>
    <t>RsvdSigForTherm10</t>
  </si>
  <si>
    <t>RsvdSigForTherm11</t>
  </si>
  <si>
    <t>RsvdSigForTherm12</t>
  </si>
  <si>
    <t>RsvdSigForTherm13</t>
  </si>
  <si>
    <t>RsvdSigForTherm14</t>
  </si>
  <si>
    <t>RsvdSigForTherm15</t>
  </si>
  <si>
    <t>RsvdSigForTherm16</t>
  </si>
  <si>
    <t>RsvdSigForTherm17</t>
  </si>
  <si>
    <t>RsvdSigForTherm18</t>
  </si>
  <si>
    <t>RsvdSigForTherm19</t>
  </si>
  <si>
    <t>RsvdSigForTherm20</t>
  </si>
  <si>
    <t>RsvdSigForTherm21</t>
  </si>
  <si>
    <t>RsvdSigForTherm22</t>
  </si>
  <si>
    <t>RsvdSigForTherm23</t>
  </si>
  <si>
    <t>HeatrPmpPwmCmd</t>
  </si>
  <si>
    <t>HvBattPmpPwmCmd</t>
  </si>
  <si>
    <t>EldtPmpPwmCmd</t>
  </si>
  <si>
    <t>SOV1OnOffCmd</t>
  </si>
  <si>
    <t>SOV2OnOffCmd</t>
  </si>
  <si>
    <t>SOV3OnOffCmd</t>
  </si>
  <si>
    <t>CoolgFanPWMCmd</t>
  </si>
  <si>
    <t>FrntBlwPWMCmd</t>
  </si>
  <si>
    <t>BcfvNVMFlt</t>
  </si>
  <si>
    <t>BctvNVMFlt</t>
  </si>
  <si>
    <t>CmprEEPROMFault</t>
  </si>
  <si>
    <t>CmprHVoltResonanceStat</t>
  </si>
  <si>
    <t>CmprInCurrOverCurrStat</t>
  </si>
  <si>
    <t>CmprLiquidSluggingStat</t>
  </si>
  <si>
    <t>CmprLostCommStat</t>
  </si>
  <si>
    <t>CmprMotorCurrOverCurrStat</t>
  </si>
  <si>
    <t>CmprOverMotorCurrStat</t>
  </si>
  <si>
    <t>CmprOverPowerStat</t>
  </si>
  <si>
    <t>CmprRAMFault</t>
  </si>
  <si>
    <t>CmprROMFault</t>
  </si>
  <si>
    <t>CmprReqCmprPwrLim</t>
  </si>
  <si>
    <t>CmprReqCmprRunReq</t>
  </si>
  <si>
    <t>CmprReqCmprSpdReq</t>
  </si>
  <si>
    <t>CmprRotorLockStat</t>
  </si>
  <si>
    <t>CmprSpdIncrReq</t>
  </si>
  <si>
    <t>CooltFlowInCmptmtCirc</t>
  </si>
  <si>
    <t>HpBattFwvActvSaveReq</t>
  </si>
  <si>
    <t>HpBattFwvFltSts</t>
  </si>
  <si>
    <t>HpBattFwvMode</t>
  </si>
  <si>
    <t>HpBattFwvPosRec</t>
  </si>
  <si>
    <t>HpBattFwvPosSetReq</t>
  </si>
  <si>
    <t>HpBattFwvRefDrvReq</t>
  </si>
  <si>
    <t>HpBattFwvRunSts</t>
  </si>
  <si>
    <t>HpBattFwvSpdLvl</t>
  </si>
  <si>
    <t>HpBattFwvSpdLvlReq</t>
  </si>
  <si>
    <t>HpBattFwvTempSts</t>
  </si>
  <si>
    <t>HpBattFwvVoltSts</t>
  </si>
  <si>
    <t>HpBattVlvActvSaveReq</t>
  </si>
  <si>
    <t>HpBattVlvFltSts</t>
  </si>
  <si>
    <t>HpBattVlvMode</t>
  </si>
  <si>
    <t>HpBattVlvPosRec</t>
  </si>
  <si>
    <t>HpBattVlvPosSetReq</t>
  </si>
  <si>
    <t>HpBattVlvRefDrvReq</t>
  </si>
  <si>
    <t>HpBattVlvRunSts</t>
  </si>
  <si>
    <t>HpBattVlvSpdLvl</t>
  </si>
  <si>
    <t>HpBattVlvSpdLvlReq</t>
  </si>
  <si>
    <t>HpBattVlvTempSts</t>
  </si>
  <si>
    <t>HpBattVlvVoltSts</t>
  </si>
  <si>
    <t>HvCooltHeatrEnad</t>
  </si>
  <si>
    <t>HvCooltHeatrICnsSig</t>
  </si>
  <si>
    <t>HvCooltHeatrInfoCompProtn</t>
  </si>
  <si>
    <t>HvCooltHeatrSplyUForCtrlUnitValSig</t>
  </si>
  <si>
    <t>HvCooltHeatrStsSig</t>
  </si>
  <si>
    <t>HvCooltWtrHeatrWtrTInIntk</t>
  </si>
  <si>
    <t>HvCooltWtrHeatrWtrTInOutl</t>
  </si>
  <si>
    <t>HvHeatrPwrCns</t>
  </si>
  <si>
    <t>HvHeatrPwrCnsDes</t>
  </si>
  <si>
    <t>HvWtrHeatrPwrCnsAllwd</t>
  </si>
  <si>
    <t>HvWtrHeatrWtrTDes</t>
  </si>
  <si>
    <t>CmprDiagcFbCmprCmprSpdErr</t>
  </si>
  <si>
    <t>CmprDiagcFbCmprCtrlrErr</t>
  </si>
  <si>
    <t>CmprDiagcFbCmprDrvrCircSnsr</t>
  </si>
  <si>
    <t>CmprDiagcFbCmprDrvrCircSnsrPlaus</t>
  </si>
  <si>
    <t>CmprDiagcFbCmprHvSnsr1</t>
  </si>
  <si>
    <t>CmprDiagcFbCmprHvSnsr2</t>
  </si>
  <si>
    <t>CmprDiagcFbCmprHvSnsrI</t>
  </si>
  <si>
    <t>CmprDiagcFbCmprHvSnsrICrct</t>
  </si>
  <si>
    <t>CmprDiagcFbCmprHvSnsrIPlaus</t>
  </si>
  <si>
    <t>CmprDiagcFbCmprHvSnsrPlaus</t>
  </si>
  <si>
    <t>CmprDiagcFbCmprHvSplyErr</t>
  </si>
  <si>
    <t>CmprDiagcFbCmprPhaseWire</t>
  </si>
  <si>
    <t>CmprDiagcFbCmprT1</t>
  </si>
  <si>
    <t>CmprDiagcFbCmprT2</t>
  </si>
  <si>
    <t>CmprDiagcFbCmprTOperErr1</t>
  </si>
  <si>
    <t>CmprDiagcFbCmprTOperErr2</t>
  </si>
  <si>
    <t>CmprDiagcFbCmprTPlaus</t>
  </si>
  <si>
    <t>CmprDiagcFbCmprUSplyErr</t>
  </si>
  <si>
    <t>CmprFbCmprI</t>
  </si>
  <si>
    <t>CmprFbCmprIPha</t>
  </si>
  <si>
    <t>CmprFbCmprSpd</t>
  </si>
  <si>
    <t>CmprFbCmprSts1</t>
  </si>
  <si>
    <t>CmprFbCmprSts2</t>
  </si>
  <si>
    <t>CmprFbCmprT1</t>
  </si>
  <si>
    <t>CmprFbCmprT2</t>
  </si>
  <si>
    <t>CmprFbCmprU</t>
  </si>
  <si>
    <t>EctvCmdVlvMovEna</t>
  </si>
  <si>
    <t>EctvCmdVlvPosSetReq</t>
  </si>
  <si>
    <t>EctvCmdVlvSpdLvlReq</t>
  </si>
  <si>
    <t>EctvStatVlvFaultSts</t>
  </si>
  <si>
    <t>EctvStatVlvPosSts</t>
  </si>
  <si>
    <t>EctvStatVlvRunSts</t>
  </si>
  <si>
    <t>EctvStatVlvSpdLvl</t>
  </si>
  <si>
    <t>EctvStatVlvTempSts</t>
  </si>
  <si>
    <t>EctvStatVoltSts</t>
  </si>
  <si>
    <t>HvCooltHeatrEnadWhE2EChks</t>
  </si>
  <si>
    <t>HvCooltHeatrEnadWhE2ECntr</t>
  </si>
  <si>
    <t>HvCooltHeatrEnadWhE2EHvchEnad</t>
  </si>
  <si>
    <t>HvCooltHeatrProtnOfSelfTmpSigHwProtn</t>
  </si>
  <si>
    <t>HvCooltHeatrProtnOfSelfTmpSigOvrheatg</t>
  </si>
  <si>
    <t>HvCooltHeatrProtnOfSelfTmpSigProtnOfSelfTmp</t>
  </si>
  <si>
    <t>HvCooltHeatrProtnOfSelfTmpSigProtnOfSelfTmpResd</t>
  </si>
  <si>
    <t>HvCooltHeatrSnsrFltSigCooltTInSnsrFlt</t>
  </si>
  <si>
    <t>HvCooltHeatrSnsrFltSigCooltTOutSnsrFlt</t>
  </si>
  <si>
    <t>HvCooltHeatrSnsrFltSigResdForSnsrFlt</t>
  </si>
  <si>
    <t>HvCooltHeatrSnsrFltSigTInMtrlSnsrFlt</t>
  </si>
  <si>
    <t>HvCooltHeatrSrvRqrdSigCircForDrvrShoOrOpen</t>
  </si>
  <si>
    <t>HvCooltHeatrSrvRqrdSigICnsOutOfRng</t>
  </si>
  <si>
    <t>HvCooltHeatrSrvRqrdSigMemErr</t>
  </si>
  <si>
    <t>HvCooltHeatrSrvRqrdSigSrvRqrd</t>
  </si>
  <si>
    <t>HvCooltHeatrSrvRqrdSigSrvRqrdResd</t>
  </si>
  <si>
    <t>HvCooltHeatrStsWhE2EChks</t>
  </si>
  <si>
    <t>HvCooltHeatrStsWhE2ECntr</t>
  </si>
  <si>
    <t>HvCooltHeatrStsWhE2EHvchSts</t>
  </si>
  <si>
    <t>HvCooltHeatrWarnSigCooltTOutOfRng</t>
  </si>
  <si>
    <t>HvCooltHeatrWarnSigFltInCom</t>
  </si>
  <si>
    <t>HvCooltHeatrWarnSigFltPrsnt</t>
  </si>
  <si>
    <t>HvCooltHeatrWarnSigFltPrsntResd</t>
  </si>
  <si>
    <t>HvCooltHeatrWarnSigHvOutOfRng</t>
  </si>
  <si>
    <t>HvCooltHeatrWarnSigULoOutOfRng</t>
  </si>
  <si>
    <t>BexvNVMFlt</t>
  </si>
  <si>
    <t>CexvNVMFlt</t>
  </si>
  <si>
    <t>EexvNVMFlt</t>
  </si>
  <si>
    <t>BexvPosnReqExvCalibReq</t>
  </si>
  <si>
    <t>BexvPosnReqExvHeatdReq</t>
  </si>
  <si>
    <t>BexvPosnReqExvMovEnable</t>
  </si>
  <si>
    <t>BexvPosnReqExvPosnReq</t>
  </si>
  <si>
    <t>BexvStsExvActrPosn</t>
  </si>
  <si>
    <t>BexvStsExvBlkErr</t>
  </si>
  <si>
    <t>BexvStsExvCalibSts</t>
  </si>
  <si>
    <t>BexvStsExvElecStsErr</t>
  </si>
  <si>
    <t>BexvStsExvMovSts</t>
  </si>
  <si>
    <t>BexvStsExvOvrTempErr</t>
  </si>
  <si>
    <t>BexvStsExvOvrTrvlErr</t>
  </si>
  <si>
    <t>BexvStsExvPreHeatgSts</t>
  </si>
  <si>
    <t>BexvStsExvVoltgRangErr</t>
  </si>
  <si>
    <t>CexvPosnReqExvCalibReq</t>
  </si>
  <si>
    <t>CexvPosnReqExvHeatdReq</t>
  </si>
  <si>
    <t>CexvPosnReqExvMovEnable</t>
  </si>
  <si>
    <t>CexvPosnReqExvPosnReq</t>
  </si>
  <si>
    <t>CexvStsExvActrPosn</t>
  </si>
  <si>
    <t>CexvStsExvBlkErr</t>
  </si>
  <si>
    <t>CexvStsExvCalibSts</t>
  </si>
  <si>
    <t>CexvStsExvElecStsErr</t>
  </si>
  <si>
    <t>CexvStsExvMovSts</t>
  </si>
  <si>
    <t>CexvStsExvOvrTempErr</t>
  </si>
  <si>
    <t>CexvStsExvOvrTrvlErr</t>
  </si>
  <si>
    <t>CexvStsExvPreHeatgSts</t>
  </si>
  <si>
    <t>CexvStsExvVoltgRangErr</t>
  </si>
  <si>
    <t>EexvPosnReqExvCalibReq</t>
  </si>
  <si>
    <t>EexvPosnReqExvHeatdReq</t>
  </si>
  <si>
    <t>EexvPosnReqExvMovEnable</t>
  </si>
  <si>
    <t>EexvPosnReqExvPosnReq</t>
  </si>
  <si>
    <t>EexvStsExvActrPosn</t>
  </si>
  <si>
    <t>EexvStsExvBlkErr</t>
  </si>
  <si>
    <t>EexvStsExvCalibSts</t>
  </si>
  <si>
    <t>EexvStsExvElecStsErr</t>
  </si>
  <si>
    <t>EexvStsExvMovSts</t>
  </si>
  <si>
    <t>EexvStsExvOvrTempErr</t>
  </si>
  <si>
    <t>EexvStsExvOvrTrvlErr</t>
  </si>
  <si>
    <t>EexvStsExvPreHeatgSts</t>
  </si>
  <si>
    <t>EexvStsExvVoltgRangErr</t>
  </si>
  <si>
    <t>AGMNVMFlt</t>
  </si>
  <si>
    <t>GrlActTrqBoost</t>
  </si>
  <si>
    <t>GrlAutoCalibReq</t>
  </si>
  <si>
    <t>GrlHldTrqActive</t>
  </si>
  <si>
    <t>GrlShttrMoveActive</t>
  </si>
  <si>
    <t>GrlShttrOverVolt</t>
  </si>
  <si>
    <t>GrlShttrOvertravelErr</t>
  </si>
  <si>
    <t>GrlTrqBoostReq</t>
  </si>
  <si>
    <t>GrlShttrDmdShttrCalEna</t>
  </si>
  <si>
    <t>GrlShttrDmdShttrPosnReq</t>
  </si>
  <si>
    <t>GrlShttrStsShttrActrFlt</t>
  </si>
  <si>
    <t>GrlShttrStsShttrBlkd</t>
  </si>
  <si>
    <t>GrlShttrStsShttrCalActv</t>
  </si>
  <si>
    <t>GrlShttrStsShttrCalIndcd</t>
  </si>
  <si>
    <t>GrlShttrStsShttrElecErr</t>
  </si>
  <si>
    <t>GrlShttrStsShttrPosnRaw</t>
  </si>
  <si>
    <t>GrlShttrStsShttrSnsrFlt</t>
  </si>
  <si>
    <t>GrlShttrStsShttrTErr</t>
  </si>
  <si>
    <t>GrlShttrStsShttrULoErr</t>
  </si>
  <si>
    <t>AFUGenErr</t>
  </si>
  <si>
    <t>AirFragActEnad</t>
  </si>
  <si>
    <t>AirFragCh1</t>
  </si>
  <si>
    <t>AirFragCh1AvlTi</t>
  </si>
  <si>
    <t>AirFragCh1RunngSts</t>
  </si>
  <si>
    <t>AirFragCh1Type</t>
  </si>
  <si>
    <t>AirFragCh2</t>
  </si>
  <si>
    <t>AirFragCh2AvlTi</t>
  </si>
  <si>
    <t>AirFragCh2RunngSts</t>
  </si>
  <si>
    <t>AirFragCh2Type</t>
  </si>
  <si>
    <t>AirFragCh3</t>
  </si>
  <si>
    <t>AirFragCh3AvlTi</t>
  </si>
  <si>
    <t>AirFragCh3RunngSts</t>
  </si>
  <si>
    <t>AirFragCh3Type</t>
  </si>
  <si>
    <t>AirFragCh4</t>
  </si>
  <si>
    <t>AirFragCh4AvlTi</t>
  </si>
  <si>
    <t>AirFragCh4RunngSts</t>
  </si>
  <si>
    <t>AirFragCh4Type</t>
  </si>
  <si>
    <t>AirFragCh5</t>
  </si>
  <si>
    <t>AirFragCh5AvlTi</t>
  </si>
  <si>
    <t>AirFragCh5RunngSts</t>
  </si>
  <si>
    <t>AirFragCh5Type</t>
  </si>
  <si>
    <t>AirFragChgSts</t>
  </si>
  <si>
    <t>AirFragConcReq</t>
  </si>
  <si>
    <t>AirFragFanErr</t>
  </si>
  <si>
    <t>AirFragInitSts</t>
  </si>
  <si>
    <t>AirFragLvlRspn</t>
  </si>
  <si>
    <t>AirFragMot1Err</t>
  </si>
  <si>
    <t>AirFragMot2Err</t>
  </si>
  <si>
    <t>AirFragMot3Err</t>
  </si>
  <si>
    <t>AirFragMot4Err</t>
  </si>
  <si>
    <t>AirFragMot5Err</t>
  </si>
  <si>
    <t>AirFragOvrVoltErr</t>
  </si>
  <si>
    <t>AirFragTempErr</t>
  </si>
  <si>
    <t>AirFragUndVoltErr</t>
  </si>
  <si>
    <t>CmpmtInAirPmAQI</t>
  </si>
  <si>
    <t>CmpmtInAirPmDnsty</t>
  </si>
  <si>
    <t>HvacAirMFlowVent</t>
  </si>
  <si>
    <t>HvacRecircAct</t>
  </si>
  <si>
    <t>InPm25FanErr</t>
  </si>
  <si>
    <t>InPm25SensrIntErr</t>
  </si>
  <si>
    <t>InPm25SnrTempErr</t>
  </si>
  <si>
    <t>InPm25SnrVoltgRangErr</t>
  </si>
  <si>
    <t>InPm25SnsrActnReq</t>
  </si>
  <si>
    <t>InPm25SnsrElecErr</t>
  </si>
  <si>
    <t>InPm25SnsrSts</t>
  </si>
  <si>
    <t>CmptmtAirTEstimdExtdComptmtT</t>
  </si>
  <si>
    <t>CmptmtAirTEstimdExtdQlyFlg</t>
  </si>
  <si>
    <t>VehMktForPmSnsrAirMtrlSnsrReq</t>
  </si>
  <si>
    <t>VehMktForPmSnsrVehMktGlb</t>
  </si>
  <si>
    <t>BcfvNVMFlt</t>
    <phoneticPr fontId="4" type="noConversion"/>
  </si>
  <si>
    <t>BexvNVMFlt</t>
    <phoneticPr fontId="4" type="noConversion"/>
  </si>
  <si>
    <t>CexvNVMFlt</t>
    <phoneticPr fontId="4" type="noConversion"/>
  </si>
  <si>
    <t>Cal_Sig_InCarTEna</t>
    <phoneticPr fontId="4" type="noConversion"/>
  </si>
  <si>
    <t>Cal_Sig_CooltT1</t>
    <phoneticPr fontId="4" type="noConversion"/>
  </si>
  <si>
    <t>Cal_Sig_CooltT1Ena</t>
    <phoneticPr fontId="4" type="noConversion"/>
  </si>
  <si>
    <t>Cal_Sig_CooltT2</t>
    <phoneticPr fontId="4" type="noConversion"/>
  </si>
  <si>
    <t>Cal_Sig_CooltT2Ena</t>
    <phoneticPr fontId="4" type="noConversion"/>
  </si>
  <si>
    <t>Cal_Sig_CooltT3Ena</t>
    <phoneticPr fontId="4" type="noConversion"/>
  </si>
  <si>
    <t>Cal_Sig_CooltT3</t>
    <phoneticPr fontId="4" type="noConversion"/>
  </si>
  <si>
    <t>ComRx_Cal_Sig_CooltT1Ena</t>
    <phoneticPr fontId="29" type="noConversion"/>
  </si>
  <si>
    <t>新增接口
CoolgFanPWMCmd
FrntBlwPWMCmd</t>
    <phoneticPr fontId="4" type="noConversion"/>
  </si>
  <si>
    <t>IoTx_CoolgFanPwmCmd_u16</t>
    <phoneticPr fontId="4" type="noConversion"/>
  </si>
  <si>
    <t>IoTx_FrntBlwPwmCmd_u16</t>
    <phoneticPr fontId="4" type="noConversion"/>
  </si>
  <si>
    <t>uint8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</si>
</sst>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General"/>
  </numFmts>
  <fonts count="30">
    <font>
      <sz val="11"/>
      <color theme="1"/>
      <name val="等线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indexed="8"/>
      <name val="等线"/>
      <family val="2"/>
      <scheme val="minor"/>
    </font>
    <font>
      <sz val="8"/>
      <name val="等线"/>
      <family val="2"/>
      <scheme val="minor"/>
    </font>
    <font>
      <b/>
      <sz val="10"/>
      <color rgb="FF000000"/>
      <name val="Segoe UI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sz val="11"/>
      <color rgb="FFFF0000"/>
      <name val="Segoe UI"/>
      <family val="2"/>
    </font>
    <font>
      <sz val="12"/>
      <color rgb="FF000000"/>
      <name val="Calibri"/>
      <family val="2"/>
    </font>
    <font>
      <sz val="11"/>
      <name val="ＭＳ Ｐゴシック"/>
      <family val="2"/>
    </font>
    <font>
      <sz val="11"/>
      <color indexed="8"/>
      <name val="ＭＳ Ｐゴシック"/>
      <family val="2"/>
    </font>
    <font>
      <sz val="10"/>
      <color indexed="8"/>
      <name val="微软雅黑"/>
      <family val="2"/>
      <charset val="134"/>
    </font>
    <font>
      <b/>
      <sz val="11"/>
      <color theme="1"/>
      <name val="等线"/>
      <family val="2"/>
      <scheme val="minor"/>
    </font>
    <font>
      <sz val="11"/>
      <color theme="1"/>
      <name val="Segoe UI"/>
      <family val="2"/>
    </font>
    <font>
      <strike/>
      <sz val="11"/>
      <color rgb="FFFF0000"/>
      <name val="Segoe UI"/>
      <family val="2"/>
    </font>
    <font>
      <strike/>
      <sz val="11"/>
      <color rgb="FFFF0000"/>
      <name val="Segoe UI"/>
      <family val="2"/>
    </font>
    <font>
      <sz val="11"/>
      <color rgb="FF000000"/>
      <name val="Segoe UI"/>
      <family val="2"/>
    </font>
    <font>
      <b/>
      <sz val="10"/>
      <color rgb="FF000000"/>
      <name val="Segoe UI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  <font>
      <sz val="11"/>
      <color rgb="FF000000"/>
      <name val="宋体"/>
    </font>
    <font>
      <sz val="11"/>
      <color rgb="FF000000"/>
      <name val="Segoe UI"/>
      <family val="2"/>
    </font>
    <font>
      <sz val="11"/>
      <name val="Calibri"/>
      <family val="2"/>
    </font>
    <font>
      <sz val="11"/>
      <color rgb="FFFF0000"/>
      <name val="Segoe UI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176" fontId="14" fillId="0" borderId="0"/>
    <xf numFmtId="176" fontId="15" fillId="0" borderId="0">
      <alignment vertical="center"/>
    </xf>
  </cellStyleXfs>
  <cellXfs count="132">
    <xf numFmtId="0" fontId="0" fillId="0" borderId="0" xfId="0"/>
    <xf numFmtId="0" fontId="1" fillId="0" borderId="0" xfId="1" applyFont="1" applyAlignment="1">
      <alignment horizontal="center"/>
    </xf>
    <xf numFmtId="0" fontId="3" fillId="0" borderId="0" xfId="1"/>
    <xf numFmtId="0" fontId="2" fillId="0" borderId="0" xfId="1" applyFont="1"/>
    <xf numFmtId="0" fontId="5" fillId="0" borderId="0" xfId="0" applyFont="1" applyAlignment="1">
      <alignment horizontal="center"/>
    </xf>
    <xf numFmtId="0" fontId="6" fillId="0" borderId="0" xfId="0" applyFont="1"/>
    <xf numFmtId="0" fontId="0" fillId="2" borderId="0" xfId="0" applyFill="1"/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applyFont="1" applyBorder="1"/>
    <xf numFmtId="0" fontId="7" fillId="0" borderId="1" xfId="0" applyFont="1" applyBorder="1"/>
    <xf numFmtId="0" fontId="0" fillId="0" borderId="1" xfId="0" applyBorder="1"/>
    <xf numFmtId="0" fontId="2" fillId="0" borderId="0" xfId="0" applyFont="1"/>
    <xf numFmtId="0" fontId="6" fillId="2" borderId="1" xfId="0" applyFont="1" applyFill="1" applyBorder="1"/>
    <xf numFmtId="0" fontId="9" fillId="0" borderId="1" xfId="0" applyFont="1" applyBorder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/>
    <xf numFmtId="0" fontId="3" fillId="2" borderId="0" xfId="1" applyFill="1"/>
    <xf numFmtId="0" fontId="3" fillId="2" borderId="0" xfId="1" applyFill="1" applyAlignment="1">
      <alignment wrapText="1"/>
    </xf>
    <xf numFmtId="0" fontId="2" fillId="2" borderId="0" xfId="1" applyFont="1" applyFill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2" fillId="0" borderId="0" xfId="0" applyFont="1"/>
    <xf numFmtId="0" fontId="9" fillId="0" borderId="0" xfId="0" applyFont="1"/>
    <xf numFmtId="0" fontId="12" fillId="0" borderId="1" xfId="0" applyFont="1" applyBorder="1" applyAlignment="1">
      <alignment horizontal="right"/>
    </xf>
    <xf numFmtId="0" fontId="6" fillId="0" borderId="1" xfId="0" applyFont="1" applyBorder="1" applyAlignment="1">
      <alignment wrapText="1"/>
    </xf>
    <xf numFmtId="0" fontId="7" fillId="2" borderId="1" xfId="0" applyFont="1" applyFill="1" applyBorder="1"/>
    <xf numFmtId="0" fontId="12" fillId="2" borderId="1" xfId="0" applyFont="1" applyFill="1" applyBorder="1"/>
    <xf numFmtId="0" fontId="12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6" fillId="6" borderId="0" xfId="0" applyFont="1" applyFill="1"/>
    <xf numFmtId="0" fontId="3" fillId="0" borderId="0" xfId="1" applyAlignment="1">
      <alignment wrapText="1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5" fillId="0" borderId="7" xfId="0" applyFont="1" applyBorder="1" applyAlignment="1">
      <alignment horizontal="center"/>
    </xf>
    <xf numFmtId="0" fontId="18" fillId="2" borderId="1" xfId="0" applyFont="1" applyFill="1" applyBorder="1"/>
    <xf numFmtId="0" fontId="19" fillId="0" borderId="1" xfId="0" applyFont="1" applyBorder="1"/>
    <xf numFmtId="0" fontId="20" fillId="0" borderId="1" xfId="0" applyFont="1" applyBorder="1"/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7" fillId="7" borderId="1" xfId="0" applyFont="1" applyFill="1" applyBorder="1"/>
    <xf numFmtId="0" fontId="6" fillId="7" borderId="1" xfId="0" applyFont="1" applyFill="1" applyBorder="1" applyAlignment="1">
      <alignment horizontal="left"/>
    </xf>
    <xf numFmtId="0" fontId="6" fillId="7" borderId="0" xfId="0" applyFont="1" applyFill="1"/>
    <xf numFmtId="0" fontId="21" fillId="7" borderId="1" xfId="0" applyFont="1" applyFill="1" applyBorder="1"/>
    <xf numFmtId="0" fontId="22" fillId="0" borderId="1" xfId="0" applyFont="1" applyBorder="1"/>
    <xf numFmtId="0" fontId="22" fillId="0" borderId="7" xfId="0" applyFont="1" applyBorder="1"/>
    <xf numFmtId="0" fontId="23" fillId="0" borderId="4" xfId="0" applyFont="1" applyBorder="1"/>
    <xf numFmtId="0" fontId="23" fillId="0" borderId="8" xfId="0" applyFont="1" applyBorder="1"/>
    <xf numFmtId="0" fontId="24" fillId="0" borderId="8" xfId="0" applyFont="1" applyBorder="1"/>
    <xf numFmtId="0" fontId="25" fillId="0" borderId="8" xfId="0" applyFont="1" applyBorder="1"/>
    <xf numFmtId="0" fontId="23" fillId="0" borderId="9" xfId="0" applyFont="1" applyBorder="1"/>
    <xf numFmtId="0" fontId="22" fillId="0" borderId="10" xfId="0" applyFont="1" applyBorder="1"/>
    <xf numFmtId="0" fontId="23" fillId="8" borderId="1" xfId="0" applyFont="1" applyFill="1" applyBorder="1"/>
    <xf numFmtId="0" fontId="23" fillId="8" borderId="7" xfId="0" applyFont="1" applyFill="1" applyBorder="1"/>
    <xf numFmtId="0" fontId="26" fillId="8" borderId="7" xfId="0" applyFont="1" applyFill="1" applyBorder="1"/>
    <xf numFmtId="0" fontId="27" fillId="8" borderId="7" xfId="0" applyFont="1" applyFill="1" applyBorder="1"/>
    <xf numFmtId="0" fontId="23" fillId="8" borderId="4" xfId="0" applyFont="1" applyFill="1" applyBorder="1"/>
    <xf numFmtId="0" fontId="23" fillId="8" borderId="8" xfId="0" applyFont="1" applyFill="1" applyBorder="1"/>
    <xf numFmtId="0" fontId="26" fillId="8" borderId="8" xfId="0" applyFont="1" applyFill="1" applyBorder="1"/>
    <xf numFmtId="0" fontId="27" fillId="8" borderId="8" xfId="0" applyFont="1" applyFill="1" applyBorder="1"/>
    <xf numFmtId="0" fontId="28" fillId="0" borderId="1" xfId="0" applyFont="1" applyBorder="1" applyAlignment="1">
      <alignment wrapText="1"/>
    </xf>
    <xf numFmtId="0" fontId="23" fillId="8" borderId="3" xfId="0" applyFont="1" applyFill="1" applyBorder="1"/>
    <xf numFmtId="0" fontId="23" fillId="8" borderId="11" xfId="0" applyFont="1" applyFill="1" applyBorder="1"/>
    <xf numFmtId="0" fontId="26" fillId="8" borderId="11" xfId="0" applyFont="1" applyFill="1" applyBorder="1"/>
    <xf numFmtId="0" fontId="27" fillId="8" borderId="11" xfId="0" applyFont="1" applyFill="1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6" fontId="16" fillId="0" borderId="1" xfId="3" applyFont="1" applyBorder="1" applyAlignment="1" applyProtection="1">
      <alignment vertical="center" wrapText="1"/>
      <protection locked="0"/>
    </xf>
    <xf numFmtId="0" fontId="0" fillId="0" borderId="1" xfId="0" applyBorder="1" applyAlignment="1">
      <alignment wrapText="1"/>
    </xf>
    <xf numFmtId="176" fontId="16" fillId="0" borderId="1" xfId="3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>
      <alignment horizontal="left"/>
    </xf>
    <xf numFmtId="0" fontId="6" fillId="6" borderId="2" xfId="0" applyFont="1" applyFill="1" applyBorder="1" applyAlignment="1">
      <alignment horizontal="center" vertical="center"/>
    </xf>
    <xf numFmtId="0" fontId="17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</cellXfs>
  <cellStyles count="4">
    <cellStyle name="Normal 2" xfId="1" xr:uid="{F216102D-9556-4A6F-94D5-2994D1CF465E}"/>
    <cellStyle name="常规" xfId="0" builtinId="0"/>
    <cellStyle name="常规 2" xfId="2" xr:uid="{3E79506C-642B-46F4-8CDA-1C67AA6D48B1}"/>
    <cellStyle name="常规 8" xfId="3" xr:uid="{D7746091-19FD-40B0-90BE-BFE9918C664B}"/>
  </cellStyles>
  <dxfs count="2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tesco-my.sharepoint.com/personal/uiv82863_vitesco_com/Documents/SDV_TMS/01_SDV_A/02_Interface/TMS_SDB_20250819_R2.xlsx" TargetMode="External"/><Relationship Id="rId1" Type="http://schemas.openxmlformats.org/officeDocument/2006/relationships/externalLinkPath" Target="TMS_SDB_20250819_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geLog"/>
      <sheetName val="Can Matrix"/>
      <sheetName val="TCM_LIN1"/>
      <sheetName val="TCM_LIN3"/>
      <sheetName val="CCM_LIN2"/>
      <sheetName val="TCM_LIN4"/>
      <sheetName val="TextTables"/>
    </sheetNames>
    <sheetDataSet>
      <sheetData sheetId="0"/>
      <sheetData sheetId="1">
        <row r="1">
          <cell r="M1" t="str">
            <v>Sig</v>
          </cell>
          <cell r="N1" t="str">
            <v>Len</v>
          </cell>
          <cell r="O1" t="str">
            <v>Start</v>
          </cell>
          <cell r="P1" t="str">
            <v>GrpUB</v>
          </cell>
          <cell r="Q1" t="str">
            <v>SigUB</v>
          </cell>
          <cell r="R1" t="str">
            <v>BaseType</v>
          </cell>
          <cell r="S1" t="str">
            <v>Min</v>
          </cell>
          <cell r="T1" t="str">
            <v>Max</v>
          </cell>
          <cell r="U1" t="str">
            <v>Factor</v>
          </cell>
          <cell r="V1" t="str">
            <v>Offset</v>
          </cell>
          <cell r="W1" t="str">
            <v>Unit</v>
          </cell>
          <cell r="X1" t="str">
            <v>TextTable</v>
          </cell>
        </row>
        <row r="2">
          <cell r="M2" t="str">
            <v>HMI_HMISts_Fr</v>
          </cell>
          <cell r="N2">
            <v>8</v>
          </cell>
          <cell r="O2"/>
          <cell r="P2"/>
          <cell r="Q2"/>
          <cell r="R2" t="str">
            <v>Unsigned</v>
          </cell>
          <cell r="S2"/>
          <cell r="T2"/>
          <cell r="U2"/>
          <cell r="V2"/>
          <cell r="W2"/>
          <cell r="X2"/>
        </row>
        <row r="3">
          <cell r="M3" t="str">
            <v>HMI_HMISts_Rr</v>
          </cell>
          <cell r="N3">
            <v>8</v>
          </cell>
          <cell r="O3"/>
          <cell r="P3"/>
          <cell r="Q3"/>
          <cell r="R3" t="str">
            <v>Unsigned</v>
          </cell>
          <cell r="S3"/>
          <cell r="T3"/>
          <cell r="U3"/>
          <cell r="V3"/>
          <cell r="W3"/>
          <cell r="X3"/>
        </row>
        <row r="4">
          <cell r="M4" t="str">
            <v>HMI_HMIOnSts_Fr</v>
          </cell>
          <cell r="N4">
            <v>1</v>
          </cell>
          <cell r="O4"/>
          <cell r="P4"/>
          <cell r="Q4"/>
          <cell r="R4" t="str">
            <v>Unsigned</v>
          </cell>
          <cell r="S4"/>
          <cell r="T4"/>
          <cell r="U4"/>
          <cell r="V4"/>
          <cell r="W4"/>
          <cell r="X4"/>
        </row>
        <row r="5">
          <cell r="M5" t="str">
            <v>HMI_HMIOnSts_Rr</v>
          </cell>
          <cell r="N5">
            <v>1</v>
          </cell>
          <cell r="O5"/>
          <cell r="P5"/>
          <cell r="Q5"/>
          <cell r="R5" t="str">
            <v>Unsigned</v>
          </cell>
          <cell r="S5"/>
          <cell r="T5"/>
          <cell r="U5"/>
          <cell r="V5"/>
          <cell r="W5"/>
          <cell r="X5"/>
        </row>
        <row r="6">
          <cell r="M6" t="str">
            <v>HMI_OnOffDsp_Fr</v>
          </cell>
          <cell r="N6">
            <v>8</v>
          </cell>
          <cell r="O6"/>
          <cell r="P6"/>
          <cell r="Q6"/>
          <cell r="R6" t="str">
            <v>Unsigned</v>
          </cell>
          <cell r="S6"/>
          <cell r="T6"/>
          <cell r="U6"/>
          <cell r="V6"/>
          <cell r="W6"/>
          <cell r="X6"/>
        </row>
        <row r="7">
          <cell r="M7" t="str">
            <v>HMI_OnOffDsp_Rr</v>
          </cell>
          <cell r="N7">
            <v>8</v>
          </cell>
          <cell r="O7"/>
          <cell r="P7"/>
          <cell r="Q7"/>
          <cell r="R7" t="str">
            <v>Unsigned</v>
          </cell>
          <cell r="S7"/>
          <cell r="T7"/>
          <cell r="U7"/>
          <cell r="V7"/>
          <cell r="W7"/>
          <cell r="X7"/>
        </row>
        <row r="8">
          <cell r="M8" t="str">
            <v>HMI_AutoManuDsp_Fr</v>
          </cell>
          <cell r="N8">
            <v>8</v>
          </cell>
          <cell r="O8"/>
          <cell r="P8"/>
          <cell r="Q8"/>
          <cell r="R8" t="str">
            <v>Unsigned</v>
          </cell>
          <cell r="S8"/>
          <cell r="T8"/>
          <cell r="U8"/>
          <cell r="V8"/>
          <cell r="W8"/>
          <cell r="X8"/>
        </row>
        <row r="9">
          <cell r="M9" t="str">
            <v>HMI_AutoManuDsp_Rr</v>
          </cell>
          <cell r="N9">
            <v>8</v>
          </cell>
          <cell r="O9"/>
          <cell r="P9"/>
          <cell r="Q9"/>
          <cell r="R9" t="str">
            <v>Unsigned</v>
          </cell>
          <cell r="S9"/>
          <cell r="T9"/>
          <cell r="U9"/>
          <cell r="V9"/>
          <cell r="W9"/>
          <cell r="X9"/>
        </row>
        <row r="10">
          <cell r="M10" t="str">
            <v>HMI_MaxDefDsp</v>
          </cell>
          <cell r="N10">
            <v>8</v>
          </cell>
          <cell r="O10"/>
          <cell r="P10"/>
          <cell r="Q10"/>
          <cell r="R10" t="str">
            <v>Unsigned</v>
          </cell>
          <cell r="S10"/>
          <cell r="T10"/>
          <cell r="U10"/>
          <cell r="V10"/>
          <cell r="W10"/>
          <cell r="X10"/>
        </row>
        <row r="11">
          <cell r="M11" t="str">
            <v>HMI_MaxACDsp_Fr</v>
          </cell>
          <cell r="N11">
            <v>8</v>
          </cell>
          <cell r="O11"/>
          <cell r="P11"/>
          <cell r="Q11"/>
          <cell r="R11" t="str">
            <v>Unsigned</v>
          </cell>
          <cell r="S11"/>
          <cell r="T11"/>
          <cell r="U11"/>
          <cell r="V11"/>
          <cell r="W11"/>
          <cell r="X11"/>
        </row>
        <row r="12">
          <cell r="M12" t="str">
            <v>HMI_MaxHeatDsp_Fr</v>
          </cell>
          <cell r="N12">
            <v>8</v>
          </cell>
          <cell r="O12"/>
          <cell r="P12"/>
          <cell r="Q12"/>
          <cell r="R12" t="str">
            <v>Unsigned</v>
          </cell>
          <cell r="S12"/>
          <cell r="T12"/>
          <cell r="U12"/>
          <cell r="V12"/>
          <cell r="W12"/>
          <cell r="X12"/>
        </row>
        <row r="13">
          <cell r="M13" t="str">
            <v>HMI_FastVentDsp</v>
          </cell>
          <cell r="N13">
            <v>8</v>
          </cell>
          <cell r="O13"/>
          <cell r="P13"/>
          <cell r="Q13"/>
          <cell r="R13" t="str">
            <v>Unsigned</v>
          </cell>
          <cell r="S13"/>
          <cell r="T13"/>
          <cell r="U13"/>
          <cell r="V13"/>
          <cell r="W13"/>
          <cell r="X13"/>
        </row>
        <row r="14">
          <cell r="M14" t="str">
            <v>HMI_MaxACDsp_Rr</v>
          </cell>
          <cell r="N14">
            <v>8</v>
          </cell>
          <cell r="O14"/>
          <cell r="P14"/>
          <cell r="Q14"/>
          <cell r="R14" t="str">
            <v>Unsigned</v>
          </cell>
          <cell r="S14"/>
          <cell r="T14"/>
          <cell r="U14"/>
          <cell r="V14"/>
          <cell r="W14"/>
          <cell r="X14"/>
        </row>
        <row r="15">
          <cell r="M15" t="str">
            <v>HMI_MaxHeatDsp_Rr</v>
          </cell>
          <cell r="N15">
            <v>8</v>
          </cell>
          <cell r="O15"/>
          <cell r="P15"/>
          <cell r="Q15"/>
          <cell r="R15" t="str">
            <v>Unsigned</v>
          </cell>
          <cell r="S15"/>
          <cell r="T15"/>
          <cell r="U15"/>
          <cell r="V15"/>
          <cell r="W15"/>
          <cell r="X15"/>
        </row>
        <row r="16">
          <cell r="M16" t="str">
            <v>HMI_AC_Fr</v>
          </cell>
          <cell r="N16">
            <v>8</v>
          </cell>
          <cell r="O16"/>
          <cell r="P16"/>
          <cell r="Q16"/>
          <cell r="R16" t="str">
            <v>Unsigned</v>
          </cell>
          <cell r="S16"/>
          <cell r="T16"/>
          <cell r="U16"/>
          <cell r="V16"/>
          <cell r="W16"/>
          <cell r="X16"/>
        </row>
        <row r="17">
          <cell r="M17" t="str">
            <v>HMI_AC_Rr</v>
          </cell>
          <cell r="N17">
            <v>8</v>
          </cell>
          <cell r="O17"/>
          <cell r="P17"/>
          <cell r="Q17"/>
          <cell r="R17" t="str">
            <v>Unsigned</v>
          </cell>
          <cell r="S17"/>
          <cell r="T17"/>
          <cell r="U17"/>
          <cell r="V17"/>
          <cell r="W17"/>
          <cell r="X17"/>
        </row>
        <row r="18">
          <cell r="M18" t="str">
            <v>HMI_ACDsp_Fr</v>
          </cell>
          <cell r="N18">
            <v>8</v>
          </cell>
          <cell r="O18"/>
          <cell r="P18"/>
          <cell r="Q18"/>
          <cell r="R18" t="str">
            <v>Unsigned</v>
          </cell>
          <cell r="S18"/>
          <cell r="T18"/>
          <cell r="U18"/>
          <cell r="V18"/>
          <cell r="W18"/>
          <cell r="X18"/>
        </row>
        <row r="19">
          <cell r="M19" t="str">
            <v>HMI_ACDsp_Rr</v>
          </cell>
          <cell r="N19">
            <v>8</v>
          </cell>
          <cell r="O19"/>
          <cell r="P19"/>
          <cell r="Q19"/>
          <cell r="R19" t="str">
            <v>Unsigned</v>
          </cell>
          <cell r="S19"/>
          <cell r="T19"/>
          <cell r="U19"/>
          <cell r="V19"/>
          <cell r="W19"/>
          <cell r="X19"/>
        </row>
        <row r="20">
          <cell r="M20" t="str">
            <v>HMI_Heat_Fr</v>
          </cell>
          <cell r="N20">
            <v>8</v>
          </cell>
          <cell r="O20"/>
          <cell r="P20"/>
          <cell r="Q20"/>
          <cell r="R20" t="str">
            <v>Unsigned</v>
          </cell>
          <cell r="S20"/>
          <cell r="T20"/>
          <cell r="U20"/>
          <cell r="V20"/>
          <cell r="W20"/>
          <cell r="X20"/>
        </row>
        <row r="21">
          <cell r="M21" t="str">
            <v>HMI_Heat_Rr</v>
          </cell>
          <cell r="N21">
            <v>8</v>
          </cell>
          <cell r="O21"/>
          <cell r="P21"/>
          <cell r="Q21"/>
          <cell r="R21" t="str">
            <v>Unsigned</v>
          </cell>
          <cell r="S21"/>
          <cell r="T21"/>
          <cell r="U21"/>
          <cell r="V21"/>
          <cell r="W21"/>
          <cell r="X21"/>
        </row>
        <row r="22">
          <cell r="M22" t="str">
            <v>HMI_HeatDsp_Fr</v>
          </cell>
          <cell r="N22">
            <v>8</v>
          </cell>
          <cell r="O22"/>
          <cell r="P22"/>
          <cell r="Q22"/>
          <cell r="R22" t="str">
            <v>Unsigned</v>
          </cell>
          <cell r="S22"/>
          <cell r="T22"/>
          <cell r="U22"/>
          <cell r="V22"/>
          <cell r="W22"/>
          <cell r="X22"/>
        </row>
        <row r="23">
          <cell r="M23" t="str">
            <v>HMI_HeatDsp_Rr</v>
          </cell>
          <cell r="N23">
            <v>8</v>
          </cell>
          <cell r="O23"/>
          <cell r="P23"/>
          <cell r="Q23"/>
          <cell r="R23" t="str">
            <v>Unsigned</v>
          </cell>
          <cell r="S23"/>
          <cell r="T23"/>
          <cell r="U23"/>
          <cell r="V23"/>
          <cell r="W23"/>
          <cell r="X23"/>
        </row>
        <row r="24">
          <cell r="M24" t="str">
            <v>HMI_Vent_Fr</v>
          </cell>
          <cell r="N24">
            <v>8</v>
          </cell>
          <cell r="O24"/>
          <cell r="P24"/>
          <cell r="Q24"/>
          <cell r="R24" t="str">
            <v>Unsigned</v>
          </cell>
          <cell r="S24"/>
          <cell r="T24"/>
          <cell r="U24"/>
          <cell r="V24"/>
          <cell r="W24"/>
          <cell r="X24"/>
        </row>
        <row r="25">
          <cell r="M25" t="str">
            <v>HMI_Vent_Rr</v>
          </cell>
          <cell r="N25">
            <v>8</v>
          </cell>
          <cell r="O25"/>
          <cell r="P25"/>
          <cell r="Q25"/>
          <cell r="R25" t="str">
            <v>Unsigned</v>
          </cell>
          <cell r="S25"/>
          <cell r="T25"/>
          <cell r="U25"/>
          <cell r="V25"/>
          <cell r="W25"/>
          <cell r="X25"/>
        </row>
        <row r="26">
          <cell r="M26" t="str">
            <v>HMI_VentDsp_Fr</v>
          </cell>
          <cell r="N26">
            <v>8</v>
          </cell>
          <cell r="O26"/>
          <cell r="P26"/>
          <cell r="Q26"/>
          <cell r="R26" t="str">
            <v>Unsigned</v>
          </cell>
          <cell r="S26"/>
          <cell r="T26"/>
          <cell r="U26"/>
          <cell r="V26"/>
          <cell r="W26"/>
          <cell r="X26"/>
        </row>
        <row r="27">
          <cell r="M27" t="str">
            <v>HMI_VentDsp_Rr</v>
          </cell>
          <cell r="N27">
            <v>8</v>
          </cell>
          <cell r="O27"/>
          <cell r="P27"/>
          <cell r="Q27"/>
          <cell r="R27" t="str">
            <v>Unsigned</v>
          </cell>
          <cell r="S27"/>
          <cell r="T27"/>
          <cell r="U27"/>
          <cell r="V27"/>
          <cell r="W27"/>
          <cell r="X27"/>
        </row>
        <row r="28">
          <cell r="M28" t="str">
            <v>HMI_TSet_FL</v>
          </cell>
          <cell r="N28">
            <v>16</v>
          </cell>
          <cell r="O28"/>
          <cell r="P28"/>
          <cell r="Q28"/>
          <cell r="R28" t="str">
            <v>Unsigned</v>
          </cell>
          <cell r="S28"/>
          <cell r="T28"/>
          <cell r="U28"/>
          <cell r="V28"/>
          <cell r="W28"/>
          <cell r="X28"/>
        </row>
        <row r="29">
          <cell r="M29" t="str">
            <v>HMI_TSet_FR</v>
          </cell>
          <cell r="N29">
            <v>16</v>
          </cell>
          <cell r="O29"/>
          <cell r="P29"/>
          <cell r="Q29"/>
          <cell r="R29" t="str">
            <v>Unsigned</v>
          </cell>
          <cell r="S29"/>
          <cell r="T29"/>
          <cell r="U29"/>
          <cell r="V29"/>
          <cell r="W29"/>
          <cell r="X29"/>
        </row>
        <row r="30">
          <cell r="M30" t="str">
            <v>HMI_TSet_Rr</v>
          </cell>
          <cell r="N30">
            <v>16</v>
          </cell>
          <cell r="O30"/>
          <cell r="P30"/>
          <cell r="Q30"/>
          <cell r="R30" t="str">
            <v>Unsigned</v>
          </cell>
          <cell r="S30"/>
          <cell r="T30"/>
          <cell r="U30"/>
          <cell r="V30"/>
          <cell r="W30"/>
          <cell r="X30"/>
        </row>
        <row r="31">
          <cell r="M31" t="str">
            <v>HMI_TSetDsp_FL</v>
          </cell>
          <cell r="N31">
            <v>16</v>
          </cell>
          <cell r="O31"/>
          <cell r="P31"/>
          <cell r="Q31"/>
          <cell r="R31" t="str">
            <v>Unsigned</v>
          </cell>
          <cell r="S31"/>
          <cell r="T31"/>
          <cell r="U31"/>
          <cell r="V31"/>
          <cell r="W31"/>
          <cell r="X31"/>
        </row>
        <row r="32">
          <cell r="M32" t="str">
            <v>HMI_TSetDsp_FR</v>
          </cell>
          <cell r="N32">
            <v>16</v>
          </cell>
          <cell r="O32"/>
          <cell r="P32"/>
          <cell r="Q32"/>
          <cell r="R32" t="str">
            <v>Unsigned</v>
          </cell>
          <cell r="S32"/>
          <cell r="T32"/>
          <cell r="U32"/>
          <cell r="V32"/>
          <cell r="W32"/>
          <cell r="X32"/>
        </row>
        <row r="33">
          <cell r="M33" t="str">
            <v>HMI_TSetDsp_Rr</v>
          </cell>
          <cell r="N33">
            <v>16</v>
          </cell>
          <cell r="O33"/>
          <cell r="P33"/>
          <cell r="Q33"/>
          <cell r="R33" t="str">
            <v>Unsigned</v>
          </cell>
          <cell r="S33"/>
          <cell r="T33"/>
          <cell r="U33"/>
          <cell r="V33"/>
          <cell r="W33"/>
          <cell r="X33"/>
        </row>
        <row r="34">
          <cell r="M34" t="str">
            <v>HMI_WindLvl_FL</v>
          </cell>
          <cell r="N34">
            <v>8</v>
          </cell>
          <cell r="O34"/>
          <cell r="P34"/>
          <cell r="Q34"/>
          <cell r="R34" t="str">
            <v>Unsigned</v>
          </cell>
          <cell r="S34"/>
          <cell r="T34"/>
          <cell r="U34"/>
          <cell r="V34"/>
          <cell r="W34"/>
          <cell r="X34"/>
        </row>
        <row r="35">
          <cell r="M35" t="str">
            <v>HMI_WindLvl_FR</v>
          </cell>
          <cell r="N35">
            <v>8</v>
          </cell>
          <cell r="O35"/>
          <cell r="P35"/>
          <cell r="Q35"/>
          <cell r="R35" t="str">
            <v>Unsigned</v>
          </cell>
          <cell r="S35"/>
          <cell r="T35"/>
          <cell r="U35"/>
          <cell r="V35"/>
          <cell r="W35"/>
          <cell r="X35"/>
        </row>
        <row r="36">
          <cell r="M36" t="str">
            <v>HMI_WindLvl_Rr</v>
          </cell>
          <cell r="N36">
            <v>8</v>
          </cell>
          <cell r="O36"/>
          <cell r="P36"/>
          <cell r="Q36"/>
          <cell r="R36" t="str">
            <v>Unsigned</v>
          </cell>
          <cell r="S36"/>
          <cell r="T36"/>
          <cell r="U36"/>
          <cell r="V36"/>
          <cell r="W36"/>
          <cell r="X36"/>
        </row>
        <row r="37">
          <cell r="M37" t="str">
            <v>HMI_WindLvlDsp_FL</v>
          </cell>
          <cell r="N37">
            <v>8</v>
          </cell>
          <cell r="O37"/>
          <cell r="P37"/>
          <cell r="Q37"/>
          <cell r="R37" t="str">
            <v>Unsigned</v>
          </cell>
          <cell r="S37"/>
          <cell r="T37"/>
          <cell r="U37"/>
          <cell r="V37"/>
          <cell r="W37"/>
          <cell r="X37"/>
        </row>
        <row r="38">
          <cell r="M38" t="str">
            <v>HMI_WindLvlDsp_FR</v>
          </cell>
          <cell r="N38">
            <v>8</v>
          </cell>
          <cell r="O38"/>
          <cell r="P38"/>
          <cell r="Q38"/>
          <cell r="R38" t="str">
            <v>Unsigned</v>
          </cell>
          <cell r="S38"/>
          <cell r="T38"/>
          <cell r="U38"/>
          <cell r="V38"/>
          <cell r="W38"/>
          <cell r="X38"/>
        </row>
        <row r="39">
          <cell r="M39" t="str">
            <v>HMI_WindLvlDsp_Rr</v>
          </cell>
          <cell r="N39">
            <v>8</v>
          </cell>
          <cell r="O39"/>
          <cell r="P39"/>
          <cell r="Q39"/>
          <cell r="R39" t="str">
            <v>Unsigned</v>
          </cell>
          <cell r="S39"/>
          <cell r="T39"/>
          <cell r="U39"/>
          <cell r="V39"/>
          <cell r="W39"/>
          <cell r="X39"/>
        </row>
        <row r="40">
          <cell r="M40" t="str">
            <v>HMI_OutletMode_Fr</v>
          </cell>
          <cell r="N40">
            <v>8</v>
          </cell>
          <cell r="O40"/>
          <cell r="P40"/>
          <cell r="Q40"/>
          <cell r="R40" t="str">
            <v>Unsigned</v>
          </cell>
          <cell r="S40"/>
          <cell r="T40"/>
          <cell r="U40"/>
          <cell r="V40"/>
          <cell r="W40"/>
          <cell r="X40"/>
        </row>
        <row r="41">
          <cell r="M41" t="str">
            <v>HMI_OutletMode_Rr</v>
          </cell>
          <cell r="N41">
            <v>8</v>
          </cell>
          <cell r="O41"/>
          <cell r="P41"/>
          <cell r="Q41"/>
          <cell r="R41" t="str">
            <v>Unsigned</v>
          </cell>
          <cell r="S41"/>
          <cell r="T41"/>
          <cell r="U41"/>
          <cell r="V41"/>
          <cell r="W41"/>
          <cell r="X41"/>
        </row>
        <row r="42">
          <cell r="M42" t="str">
            <v>HMI_OutletModeDsp_Fr</v>
          </cell>
          <cell r="N42">
            <v>8</v>
          </cell>
          <cell r="O42"/>
          <cell r="P42"/>
          <cell r="Q42"/>
          <cell r="R42" t="str">
            <v>Unsigned</v>
          </cell>
          <cell r="S42"/>
          <cell r="T42"/>
          <cell r="U42"/>
          <cell r="V42"/>
          <cell r="W42"/>
          <cell r="X42"/>
        </row>
        <row r="43">
          <cell r="M43" t="str">
            <v>HMI_OutletModeDsp_Rr</v>
          </cell>
          <cell r="N43">
            <v>8</v>
          </cell>
          <cell r="O43"/>
          <cell r="P43"/>
          <cell r="Q43"/>
          <cell r="R43" t="str">
            <v>Unsigned</v>
          </cell>
          <cell r="S43"/>
          <cell r="T43"/>
          <cell r="U43"/>
          <cell r="V43"/>
          <cell r="W43"/>
          <cell r="X43"/>
        </row>
        <row r="44">
          <cell r="M44" t="str">
            <v>HMI_Sync</v>
          </cell>
          <cell r="N44">
            <v>8</v>
          </cell>
          <cell r="O44"/>
          <cell r="P44"/>
          <cell r="Q44"/>
          <cell r="R44" t="str">
            <v>Unsigned</v>
          </cell>
          <cell r="S44"/>
          <cell r="T44"/>
          <cell r="U44"/>
          <cell r="V44"/>
          <cell r="W44"/>
          <cell r="X44"/>
        </row>
        <row r="45">
          <cell r="M45" t="str">
            <v>HMI_SyncDsp</v>
          </cell>
          <cell r="N45">
            <v>8</v>
          </cell>
          <cell r="O45"/>
          <cell r="P45"/>
          <cell r="Q45"/>
          <cell r="R45" t="str">
            <v>Unsigned</v>
          </cell>
          <cell r="S45"/>
          <cell r="T45"/>
          <cell r="U45"/>
          <cell r="V45"/>
          <cell r="W45"/>
          <cell r="X45"/>
        </row>
        <row r="46">
          <cell r="M46" t="str">
            <v>HMI_Inlet</v>
          </cell>
          <cell r="N46">
            <v>8</v>
          </cell>
          <cell r="O46"/>
          <cell r="P46"/>
          <cell r="Q46"/>
          <cell r="R46" t="str">
            <v>Unsigned</v>
          </cell>
          <cell r="S46"/>
          <cell r="T46"/>
          <cell r="U46"/>
          <cell r="V46"/>
          <cell r="W46"/>
          <cell r="X46"/>
        </row>
        <row r="47">
          <cell r="M47" t="str">
            <v>HMI_InletDsp</v>
          </cell>
          <cell r="N47">
            <v>8</v>
          </cell>
          <cell r="O47"/>
          <cell r="P47"/>
          <cell r="Q47"/>
          <cell r="R47" t="str">
            <v>Unsigned</v>
          </cell>
          <cell r="S47"/>
          <cell r="T47"/>
          <cell r="U47"/>
          <cell r="V47"/>
          <cell r="W47"/>
          <cell r="X47"/>
        </row>
        <row r="48">
          <cell r="M48" t="str">
            <v>HMI_ECO</v>
          </cell>
          <cell r="N48">
            <v>8</v>
          </cell>
          <cell r="O48"/>
          <cell r="P48"/>
          <cell r="Q48"/>
          <cell r="R48" t="str">
            <v>Unsigned</v>
          </cell>
          <cell r="S48"/>
          <cell r="T48"/>
          <cell r="U48"/>
          <cell r="V48"/>
          <cell r="W48"/>
          <cell r="X48"/>
        </row>
        <row r="49">
          <cell r="M49" t="str">
            <v>HMI_ECODsp</v>
          </cell>
          <cell r="N49">
            <v>8</v>
          </cell>
          <cell r="O49"/>
          <cell r="P49"/>
          <cell r="Q49"/>
          <cell r="R49" t="str">
            <v>Unsigned</v>
          </cell>
          <cell r="S49"/>
          <cell r="T49"/>
          <cell r="U49"/>
          <cell r="V49"/>
          <cell r="W49"/>
          <cell r="X49"/>
        </row>
        <row r="50">
          <cell r="M50" t="str">
            <v>HMI_AQS</v>
          </cell>
          <cell r="N50">
            <v>8</v>
          </cell>
          <cell r="O50"/>
          <cell r="P50"/>
          <cell r="Q50"/>
          <cell r="R50" t="str">
            <v>Unsigned</v>
          </cell>
          <cell r="S50"/>
          <cell r="T50"/>
          <cell r="U50"/>
          <cell r="V50"/>
          <cell r="W50"/>
          <cell r="X50"/>
        </row>
        <row r="51">
          <cell r="M51" t="str">
            <v>HMI_AQSDsp</v>
          </cell>
          <cell r="N51">
            <v>8</v>
          </cell>
          <cell r="O51"/>
          <cell r="P51"/>
          <cell r="Q51"/>
          <cell r="R51" t="str">
            <v>Unsigned</v>
          </cell>
          <cell r="S51"/>
          <cell r="T51"/>
          <cell r="U51"/>
          <cell r="V51"/>
          <cell r="W51"/>
          <cell r="X51"/>
        </row>
        <row r="52">
          <cell r="M52" t="str">
            <v>HMI_RrWndHet</v>
          </cell>
          <cell r="N52">
            <v>8</v>
          </cell>
          <cell r="O52"/>
          <cell r="P52"/>
          <cell r="Q52"/>
          <cell r="R52" t="str">
            <v>Unsigned</v>
          </cell>
          <cell r="S52"/>
          <cell r="T52"/>
          <cell r="U52"/>
          <cell r="V52"/>
          <cell r="W52"/>
          <cell r="X52"/>
        </row>
        <row r="53">
          <cell r="M53" t="str">
            <v>HMI_RrWndHetDsp</v>
          </cell>
          <cell r="N53">
            <v>8</v>
          </cell>
          <cell r="O53"/>
          <cell r="P53"/>
          <cell r="Q53"/>
          <cell r="R53" t="str">
            <v>Unsigned</v>
          </cell>
          <cell r="S53"/>
          <cell r="T53"/>
          <cell r="U53"/>
          <cell r="V53"/>
          <cell r="W53"/>
          <cell r="X53"/>
        </row>
        <row r="54">
          <cell r="M54" t="str">
            <v>HMI_CfgAutoWindLvl</v>
          </cell>
          <cell r="N54">
            <v>8</v>
          </cell>
          <cell r="O54"/>
          <cell r="P54"/>
          <cell r="Q54"/>
          <cell r="R54" t="str">
            <v>Unsigned</v>
          </cell>
          <cell r="S54"/>
          <cell r="T54"/>
          <cell r="U54"/>
          <cell r="V54"/>
          <cell r="W54"/>
          <cell r="X54"/>
        </row>
        <row r="55">
          <cell r="M55" t="str">
            <v>HMI_CfgAutoWindLvlDsp</v>
          </cell>
          <cell r="N55">
            <v>8</v>
          </cell>
          <cell r="O55"/>
          <cell r="P55"/>
          <cell r="Q55"/>
          <cell r="R55" t="str">
            <v>Unsigned</v>
          </cell>
          <cell r="S55"/>
          <cell r="T55"/>
          <cell r="U55"/>
          <cell r="V55"/>
          <cell r="W55"/>
          <cell r="X55"/>
        </row>
        <row r="56">
          <cell r="M56" t="str">
            <v>HMI_ACFrtPnlLckRrPnlDsp</v>
          </cell>
          <cell r="N56">
            <v>8</v>
          </cell>
          <cell r="O56"/>
          <cell r="P56"/>
          <cell r="Q56"/>
          <cell r="R56" t="str">
            <v>Unsigned</v>
          </cell>
          <cell r="S56"/>
          <cell r="T56"/>
          <cell r="U56"/>
          <cell r="V56"/>
          <cell r="W56"/>
          <cell r="X56"/>
        </row>
        <row r="57">
          <cell r="M57" t="str">
            <v>OnOffReq_FL</v>
          </cell>
          <cell r="N57">
            <v>8</v>
          </cell>
          <cell r="O57"/>
          <cell r="P57"/>
          <cell r="Q57"/>
          <cell r="R57" t="str">
            <v>Unsigned</v>
          </cell>
          <cell r="S57"/>
          <cell r="T57"/>
          <cell r="U57"/>
          <cell r="V57"/>
          <cell r="W57"/>
          <cell r="X57"/>
        </row>
        <row r="58">
          <cell r="M58" t="str">
            <v>OnOffReq_FR</v>
          </cell>
          <cell r="N58">
            <v>8</v>
          </cell>
          <cell r="O58"/>
          <cell r="P58"/>
          <cell r="Q58"/>
          <cell r="R58" t="str">
            <v>Unsigned</v>
          </cell>
          <cell r="S58"/>
          <cell r="T58"/>
          <cell r="U58"/>
          <cell r="V58"/>
          <cell r="W58"/>
          <cell r="X58"/>
        </row>
        <row r="59">
          <cell r="M59" t="str">
            <v>OnOffReq_RL</v>
          </cell>
          <cell r="N59">
            <v>8</v>
          </cell>
          <cell r="O59"/>
          <cell r="P59"/>
          <cell r="Q59"/>
          <cell r="R59" t="str">
            <v>Unsigned</v>
          </cell>
          <cell r="S59"/>
          <cell r="T59"/>
          <cell r="U59"/>
          <cell r="V59"/>
          <cell r="W59"/>
          <cell r="X59"/>
        </row>
        <row r="60">
          <cell r="M60" t="str">
            <v>AutoReq_FL</v>
          </cell>
          <cell r="N60">
            <v>8</v>
          </cell>
          <cell r="O60"/>
          <cell r="P60"/>
          <cell r="Q60"/>
          <cell r="R60" t="str">
            <v>Unsigned</v>
          </cell>
          <cell r="S60"/>
          <cell r="T60"/>
          <cell r="U60"/>
          <cell r="V60"/>
          <cell r="W60"/>
          <cell r="X60"/>
        </row>
        <row r="61">
          <cell r="M61" t="str">
            <v>AutoReq_FR</v>
          </cell>
          <cell r="N61">
            <v>8</v>
          </cell>
          <cell r="O61"/>
          <cell r="P61"/>
          <cell r="Q61"/>
          <cell r="R61" t="str">
            <v>Unsigned</v>
          </cell>
          <cell r="S61"/>
          <cell r="T61"/>
          <cell r="U61"/>
          <cell r="V61"/>
          <cell r="W61"/>
          <cell r="X61"/>
        </row>
        <row r="62">
          <cell r="M62" t="str">
            <v>AutoReq_RL</v>
          </cell>
          <cell r="N62">
            <v>8</v>
          </cell>
          <cell r="O62"/>
          <cell r="P62"/>
          <cell r="Q62"/>
          <cell r="R62" t="str">
            <v>Unsigned</v>
          </cell>
          <cell r="S62"/>
          <cell r="T62"/>
          <cell r="U62"/>
          <cell r="V62"/>
          <cell r="W62"/>
          <cell r="X62"/>
        </row>
        <row r="63">
          <cell r="M63" t="str">
            <v>MaxDefReq</v>
          </cell>
          <cell r="N63">
            <v>8</v>
          </cell>
          <cell r="O63"/>
          <cell r="P63"/>
          <cell r="Q63"/>
          <cell r="R63" t="str">
            <v>Unsigned</v>
          </cell>
          <cell r="S63"/>
          <cell r="T63"/>
          <cell r="U63"/>
          <cell r="V63"/>
          <cell r="W63"/>
          <cell r="X63"/>
        </row>
        <row r="64">
          <cell r="M64" t="str">
            <v>FastVent</v>
          </cell>
          <cell r="N64">
            <v>8</v>
          </cell>
          <cell r="O64"/>
          <cell r="P64"/>
          <cell r="Q64"/>
          <cell r="R64" t="str">
            <v>Unsigned</v>
          </cell>
          <cell r="S64"/>
          <cell r="T64"/>
          <cell r="U64"/>
          <cell r="V64"/>
          <cell r="W64"/>
          <cell r="X64"/>
        </row>
        <row r="65">
          <cell r="M65" t="str">
            <v>MaxACReq</v>
          </cell>
          <cell r="N65">
            <v>8</v>
          </cell>
          <cell r="O65"/>
          <cell r="P65"/>
          <cell r="Q65"/>
          <cell r="R65" t="str">
            <v>Unsigned</v>
          </cell>
          <cell r="S65"/>
          <cell r="T65"/>
          <cell r="U65"/>
          <cell r="V65"/>
          <cell r="W65"/>
          <cell r="X65"/>
        </row>
        <row r="66">
          <cell r="M66" t="str">
            <v>MaxHeatReq</v>
          </cell>
          <cell r="N66">
            <v>8</v>
          </cell>
          <cell r="O66"/>
          <cell r="P66"/>
          <cell r="Q66"/>
          <cell r="R66" t="str">
            <v>Unsigned</v>
          </cell>
          <cell r="S66"/>
          <cell r="T66"/>
          <cell r="U66"/>
          <cell r="V66"/>
          <cell r="W66"/>
          <cell r="X66"/>
        </row>
        <row r="67">
          <cell r="M67" t="str">
            <v>SmartClearReq</v>
          </cell>
          <cell r="N67">
            <v>8</v>
          </cell>
          <cell r="O67"/>
          <cell r="P67"/>
          <cell r="Q67"/>
          <cell r="R67" t="str">
            <v>Unsigned</v>
          </cell>
          <cell r="S67"/>
          <cell r="T67"/>
          <cell r="U67"/>
          <cell r="V67"/>
          <cell r="W67"/>
          <cell r="X67"/>
        </row>
        <row r="68">
          <cell r="M68" t="str">
            <v>ACReq_FL</v>
          </cell>
          <cell r="N68">
            <v>8</v>
          </cell>
          <cell r="O68"/>
          <cell r="P68"/>
          <cell r="Q68"/>
          <cell r="R68" t="str">
            <v>Unsigned</v>
          </cell>
          <cell r="S68"/>
          <cell r="T68"/>
          <cell r="U68"/>
          <cell r="V68"/>
          <cell r="W68"/>
          <cell r="X68"/>
        </row>
        <row r="69">
          <cell r="M69" t="str">
            <v>ACReq_FR</v>
          </cell>
          <cell r="N69">
            <v>8</v>
          </cell>
          <cell r="O69"/>
          <cell r="P69"/>
          <cell r="Q69"/>
          <cell r="R69" t="str">
            <v>Unsigned</v>
          </cell>
          <cell r="S69"/>
          <cell r="T69"/>
          <cell r="U69"/>
          <cell r="V69"/>
          <cell r="W69"/>
          <cell r="X69"/>
        </row>
        <row r="70">
          <cell r="M70" t="str">
            <v>ACReq_RL</v>
          </cell>
          <cell r="N70">
            <v>8</v>
          </cell>
          <cell r="O70"/>
          <cell r="P70"/>
          <cell r="Q70"/>
          <cell r="R70" t="str">
            <v>Unsigned</v>
          </cell>
          <cell r="S70"/>
          <cell r="T70"/>
          <cell r="U70"/>
          <cell r="V70"/>
          <cell r="W70"/>
          <cell r="X70"/>
        </row>
        <row r="71">
          <cell r="M71" t="str">
            <v>HeatReq_FL</v>
          </cell>
          <cell r="N71">
            <v>8</v>
          </cell>
          <cell r="O71"/>
          <cell r="P71"/>
          <cell r="Q71"/>
          <cell r="R71" t="str">
            <v>Unsigned</v>
          </cell>
          <cell r="S71"/>
          <cell r="T71"/>
          <cell r="U71"/>
          <cell r="V71"/>
          <cell r="W71"/>
          <cell r="X71"/>
        </row>
        <row r="72">
          <cell r="M72" t="str">
            <v>HeatReq_FR</v>
          </cell>
          <cell r="N72">
            <v>8</v>
          </cell>
          <cell r="O72"/>
          <cell r="P72"/>
          <cell r="Q72"/>
          <cell r="R72" t="str">
            <v>Unsigned</v>
          </cell>
          <cell r="S72"/>
          <cell r="T72"/>
          <cell r="U72"/>
          <cell r="V72"/>
          <cell r="W72"/>
          <cell r="X72"/>
        </row>
        <row r="73">
          <cell r="M73" t="str">
            <v>HeatReq_RL</v>
          </cell>
          <cell r="N73">
            <v>8</v>
          </cell>
          <cell r="O73"/>
          <cell r="P73"/>
          <cell r="Q73"/>
          <cell r="R73" t="str">
            <v>Unsigned</v>
          </cell>
          <cell r="S73"/>
          <cell r="T73"/>
          <cell r="U73"/>
          <cell r="V73"/>
          <cell r="W73"/>
          <cell r="X73"/>
        </row>
        <row r="74">
          <cell r="M74" t="str">
            <v>VentReq_FL</v>
          </cell>
          <cell r="N74">
            <v>8</v>
          </cell>
          <cell r="O74"/>
          <cell r="P74"/>
          <cell r="Q74"/>
          <cell r="R74" t="str">
            <v>Unsigned</v>
          </cell>
          <cell r="S74"/>
          <cell r="T74"/>
          <cell r="U74"/>
          <cell r="V74"/>
          <cell r="W74"/>
          <cell r="X74"/>
        </row>
        <row r="75">
          <cell r="M75" t="str">
            <v>VentReq_FR</v>
          </cell>
          <cell r="N75">
            <v>8</v>
          </cell>
          <cell r="O75"/>
          <cell r="P75"/>
          <cell r="Q75"/>
          <cell r="R75" t="str">
            <v>Unsigned</v>
          </cell>
          <cell r="S75"/>
          <cell r="T75"/>
          <cell r="U75"/>
          <cell r="V75"/>
          <cell r="W75"/>
          <cell r="X75"/>
        </row>
        <row r="76">
          <cell r="M76" t="str">
            <v>VentReq_RL</v>
          </cell>
          <cell r="N76">
            <v>8</v>
          </cell>
          <cell r="O76"/>
          <cell r="P76"/>
          <cell r="Q76"/>
          <cell r="R76" t="str">
            <v>Unsigned</v>
          </cell>
          <cell r="S76"/>
          <cell r="T76"/>
          <cell r="U76"/>
          <cell r="V76"/>
          <cell r="W76"/>
          <cell r="X76"/>
        </row>
        <row r="77">
          <cell r="M77" t="str">
            <v>TSet_FL</v>
          </cell>
          <cell r="N77">
            <v>16</v>
          </cell>
          <cell r="O77"/>
          <cell r="P77"/>
          <cell r="Q77"/>
          <cell r="R77" t="str">
            <v>Unsigned</v>
          </cell>
          <cell r="S77"/>
          <cell r="T77"/>
          <cell r="U77"/>
          <cell r="V77"/>
          <cell r="W77"/>
          <cell r="X77"/>
        </row>
        <row r="78">
          <cell r="M78" t="str">
            <v>TSet_FR</v>
          </cell>
          <cell r="N78">
            <v>16</v>
          </cell>
          <cell r="O78"/>
          <cell r="P78"/>
          <cell r="Q78"/>
          <cell r="R78" t="str">
            <v>Unsigned</v>
          </cell>
          <cell r="S78"/>
          <cell r="T78"/>
          <cell r="U78"/>
          <cell r="V78"/>
          <cell r="W78"/>
          <cell r="X78"/>
        </row>
        <row r="79">
          <cell r="M79" t="str">
            <v>TSet_RL</v>
          </cell>
          <cell r="N79">
            <v>16</v>
          </cell>
          <cell r="O79"/>
          <cell r="P79"/>
          <cell r="Q79"/>
          <cell r="R79" t="str">
            <v>Unsigned</v>
          </cell>
          <cell r="S79"/>
          <cell r="T79"/>
          <cell r="U79"/>
          <cell r="V79"/>
          <cell r="W79"/>
          <cell r="X79"/>
        </row>
        <row r="80">
          <cell r="M80" t="str">
            <v>WindLvl_FL</v>
          </cell>
          <cell r="N80">
            <v>8</v>
          </cell>
          <cell r="O80"/>
          <cell r="P80"/>
          <cell r="Q80"/>
          <cell r="R80" t="str">
            <v>Unsigned</v>
          </cell>
          <cell r="S80"/>
          <cell r="T80"/>
          <cell r="U80"/>
          <cell r="V80"/>
          <cell r="W80"/>
          <cell r="X80"/>
        </row>
        <row r="81">
          <cell r="M81" t="str">
            <v>WindLvl_FR</v>
          </cell>
          <cell r="N81">
            <v>8</v>
          </cell>
          <cell r="O81"/>
          <cell r="P81"/>
          <cell r="Q81"/>
          <cell r="R81" t="str">
            <v>Unsigned</v>
          </cell>
          <cell r="S81"/>
          <cell r="T81"/>
          <cell r="U81"/>
          <cell r="V81"/>
          <cell r="W81"/>
          <cell r="X81"/>
        </row>
        <row r="82">
          <cell r="M82" t="str">
            <v>WindLvl_RL</v>
          </cell>
          <cell r="N82">
            <v>8</v>
          </cell>
          <cell r="O82"/>
          <cell r="P82"/>
          <cell r="Q82"/>
          <cell r="R82" t="str">
            <v>Unsigned</v>
          </cell>
          <cell r="S82"/>
          <cell r="T82"/>
          <cell r="U82"/>
          <cell r="V82"/>
          <cell r="W82"/>
          <cell r="X82"/>
        </row>
        <row r="83">
          <cell r="M83" t="str">
            <v>OutletMode_FL</v>
          </cell>
          <cell r="N83">
            <v>8</v>
          </cell>
          <cell r="O83"/>
          <cell r="P83"/>
          <cell r="Q83"/>
          <cell r="R83" t="str">
            <v>Unsigned</v>
          </cell>
          <cell r="S83"/>
          <cell r="T83"/>
          <cell r="U83"/>
          <cell r="V83"/>
          <cell r="W83"/>
          <cell r="X83"/>
        </row>
        <row r="84">
          <cell r="M84" t="str">
            <v>OutletMode_FR</v>
          </cell>
          <cell r="N84">
            <v>8</v>
          </cell>
          <cell r="O84"/>
          <cell r="P84"/>
          <cell r="Q84"/>
          <cell r="R84" t="str">
            <v>Unsigned</v>
          </cell>
          <cell r="S84"/>
          <cell r="T84"/>
          <cell r="U84"/>
          <cell r="V84"/>
          <cell r="W84"/>
          <cell r="X84"/>
        </row>
        <row r="85">
          <cell r="M85" t="str">
            <v>OutletMode_RL</v>
          </cell>
          <cell r="N85">
            <v>8</v>
          </cell>
          <cell r="O85"/>
          <cell r="P85"/>
          <cell r="Q85"/>
          <cell r="R85" t="str">
            <v>Unsigned</v>
          </cell>
          <cell r="S85"/>
          <cell r="T85"/>
          <cell r="U85"/>
          <cell r="V85"/>
          <cell r="W85"/>
          <cell r="X85"/>
        </row>
        <row r="86">
          <cell r="M86" t="str">
            <v>Sync</v>
          </cell>
          <cell r="N86">
            <v>8</v>
          </cell>
          <cell r="O86"/>
          <cell r="P86"/>
          <cell r="Q86"/>
          <cell r="R86" t="str">
            <v>Unsigned</v>
          </cell>
          <cell r="S86"/>
          <cell r="T86"/>
          <cell r="U86"/>
          <cell r="V86"/>
          <cell r="W86"/>
          <cell r="X86"/>
        </row>
        <row r="87">
          <cell r="M87" t="str">
            <v>Inlet</v>
          </cell>
          <cell r="N87">
            <v>8</v>
          </cell>
          <cell r="O87"/>
          <cell r="P87"/>
          <cell r="Q87"/>
          <cell r="R87" t="str">
            <v>Unsigned</v>
          </cell>
          <cell r="S87"/>
          <cell r="T87"/>
          <cell r="U87"/>
          <cell r="V87"/>
          <cell r="W87"/>
          <cell r="X87"/>
        </row>
        <row r="88">
          <cell r="M88" t="str">
            <v>ECO</v>
          </cell>
          <cell r="N88">
            <v>8</v>
          </cell>
          <cell r="O88"/>
          <cell r="P88"/>
          <cell r="Q88"/>
          <cell r="R88" t="str">
            <v>Unsigned</v>
          </cell>
          <cell r="S88"/>
          <cell r="T88"/>
          <cell r="U88"/>
          <cell r="V88"/>
          <cell r="W88"/>
          <cell r="X88"/>
        </row>
        <row r="89">
          <cell r="M89" t="str">
            <v>AQS</v>
          </cell>
          <cell r="N89">
            <v>8</v>
          </cell>
          <cell r="O89"/>
          <cell r="P89"/>
          <cell r="Q89"/>
          <cell r="R89" t="str">
            <v>Unsigned</v>
          </cell>
          <cell r="S89"/>
          <cell r="T89"/>
          <cell r="U89"/>
          <cell r="V89"/>
          <cell r="W89"/>
          <cell r="X89"/>
        </row>
        <row r="90">
          <cell r="M90" t="str">
            <v>RrWndHet</v>
          </cell>
          <cell r="N90">
            <v>8</v>
          </cell>
          <cell r="O90"/>
          <cell r="P90"/>
          <cell r="Q90"/>
          <cell r="R90" t="str">
            <v>Unsigned</v>
          </cell>
          <cell r="S90"/>
          <cell r="T90"/>
          <cell r="U90"/>
          <cell r="V90"/>
          <cell r="W90"/>
          <cell r="X90"/>
        </row>
        <row r="91">
          <cell r="M91" t="str">
            <v>CfgAutoWindLvl</v>
          </cell>
          <cell r="N91">
            <v>8</v>
          </cell>
          <cell r="O91"/>
          <cell r="P91"/>
          <cell r="Q91"/>
          <cell r="R91" t="str">
            <v>Unsigned</v>
          </cell>
          <cell r="S91"/>
          <cell r="T91"/>
          <cell r="U91"/>
          <cell r="V91"/>
          <cell r="W91"/>
          <cell r="X91"/>
        </row>
        <row r="92">
          <cell r="M92" t="str">
            <v>ACFrtPnlLckRrPnl</v>
          </cell>
          <cell r="N92">
            <v>8</v>
          </cell>
          <cell r="O92"/>
          <cell r="P92"/>
          <cell r="Q92"/>
          <cell r="R92" t="str">
            <v>Unsigned</v>
          </cell>
          <cell r="S92"/>
          <cell r="T92"/>
          <cell r="U92"/>
          <cell r="V92"/>
          <cell r="W92"/>
          <cell r="X92"/>
        </row>
        <row r="93">
          <cell r="M93" t="str">
            <v>OccupantStsFL</v>
          </cell>
          <cell r="N93">
            <v>1</v>
          </cell>
          <cell r="O93"/>
          <cell r="P93"/>
          <cell r="Q93"/>
          <cell r="R93" t="str">
            <v>Unsigned</v>
          </cell>
          <cell r="S93"/>
          <cell r="T93"/>
          <cell r="U93"/>
          <cell r="V93"/>
          <cell r="W93"/>
          <cell r="X93"/>
        </row>
        <row r="94">
          <cell r="M94" t="str">
            <v>OccupantStsFR</v>
          </cell>
          <cell r="N94">
            <v>1</v>
          </cell>
          <cell r="O94"/>
          <cell r="P94"/>
          <cell r="Q94"/>
          <cell r="R94" t="str">
            <v>Unsigned</v>
          </cell>
          <cell r="S94"/>
          <cell r="T94"/>
          <cell r="U94"/>
          <cell r="V94"/>
          <cell r="W94"/>
          <cell r="X94"/>
        </row>
        <row r="95">
          <cell r="M95" t="str">
            <v>OccupantStsRL</v>
          </cell>
          <cell r="N95">
            <v>1</v>
          </cell>
          <cell r="O95"/>
          <cell r="P95"/>
          <cell r="Q95"/>
          <cell r="R95" t="str">
            <v>Unsigned</v>
          </cell>
          <cell r="S95"/>
          <cell r="T95"/>
          <cell r="U95"/>
          <cell r="V95"/>
          <cell r="W95"/>
          <cell r="X95"/>
        </row>
        <row r="96">
          <cell r="M96" t="str">
            <v>OccupantStsRM</v>
          </cell>
          <cell r="N96">
            <v>1</v>
          </cell>
          <cell r="O96"/>
          <cell r="P96"/>
          <cell r="Q96"/>
          <cell r="R96" t="str">
            <v>Unsigned</v>
          </cell>
          <cell r="S96"/>
          <cell r="T96"/>
          <cell r="U96"/>
          <cell r="V96"/>
          <cell r="W96"/>
          <cell r="X96"/>
        </row>
        <row r="97">
          <cell r="M97" t="str">
            <v>OccupantStsRR</v>
          </cell>
          <cell r="N97">
            <v>1</v>
          </cell>
          <cell r="O97"/>
          <cell r="P97"/>
          <cell r="Q97"/>
          <cell r="R97" t="str">
            <v>Unsigned</v>
          </cell>
          <cell r="S97"/>
          <cell r="T97"/>
          <cell r="U97"/>
          <cell r="V97"/>
          <cell r="W97"/>
          <cell r="X97"/>
        </row>
        <row r="98">
          <cell r="M98" t="str">
            <v>CmptmtFrntWindDewT</v>
          </cell>
          <cell r="N98">
            <v>12</v>
          </cell>
          <cell r="O98"/>
          <cell r="P98"/>
          <cell r="Q98"/>
          <cell r="R98" t="str">
            <v>Unsigned</v>
          </cell>
          <cell r="S98">
            <v>-60</v>
          </cell>
          <cell r="T98">
            <v>200</v>
          </cell>
          <cell r="U98">
            <v>0.1</v>
          </cell>
          <cell r="V98">
            <v>-60</v>
          </cell>
          <cell r="W98" t="str">
            <v>DegC2</v>
          </cell>
          <cell r="X98"/>
        </row>
        <row r="99">
          <cell r="M99" t="str">
            <v>CmptmtFrntWindT</v>
          </cell>
          <cell r="N99">
            <v>12</v>
          </cell>
          <cell r="O99"/>
          <cell r="P99"/>
          <cell r="Q99"/>
          <cell r="R99" t="str">
            <v>Unsigned</v>
          </cell>
          <cell r="S99">
            <v>-60</v>
          </cell>
          <cell r="T99">
            <v>200</v>
          </cell>
          <cell r="U99">
            <v>0.1</v>
          </cell>
          <cell r="V99">
            <v>-60</v>
          </cell>
          <cell r="W99" t="str">
            <v>DegC2</v>
          </cell>
          <cell r="X99"/>
        </row>
        <row r="100">
          <cell r="M100" t="str">
            <v>CmptmtRelHum</v>
          </cell>
          <cell r="N100">
            <v>10</v>
          </cell>
          <cell r="O100"/>
          <cell r="P100"/>
          <cell r="Q100"/>
          <cell r="R100" t="str">
            <v>Unsigned</v>
          </cell>
          <cell r="S100">
            <v>0</v>
          </cell>
          <cell r="T100">
            <v>100</v>
          </cell>
          <cell r="U100">
            <v>0.1</v>
          </cell>
          <cell r="V100">
            <v>0</v>
          </cell>
          <cell r="W100" t="str">
            <v>%</v>
          </cell>
          <cell r="X100"/>
        </row>
        <row r="101">
          <cell r="M101" t="str">
            <v>RiSolarData</v>
          </cell>
          <cell r="N101">
            <v>8</v>
          </cell>
          <cell r="O101"/>
          <cell r="P101"/>
          <cell r="Q101"/>
          <cell r="R101" t="str">
            <v>Unsigned</v>
          </cell>
          <cell r="S101">
            <v>0</v>
          </cell>
          <cell r="T101">
            <v>1275</v>
          </cell>
          <cell r="U101">
            <v>5</v>
          </cell>
          <cell r="V101">
            <v>0</v>
          </cell>
          <cell r="W101" t="str">
            <v>W/m2</v>
          </cell>
          <cell r="X101"/>
        </row>
        <row r="102">
          <cell r="M102" t="str">
            <v>LeSolarData</v>
          </cell>
          <cell r="N102">
            <v>8</v>
          </cell>
          <cell r="O102"/>
          <cell r="P102"/>
          <cell r="Q102"/>
          <cell r="R102" t="str">
            <v>Unsigned</v>
          </cell>
          <cell r="S102">
            <v>0</v>
          </cell>
          <cell r="T102">
            <v>1275</v>
          </cell>
          <cell r="U102">
            <v>5</v>
          </cell>
          <cell r="V102">
            <v>0</v>
          </cell>
          <cell r="W102" t="str">
            <v>W/m2</v>
          </cell>
          <cell r="X102"/>
        </row>
        <row r="103">
          <cell r="M103" t="str">
            <v>VehSpd</v>
          </cell>
          <cell r="N103">
            <v>15</v>
          </cell>
          <cell r="O103"/>
          <cell r="P103"/>
          <cell r="Q103"/>
          <cell r="R103" t="str">
            <v>Unsigned</v>
          </cell>
          <cell r="S103">
            <v>0</v>
          </cell>
          <cell r="T103">
            <v>125.0027</v>
          </cell>
          <cell r="U103">
            <v>3.9100000000000003E-3</v>
          </cell>
          <cell r="V103">
            <v>0</v>
          </cell>
          <cell r="W103" t="str">
            <v>m/s</v>
          </cell>
          <cell r="X103"/>
        </row>
        <row r="104">
          <cell r="M104" t="str">
            <v>CarModSts</v>
          </cell>
          <cell r="N104">
            <v>3</v>
          </cell>
          <cell r="O104"/>
          <cell r="P104"/>
          <cell r="Q104"/>
          <cell r="R104" t="str">
            <v>Unsigned</v>
          </cell>
          <cell r="S104"/>
          <cell r="T104"/>
          <cell r="U104"/>
          <cell r="V104"/>
          <cell r="W104"/>
          <cell r="X104" t="str">
            <v>CarModSts1</v>
          </cell>
        </row>
        <row r="105">
          <cell r="M105" t="str">
            <v>UsgModSts</v>
          </cell>
          <cell r="N105">
            <v>4</v>
          </cell>
          <cell r="O105"/>
          <cell r="P105"/>
          <cell r="Q105"/>
          <cell r="R105" t="str">
            <v>Unsigned</v>
          </cell>
          <cell r="S105"/>
          <cell r="T105"/>
          <cell r="U105"/>
          <cell r="V105"/>
          <cell r="W105"/>
          <cell r="X105" t="str">
            <v>UsgModSts1</v>
          </cell>
        </row>
        <row r="106">
          <cell r="M106" t="str">
            <v>Cal_Sig_AmbTEna</v>
          </cell>
          <cell r="N106">
            <v>1</v>
          </cell>
          <cell r="O106"/>
          <cell r="P106"/>
          <cell r="Q106"/>
          <cell r="R106" t="str">
            <v>Unsigned</v>
          </cell>
          <cell r="S106"/>
          <cell r="T106"/>
          <cell r="U106"/>
          <cell r="V106"/>
          <cell r="W106"/>
          <cell r="X106" t="str">
            <v>OnOff1</v>
          </cell>
        </row>
        <row r="107">
          <cell r="M107" t="str">
            <v>Cal_Sig_AmbT</v>
          </cell>
          <cell r="N107">
            <v>12</v>
          </cell>
          <cell r="O107"/>
          <cell r="P107"/>
          <cell r="Q107"/>
          <cell r="R107" t="str">
            <v>Unsigned</v>
          </cell>
          <cell r="S107">
            <v>-60</v>
          </cell>
          <cell r="T107">
            <v>200</v>
          </cell>
          <cell r="U107">
            <v>0.1</v>
          </cell>
          <cell r="V107">
            <v>-60</v>
          </cell>
          <cell r="W107" t="str">
            <v>degC</v>
          </cell>
          <cell r="X107"/>
        </row>
        <row r="108">
          <cell r="M108" t="str">
            <v>Cal_Sig_InCarTEna</v>
          </cell>
          <cell r="N108">
            <v>1</v>
          </cell>
          <cell r="O108"/>
          <cell r="P108"/>
          <cell r="Q108"/>
          <cell r="R108" t="str">
            <v>Unsigned</v>
          </cell>
          <cell r="S108"/>
          <cell r="T108"/>
          <cell r="U108"/>
          <cell r="V108"/>
          <cell r="W108"/>
          <cell r="X108" t="str">
            <v>OnOff1</v>
          </cell>
        </row>
        <row r="109">
          <cell r="M109" t="str">
            <v>Cal_Sig_InCarT</v>
          </cell>
          <cell r="N109">
            <v>12</v>
          </cell>
          <cell r="O109"/>
          <cell r="P109"/>
          <cell r="Q109"/>
          <cell r="R109" t="str">
            <v>Unsigned</v>
          </cell>
          <cell r="S109">
            <v>-60</v>
          </cell>
          <cell r="T109">
            <v>200</v>
          </cell>
          <cell r="U109">
            <v>0.1</v>
          </cell>
          <cell r="V109">
            <v>-60</v>
          </cell>
          <cell r="W109" t="str">
            <v>degC</v>
          </cell>
          <cell r="X109"/>
        </row>
        <row r="110">
          <cell r="M110" t="str">
            <v>Cal_Sig_HvacEvaprTFrntEna</v>
          </cell>
          <cell r="N110">
            <v>1</v>
          </cell>
          <cell r="O110"/>
          <cell r="P110"/>
          <cell r="Q110"/>
          <cell r="R110" t="str">
            <v>Unsigned</v>
          </cell>
          <cell r="S110"/>
          <cell r="T110"/>
          <cell r="U110"/>
          <cell r="V110"/>
          <cell r="W110"/>
          <cell r="X110" t="str">
            <v>OnOff1</v>
          </cell>
        </row>
        <row r="111">
          <cell r="M111" t="str">
            <v>Cal_Sig_HvacEvaprTFrntT</v>
          </cell>
          <cell r="N111">
            <v>12</v>
          </cell>
          <cell r="O111"/>
          <cell r="P111"/>
          <cell r="Q111"/>
          <cell r="R111" t="str">
            <v>Unsigned</v>
          </cell>
          <cell r="S111">
            <v>-60</v>
          </cell>
          <cell r="T111">
            <v>200</v>
          </cell>
          <cell r="U111">
            <v>0.1</v>
          </cell>
          <cell r="V111">
            <v>-60</v>
          </cell>
          <cell r="W111" t="str">
            <v>degC</v>
          </cell>
          <cell r="X111"/>
        </row>
        <row r="112">
          <cell r="M112" t="str">
            <v>Cal_Sig_HvacEvaprTReEna</v>
          </cell>
          <cell r="N112">
            <v>1</v>
          </cell>
          <cell r="O112"/>
          <cell r="P112"/>
          <cell r="Q112"/>
          <cell r="R112" t="str">
            <v>Unsigned</v>
          </cell>
          <cell r="S112"/>
          <cell r="T112"/>
          <cell r="U112"/>
          <cell r="V112"/>
          <cell r="W112"/>
          <cell r="X112" t="str">
            <v>OnOff1</v>
          </cell>
        </row>
        <row r="113">
          <cell r="M113" t="str">
            <v>Cal_Sig_HvacEvaprTReT</v>
          </cell>
          <cell r="N113">
            <v>12</v>
          </cell>
          <cell r="O113"/>
          <cell r="P113"/>
          <cell r="Q113"/>
          <cell r="R113" t="str">
            <v>Unsigned</v>
          </cell>
          <cell r="S113">
            <v>-60</v>
          </cell>
          <cell r="T113">
            <v>200</v>
          </cell>
          <cell r="U113">
            <v>0.1</v>
          </cell>
          <cell r="V113">
            <v>-60</v>
          </cell>
          <cell r="W113" t="str">
            <v>degC</v>
          </cell>
          <cell r="X113"/>
        </row>
        <row r="114">
          <cell r="M114" t="str">
            <v>Cal_Sig_HvacCondsorTFrntTEna</v>
          </cell>
          <cell r="N114">
            <v>1</v>
          </cell>
          <cell r="O114"/>
          <cell r="P114"/>
          <cell r="Q114"/>
          <cell r="R114" t="str">
            <v>Unsigned</v>
          </cell>
          <cell r="S114"/>
          <cell r="T114"/>
          <cell r="U114"/>
          <cell r="V114"/>
          <cell r="W114"/>
          <cell r="X114" t="str">
            <v>OnOff1</v>
          </cell>
        </row>
        <row r="115">
          <cell r="M115" t="str">
            <v>Cal_Sig_HvacCondsorTFrntT</v>
          </cell>
          <cell r="N115">
            <v>12</v>
          </cell>
          <cell r="O115"/>
          <cell r="P115"/>
          <cell r="Q115"/>
          <cell r="R115" t="str">
            <v>Unsigned</v>
          </cell>
          <cell r="S115">
            <v>-60</v>
          </cell>
          <cell r="T115">
            <v>200</v>
          </cell>
          <cell r="U115">
            <v>0.1</v>
          </cell>
          <cell r="V115">
            <v>-60</v>
          </cell>
          <cell r="W115" t="str">
            <v>degC</v>
          </cell>
          <cell r="X115"/>
        </row>
        <row r="116">
          <cell r="M116" t="str">
            <v>Cal_Sig_CooltT1Ena</v>
          </cell>
          <cell r="N116">
            <v>1</v>
          </cell>
          <cell r="O116"/>
          <cell r="P116"/>
          <cell r="Q116"/>
          <cell r="R116" t="str">
            <v>Unsigned</v>
          </cell>
          <cell r="S116"/>
          <cell r="T116"/>
          <cell r="U116"/>
          <cell r="V116"/>
          <cell r="W116"/>
          <cell r="X116" t="str">
            <v>OnOff1</v>
          </cell>
        </row>
        <row r="117">
          <cell r="M117" t="str">
            <v>Cal_Sig_CooltT1</v>
          </cell>
          <cell r="N117">
            <v>12</v>
          </cell>
          <cell r="O117"/>
          <cell r="P117"/>
          <cell r="Q117"/>
          <cell r="R117" t="str">
            <v>Unsigned</v>
          </cell>
          <cell r="S117">
            <v>-60</v>
          </cell>
          <cell r="T117">
            <v>200</v>
          </cell>
          <cell r="U117">
            <v>0.1</v>
          </cell>
          <cell r="V117">
            <v>-60</v>
          </cell>
          <cell r="W117" t="str">
            <v>degC</v>
          </cell>
          <cell r="X117"/>
        </row>
        <row r="118">
          <cell r="M118" t="str">
            <v>Cal_Sig_CooltT2Ena</v>
          </cell>
          <cell r="N118">
            <v>1</v>
          </cell>
          <cell r="O118"/>
          <cell r="P118"/>
          <cell r="Q118"/>
          <cell r="R118" t="str">
            <v>Unsigned</v>
          </cell>
          <cell r="S118"/>
          <cell r="T118"/>
          <cell r="U118"/>
          <cell r="V118"/>
          <cell r="W118"/>
          <cell r="X118" t="str">
            <v>OnOff1</v>
          </cell>
        </row>
        <row r="119">
          <cell r="M119" t="str">
            <v>Cal_Sig_CooltT2</v>
          </cell>
          <cell r="N119">
            <v>12</v>
          </cell>
          <cell r="O119"/>
          <cell r="P119"/>
          <cell r="Q119"/>
          <cell r="R119" t="str">
            <v>Unsigned</v>
          </cell>
          <cell r="S119">
            <v>-60</v>
          </cell>
          <cell r="T119">
            <v>200</v>
          </cell>
          <cell r="U119">
            <v>0.1</v>
          </cell>
          <cell r="V119">
            <v>-60</v>
          </cell>
          <cell r="W119" t="str">
            <v>degC</v>
          </cell>
          <cell r="X119"/>
        </row>
        <row r="120">
          <cell r="M120" t="str">
            <v>Cal_Sig_CooltT3Ena</v>
          </cell>
          <cell r="N120">
            <v>1</v>
          </cell>
          <cell r="O120"/>
          <cell r="P120"/>
          <cell r="Q120"/>
          <cell r="R120" t="str">
            <v>Unsigned</v>
          </cell>
          <cell r="S120"/>
          <cell r="T120"/>
          <cell r="U120"/>
          <cell r="V120"/>
          <cell r="W120"/>
          <cell r="X120" t="str">
            <v>OnOff1</v>
          </cell>
        </row>
        <row r="121">
          <cell r="M121" t="str">
            <v>Cal_Sig_CooltT3</v>
          </cell>
          <cell r="N121">
            <v>12</v>
          </cell>
          <cell r="O121"/>
          <cell r="P121"/>
          <cell r="Q121"/>
          <cell r="R121" t="str">
            <v>Unsigned</v>
          </cell>
          <cell r="S121">
            <v>-60</v>
          </cell>
          <cell r="T121">
            <v>200</v>
          </cell>
          <cell r="U121">
            <v>0.1</v>
          </cell>
          <cell r="V121">
            <v>-60</v>
          </cell>
          <cell r="W121" t="str">
            <v>degC</v>
          </cell>
          <cell r="X121"/>
        </row>
        <row r="122">
          <cell r="M122" t="str">
            <v>AutoDeHumPopUp</v>
          </cell>
          <cell r="N122">
            <v>1</v>
          </cell>
          <cell r="O122"/>
          <cell r="P122"/>
          <cell r="Q122"/>
          <cell r="R122" t="str">
            <v>Unsigned</v>
          </cell>
          <cell r="S122"/>
          <cell r="T122"/>
          <cell r="U122"/>
          <cell r="V122"/>
          <cell r="W122"/>
          <cell r="X122" t="str">
            <v>ReqSts1</v>
          </cell>
        </row>
        <row r="123">
          <cell r="M123" t="str">
            <v>AutoDefrstPopUp</v>
          </cell>
          <cell r="N123">
            <v>1</v>
          </cell>
          <cell r="O123"/>
          <cell r="P123"/>
          <cell r="Q123"/>
          <cell r="R123" t="str">
            <v>Unsigned</v>
          </cell>
          <cell r="S123"/>
          <cell r="T123"/>
          <cell r="U123"/>
          <cell r="V123"/>
          <cell r="W123"/>
          <cell r="X123" t="str">
            <v>ReqSts1</v>
          </cell>
        </row>
        <row r="124">
          <cell r="M124" t="str">
            <v>AutoFreshPopUp</v>
          </cell>
          <cell r="N124">
            <v>1</v>
          </cell>
          <cell r="O124"/>
          <cell r="P124"/>
          <cell r="Q124"/>
          <cell r="R124" t="str">
            <v>Unsigned</v>
          </cell>
          <cell r="S124"/>
          <cell r="T124"/>
          <cell r="U124"/>
          <cell r="V124"/>
          <cell r="W124"/>
          <cell r="X124" t="str">
            <v>ReqSts1</v>
          </cell>
        </row>
        <row r="125">
          <cell r="M125" t="str">
            <v>ClimaDefrstSts</v>
          </cell>
          <cell r="N125">
            <v>1</v>
          </cell>
          <cell r="O125"/>
          <cell r="P125"/>
          <cell r="Q125"/>
          <cell r="R125" t="str">
            <v>Unsigned</v>
          </cell>
          <cell r="S125"/>
          <cell r="T125"/>
          <cell r="U125"/>
          <cell r="V125"/>
          <cell r="W125"/>
          <cell r="X125" t="str">
            <v>OnOff1</v>
          </cell>
        </row>
        <row r="126">
          <cell r="M126" t="str">
            <v>ClimaDefrstMaxSts</v>
          </cell>
          <cell r="N126">
            <v>1</v>
          </cell>
          <cell r="O126"/>
          <cell r="P126"/>
          <cell r="Q126"/>
          <cell r="R126" t="str">
            <v>Boolean</v>
          </cell>
          <cell r="S126"/>
          <cell r="T126"/>
          <cell r="U126"/>
          <cell r="V126"/>
          <cell r="W126"/>
          <cell r="X126" t="str">
            <v>Boolean</v>
          </cell>
        </row>
        <row r="127">
          <cell r="M127" t="str">
            <v>HvacFrntBlowerSts</v>
          </cell>
          <cell r="N127">
            <v>2</v>
          </cell>
          <cell r="O127"/>
          <cell r="P127"/>
          <cell r="Q127"/>
          <cell r="R127" t="str">
            <v>Unsigned</v>
          </cell>
          <cell r="S127"/>
          <cell r="T127"/>
          <cell r="U127"/>
          <cell r="V127"/>
          <cell r="W127"/>
          <cell r="X127" t="str">
            <v>HvacFanSts</v>
          </cell>
        </row>
        <row r="128">
          <cell r="M128" t="str">
            <v>HvacReBlowerSts</v>
          </cell>
          <cell r="N128">
            <v>2</v>
          </cell>
          <cell r="O128"/>
          <cell r="P128"/>
          <cell r="Q128"/>
          <cell r="R128" t="str">
            <v>Unsigned</v>
          </cell>
          <cell r="S128"/>
          <cell r="T128"/>
          <cell r="U128"/>
          <cell r="V128"/>
          <cell r="W128"/>
          <cell r="X128" t="str">
            <v>HvacFanSts</v>
          </cell>
        </row>
        <row r="129">
          <cell r="M129" t="str">
            <v>HvacAirMFlwFrntEstimd</v>
          </cell>
          <cell r="N129">
            <v>12</v>
          </cell>
          <cell r="O129"/>
          <cell r="P129"/>
          <cell r="Q129"/>
          <cell r="R129" t="str">
            <v>Unsigned</v>
          </cell>
          <cell r="S129">
            <v>0</v>
          </cell>
          <cell r="T129">
            <v>4000</v>
          </cell>
          <cell r="U129">
            <v>1</v>
          </cell>
          <cell r="V129">
            <v>0</v>
          </cell>
          <cell r="W129" t="str">
            <v>Kg / h</v>
          </cell>
          <cell r="X129"/>
        </row>
        <row r="130">
          <cell r="M130" t="str">
            <v>HvacAirMFlwReEstimd</v>
          </cell>
          <cell r="N130">
            <v>12</v>
          </cell>
          <cell r="O130"/>
          <cell r="P130"/>
          <cell r="Q130"/>
          <cell r="R130" t="str">
            <v>Unsigned</v>
          </cell>
          <cell r="S130">
            <v>0</v>
          </cell>
          <cell r="T130">
            <v>4000</v>
          </cell>
          <cell r="U130">
            <v>1</v>
          </cell>
          <cell r="V130">
            <v>0</v>
          </cell>
          <cell r="W130" t="str">
            <v>Kg / h</v>
          </cell>
          <cell r="X130"/>
        </row>
        <row r="131">
          <cell r="M131" t="str">
            <v>HvacAirQFlwFrntEstimd</v>
          </cell>
          <cell r="N131">
            <v>12</v>
          </cell>
          <cell r="O131"/>
          <cell r="P131"/>
          <cell r="Q131"/>
          <cell r="R131" t="str">
            <v>Unsigned</v>
          </cell>
          <cell r="S131">
            <v>0</v>
          </cell>
          <cell r="T131">
            <v>4000</v>
          </cell>
          <cell r="U131">
            <v>1</v>
          </cell>
          <cell r="V131">
            <v>0</v>
          </cell>
          <cell r="W131" t="str">
            <v>m3 / h</v>
          </cell>
          <cell r="X131"/>
        </row>
        <row r="132">
          <cell r="M132" t="str">
            <v>HvacAirQFlwReEstimd</v>
          </cell>
          <cell r="N132">
            <v>12</v>
          </cell>
          <cell r="O132"/>
          <cell r="P132"/>
          <cell r="Q132"/>
          <cell r="R132" t="str">
            <v>Unsigned</v>
          </cell>
          <cell r="S132">
            <v>0</v>
          </cell>
          <cell r="T132">
            <v>4000</v>
          </cell>
          <cell r="U132">
            <v>1</v>
          </cell>
          <cell r="V132">
            <v>0</v>
          </cell>
          <cell r="W132" t="str">
            <v>m3 / h</v>
          </cell>
          <cell r="X132"/>
        </row>
        <row r="133">
          <cell r="M133" t="str">
            <v>HvacFrntBlwSpdFb</v>
          </cell>
          <cell r="N133">
            <v>10</v>
          </cell>
          <cell r="O133"/>
          <cell r="P133"/>
          <cell r="Q133"/>
          <cell r="R133" t="str">
            <v>Unsigned</v>
          </cell>
          <cell r="S133">
            <v>0</v>
          </cell>
          <cell r="T133">
            <v>6000</v>
          </cell>
          <cell r="U133">
            <v>10</v>
          </cell>
          <cell r="V133">
            <v>0</v>
          </cell>
          <cell r="W133" t="str">
            <v>rpm</v>
          </cell>
          <cell r="X133"/>
        </row>
        <row r="134">
          <cell r="M134" t="str">
            <v>HvacReBlwSpdFb</v>
          </cell>
          <cell r="N134">
            <v>10</v>
          </cell>
          <cell r="O134"/>
          <cell r="P134"/>
          <cell r="Q134"/>
          <cell r="R134" t="str">
            <v>Unsigned</v>
          </cell>
          <cell r="S134">
            <v>0</v>
          </cell>
          <cell r="T134">
            <v>6000</v>
          </cell>
          <cell r="U134">
            <v>10</v>
          </cell>
          <cell r="V134">
            <v>0</v>
          </cell>
          <cell r="W134" t="str">
            <v>rpm</v>
          </cell>
          <cell r="X134"/>
        </row>
        <row r="135">
          <cell r="M135" t="str">
            <v>HvacCoolgEnaFrnt</v>
          </cell>
          <cell r="N135">
            <v>1</v>
          </cell>
          <cell r="O135"/>
          <cell r="P135"/>
          <cell r="Q135"/>
          <cell r="R135" t="str">
            <v>Unsigned</v>
          </cell>
          <cell r="S135"/>
          <cell r="T135"/>
          <cell r="U135"/>
          <cell r="V135"/>
          <cell r="W135"/>
          <cell r="X135" t="str">
            <v>OnOff1</v>
          </cell>
        </row>
        <row r="136">
          <cell r="M136" t="str">
            <v>HvacCoolgEnaRe</v>
          </cell>
          <cell r="N136">
            <v>1</v>
          </cell>
          <cell r="O136"/>
          <cell r="P136"/>
          <cell r="Q136"/>
          <cell r="R136" t="str">
            <v>Unsigned</v>
          </cell>
          <cell r="S136"/>
          <cell r="T136"/>
          <cell r="U136"/>
          <cell r="V136"/>
          <cell r="W136"/>
          <cell r="X136" t="str">
            <v>OnOff1</v>
          </cell>
        </row>
        <row r="137">
          <cell r="M137" t="str">
            <v>HvacDefrstFlapActlPosn</v>
          </cell>
          <cell r="N137">
            <v>10</v>
          </cell>
          <cell r="O137"/>
          <cell r="P137"/>
          <cell r="Q137"/>
          <cell r="R137" t="str">
            <v>Unsigned</v>
          </cell>
          <cell r="S137">
            <v>0</v>
          </cell>
          <cell r="T137">
            <v>100</v>
          </cell>
          <cell r="U137">
            <v>0.1</v>
          </cell>
          <cell r="V137">
            <v>0</v>
          </cell>
          <cell r="W137" t="str">
            <v>%</v>
          </cell>
          <cell r="X137"/>
        </row>
        <row r="138">
          <cell r="M138" t="str">
            <v>HvacEvaprTSpFrnt</v>
          </cell>
          <cell r="N138">
            <v>12</v>
          </cell>
          <cell r="O138"/>
          <cell r="P138"/>
          <cell r="Q138"/>
          <cell r="R138" t="str">
            <v>Unsigned</v>
          </cell>
          <cell r="S138">
            <v>-60</v>
          </cell>
          <cell r="T138">
            <v>200</v>
          </cell>
          <cell r="U138">
            <v>0.1</v>
          </cell>
          <cell r="V138">
            <v>-60</v>
          </cell>
          <cell r="W138" t="str">
            <v>degC</v>
          </cell>
          <cell r="X138"/>
        </row>
        <row r="139">
          <cell r="M139" t="str">
            <v>HvacEvaprTSpRe</v>
          </cell>
          <cell r="N139">
            <v>12</v>
          </cell>
          <cell r="O139"/>
          <cell r="P139"/>
          <cell r="Q139"/>
          <cell r="R139" t="str">
            <v>Unsigned</v>
          </cell>
          <cell r="S139">
            <v>-60</v>
          </cell>
          <cell r="T139">
            <v>200</v>
          </cell>
          <cell r="U139">
            <v>0.1</v>
          </cell>
          <cell r="V139">
            <v>-60</v>
          </cell>
          <cell r="W139" t="str">
            <v>degC</v>
          </cell>
          <cell r="X139"/>
        </row>
        <row r="140">
          <cell r="M140" t="str">
            <v>HvacModFlapActlPosnFrstRowLe</v>
          </cell>
          <cell r="N140">
            <v>10</v>
          </cell>
          <cell r="O140"/>
          <cell r="P140"/>
          <cell r="Q140"/>
          <cell r="R140" t="str">
            <v>Unsigned</v>
          </cell>
          <cell r="S140">
            <v>0</v>
          </cell>
          <cell r="T140">
            <v>100</v>
          </cell>
          <cell r="U140">
            <v>0.1</v>
          </cell>
          <cell r="V140">
            <v>0</v>
          </cell>
          <cell r="W140" t="str">
            <v>%</v>
          </cell>
          <cell r="X140"/>
        </row>
        <row r="141">
          <cell r="M141" t="str">
            <v>HvacModFlapActlPosnFrstRowRi</v>
          </cell>
          <cell r="N141">
            <v>10</v>
          </cell>
          <cell r="O141"/>
          <cell r="P141"/>
          <cell r="Q141"/>
          <cell r="R141" t="str">
            <v>Unsigned</v>
          </cell>
          <cell r="S141">
            <v>0</v>
          </cell>
          <cell r="T141">
            <v>100</v>
          </cell>
          <cell r="U141">
            <v>0.1</v>
          </cell>
          <cell r="V141">
            <v>0</v>
          </cell>
          <cell r="W141" t="str">
            <v>%</v>
          </cell>
          <cell r="X141"/>
        </row>
        <row r="142">
          <cell r="M142" t="str">
            <v>HvacModFlapActlPosnSecRowLe</v>
          </cell>
          <cell r="N142">
            <v>10</v>
          </cell>
          <cell r="O142"/>
          <cell r="P142"/>
          <cell r="Q142"/>
          <cell r="R142" t="str">
            <v>Unsigned</v>
          </cell>
          <cell r="S142">
            <v>0</v>
          </cell>
          <cell r="T142">
            <v>100</v>
          </cell>
          <cell r="U142">
            <v>0.1</v>
          </cell>
          <cell r="V142">
            <v>0</v>
          </cell>
          <cell r="W142" t="str">
            <v>%</v>
          </cell>
          <cell r="X142"/>
        </row>
        <row r="143">
          <cell r="M143" t="str">
            <v>HvacModFlapActlPosnSecRowRi</v>
          </cell>
          <cell r="N143">
            <v>10</v>
          </cell>
          <cell r="O143"/>
          <cell r="P143"/>
          <cell r="Q143"/>
          <cell r="R143" t="str">
            <v>Unsigned</v>
          </cell>
          <cell r="S143">
            <v>0</v>
          </cell>
          <cell r="T143">
            <v>100</v>
          </cell>
          <cell r="U143">
            <v>0.1</v>
          </cell>
          <cell r="V143">
            <v>0</v>
          </cell>
          <cell r="W143" t="str">
            <v>%</v>
          </cell>
          <cell r="X143"/>
        </row>
        <row r="144">
          <cell r="M144" t="str">
            <v>HvacOsaFlapActlPosn</v>
          </cell>
          <cell r="N144">
            <v>10</v>
          </cell>
          <cell r="O144"/>
          <cell r="P144"/>
          <cell r="Q144"/>
          <cell r="R144" t="str">
            <v>Unsigned</v>
          </cell>
          <cell r="S144">
            <v>0</v>
          </cell>
          <cell r="T144">
            <v>100</v>
          </cell>
          <cell r="U144">
            <v>0.1</v>
          </cell>
          <cell r="V144">
            <v>0</v>
          </cell>
          <cell r="W144" t="str">
            <v>%</v>
          </cell>
          <cell r="X144"/>
        </row>
        <row r="145">
          <cell r="M145" t="str">
            <v>HvacRecFlapActlPosn</v>
          </cell>
          <cell r="N145">
            <v>10</v>
          </cell>
          <cell r="O145"/>
          <cell r="P145"/>
          <cell r="Q145"/>
          <cell r="R145" t="str">
            <v>Unsigned</v>
          </cell>
          <cell r="S145">
            <v>0</v>
          </cell>
          <cell r="T145">
            <v>100</v>
          </cell>
          <cell r="U145">
            <v>0.1</v>
          </cell>
          <cell r="V145">
            <v>0</v>
          </cell>
          <cell r="W145" t="str">
            <v>%</v>
          </cell>
          <cell r="X145"/>
        </row>
        <row r="146">
          <cell r="M146" t="str">
            <v>HvacRecircActRat</v>
          </cell>
          <cell r="N146">
            <v>7</v>
          </cell>
          <cell r="O146"/>
          <cell r="P146"/>
          <cell r="Q146"/>
          <cell r="R146" t="str">
            <v>Unsigned</v>
          </cell>
          <cell r="S146">
            <v>0</v>
          </cell>
          <cell r="T146">
            <v>100</v>
          </cell>
          <cell r="U146">
            <v>0.1</v>
          </cell>
          <cell r="V146">
            <v>0</v>
          </cell>
          <cell r="W146" t="str">
            <v>%</v>
          </cell>
          <cell r="X146"/>
        </row>
        <row r="147">
          <cell r="M147" t="str">
            <v>HvacTempFlapActlPosnFrstRowLe</v>
          </cell>
          <cell r="N147">
            <v>10</v>
          </cell>
          <cell r="O147"/>
          <cell r="P147"/>
          <cell r="Q147"/>
          <cell r="R147" t="str">
            <v>Unsigned</v>
          </cell>
          <cell r="S147">
            <v>0</v>
          </cell>
          <cell r="T147">
            <v>100</v>
          </cell>
          <cell r="U147">
            <v>0.1</v>
          </cell>
          <cell r="V147">
            <v>0</v>
          </cell>
          <cell r="W147" t="str">
            <v>%</v>
          </cell>
          <cell r="X147"/>
        </row>
        <row r="148">
          <cell r="M148" t="str">
            <v>HvacTempFlapActlPosnFrstRowRi</v>
          </cell>
          <cell r="N148">
            <v>10</v>
          </cell>
          <cell r="O148"/>
          <cell r="P148"/>
          <cell r="Q148"/>
          <cell r="R148" t="str">
            <v>Unsigned</v>
          </cell>
          <cell r="S148">
            <v>0</v>
          </cell>
          <cell r="T148">
            <v>100</v>
          </cell>
          <cell r="U148">
            <v>0.1</v>
          </cell>
          <cell r="V148">
            <v>0</v>
          </cell>
          <cell r="W148" t="str">
            <v>%</v>
          </cell>
          <cell r="X148"/>
        </row>
        <row r="149">
          <cell r="M149" t="str">
            <v>HvacTempFlapActlPosnSecRowLe</v>
          </cell>
          <cell r="N149">
            <v>10</v>
          </cell>
          <cell r="O149"/>
          <cell r="P149"/>
          <cell r="Q149"/>
          <cell r="R149" t="str">
            <v>Unsigned</v>
          </cell>
          <cell r="S149">
            <v>0</v>
          </cell>
          <cell r="T149">
            <v>100</v>
          </cell>
          <cell r="U149">
            <v>0.1</v>
          </cell>
          <cell r="V149">
            <v>0</v>
          </cell>
          <cell r="W149" t="str">
            <v>%</v>
          </cell>
          <cell r="X149"/>
        </row>
        <row r="150">
          <cell r="M150" t="str">
            <v>HvacTempFlapActlPosnSecRowRi</v>
          </cell>
          <cell r="N150">
            <v>10</v>
          </cell>
          <cell r="O150"/>
          <cell r="P150"/>
          <cell r="Q150"/>
          <cell r="R150" t="str">
            <v>Unsigned</v>
          </cell>
          <cell r="S150">
            <v>0</v>
          </cell>
          <cell r="T150">
            <v>100</v>
          </cell>
          <cell r="U150">
            <v>0.1</v>
          </cell>
          <cell r="V150">
            <v>0</v>
          </cell>
          <cell r="W150" t="str">
            <v>%</v>
          </cell>
          <cell r="X150"/>
        </row>
        <row r="151">
          <cell r="M151" t="str">
            <v>HvacTgtAirTForRowFirstLe</v>
          </cell>
          <cell r="N151">
            <v>12</v>
          </cell>
          <cell r="O151"/>
          <cell r="P151"/>
          <cell r="Q151"/>
          <cell r="R151" t="str">
            <v>Unsigned</v>
          </cell>
          <cell r="S151">
            <v>-60</v>
          </cell>
          <cell r="T151">
            <v>200</v>
          </cell>
          <cell r="U151">
            <v>0.1</v>
          </cell>
          <cell r="V151">
            <v>-60</v>
          </cell>
          <cell r="W151" t="str">
            <v>degC</v>
          </cell>
          <cell r="X151"/>
        </row>
        <row r="152">
          <cell r="M152" t="str">
            <v>HvacTgtAirTForRowFirstRi</v>
          </cell>
          <cell r="N152">
            <v>12</v>
          </cell>
          <cell r="O152"/>
          <cell r="P152"/>
          <cell r="Q152"/>
          <cell r="R152" t="str">
            <v>Unsigned</v>
          </cell>
          <cell r="S152">
            <v>-60</v>
          </cell>
          <cell r="T152">
            <v>200</v>
          </cell>
          <cell r="U152">
            <v>0.1</v>
          </cell>
          <cell r="V152">
            <v>-60</v>
          </cell>
          <cell r="W152" t="str">
            <v>degC</v>
          </cell>
          <cell r="X152"/>
        </row>
        <row r="153">
          <cell r="M153" t="str">
            <v>HvacTgtAirTForRowSecLe</v>
          </cell>
          <cell r="N153">
            <v>12</v>
          </cell>
          <cell r="O153"/>
          <cell r="P153"/>
          <cell r="Q153"/>
          <cell r="R153" t="str">
            <v>Unsigned</v>
          </cell>
          <cell r="S153">
            <v>-60</v>
          </cell>
          <cell r="T153">
            <v>200</v>
          </cell>
          <cell r="U153">
            <v>0.1</v>
          </cell>
          <cell r="V153">
            <v>-60</v>
          </cell>
          <cell r="W153" t="str">
            <v>degC</v>
          </cell>
          <cell r="X153"/>
        </row>
        <row r="154">
          <cell r="M154" t="str">
            <v>HvacTgtAirTForRowSecRi</v>
          </cell>
          <cell r="N154">
            <v>12</v>
          </cell>
          <cell r="O154"/>
          <cell r="P154"/>
          <cell r="Q154"/>
          <cell r="R154" t="str">
            <v>Unsigned</v>
          </cell>
          <cell r="S154">
            <v>-60</v>
          </cell>
          <cell r="T154">
            <v>200</v>
          </cell>
          <cell r="U154">
            <v>0.1</v>
          </cell>
          <cell r="V154">
            <v>-60</v>
          </cell>
          <cell r="W154" t="str">
            <v>degC</v>
          </cell>
          <cell r="X154"/>
        </row>
        <row r="155">
          <cell r="M155" t="str">
            <v>AmbTEstimdAmbTEstimd</v>
          </cell>
          <cell r="N155">
            <v>12</v>
          </cell>
          <cell r="O155"/>
          <cell r="P155"/>
          <cell r="Q155"/>
          <cell r="R155" t="str">
            <v>Unsigned</v>
          </cell>
          <cell r="S155">
            <v>-60</v>
          </cell>
          <cell r="T155">
            <v>200</v>
          </cell>
          <cell r="U155">
            <v>0.1</v>
          </cell>
          <cell r="V155">
            <v>-60</v>
          </cell>
          <cell r="W155" t="str">
            <v>degC</v>
          </cell>
          <cell r="X155"/>
        </row>
        <row r="156">
          <cell r="M156" t="str">
            <v>AmbTEstimdQf</v>
          </cell>
          <cell r="N156">
            <v>1</v>
          </cell>
          <cell r="O156"/>
          <cell r="P156"/>
          <cell r="Q156"/>
          <cell r="R156" t="str">
            <v>Unsigned</v>
          </cell>
          <cell r="S156"/>
          <cell r="T156"/>
          <cell r="U156"/>
          <cell r="V156"/>
          <cell r="W156"/>
          <cell r="X156" t="str">
            <v>HvacTIfQf</v>
          </cell>
        </row>
        <row r="157">
          <cell r="M157" t="str">
            <v>CmptmtTFrntCmptmtTFrnt</v>
          </cell>
          <cell r="N157">
            <v>12</v>
          </cell>
          <cell r="O157"/>
          <cell r="P157"/>
          <cell r="Q157"/>
          <cell r="R157" t="str">
            <v>Unsigned</v>
          </cell>
          <cell r="S157">
            <v>-60</v>
          </cell>
          <cell r="T157">
            <v>200</v>
          </cell>
          <cell r="U157">
            <v>0.1</v>
          </cell>
          <cell r="V157">
            <v>-60</v>
          </cell>
          <cell r="W157" t="str">
            <v>degC</v>
          </cell>
          <cell r="X157"/>
        </row>
        <row r="158">
          <cell r="M158" t="str">
            <v>CmptmtTFrntFanForCmptmtTRunng</v>
          </cell>
          <cell r="N158">
            <v>1</v>
          </cell>
          <cell r="O158"/>
          <cell r="P158"/>
          <cell r="Q158"/>
          <cell r="R158" t="str">
            <v>Unsigned</v>
          </cell>
          <cell r="S158"/>
          <cell r="T158"/>
          <cell r="U158"/>
          <cell r="V158"/>
          <cell r="W158"/>
          <cell r="X158" t="str">
            <v>Flg1</v>
          </cell>
        </row>
        <row r="159">
          <cell r="M159" t="str">
            <v>CmptmtTFrntQf</v>
          </cell>
          <cell r="N159">
            <v>2</v>
          </cell>
          <cell r="O159"/>
          <cell r="P159"/>
          <cell r="Q159"/>
          <cell r="R159" t="str">
            <v>Unsigned</v>
          </cell>
          <cell r="S159"/>
          <cell r="T159"/>
          <cell r="U159"/>
          <cell r="V159"/>
          <cell r="W159"/>
          <cell r="X159" t="str">
            <v>CmptmtTFrntQf</v>
          </cell>
        </row>
        <row r="160">
          <cell r="M160" t="str">
            <v>CmptmtTReCmptmtTFrnt</v>
          </cell>
          <cell r="N160">
            <v>12</v>
          </cell>
          <cell r="O160"/>
          <cell r="P160"/>
          <cell r="Q160"/>
          <cell r="R160" t="str">
            <v>Unsigned</v>
          </cell>
          <cell r="S160">
            <v>-60</v>
          </cell>
          <cell r="T160">
            <v>200</v>
          </cell>
          <cell r="U160">
            <v>0.1</v>
          </cell>
          <cell r="V160">
            <v>-60</v>
          </cell>
          <cell r="W160" t="str">
            <v>degC</v>
          </cell>
          <cell r="X160"/>
        </row>
        <row r="161">
          <cell r="M161" t="str">
            <v>CmptmtTReCmptmtTFrntQf</v>
          </cell>
          <cell r="N161">
            <v>2</v>
          </cell>
          <cell r="O161"/>
          <cell r="P161"/>
          <cell r="Q161"/>
          <cell r="R161" t="str">
            <v>Unsigned</v>
          </cell>
          <cell r="S161"/>
          <cell r="T161"/>
          <cell r="U161"/>
          <cell r="V161"/>
          <cell r="W161"/>
          <cell r="X161" t="str">
            <v>CmptmtTFrntQf</v>
          </cell>
        </row>
        <row r="162">
          <cell r="M162" t="str">
            <v>CmptmtTReFanForCmptmtTRunng</v>
          </cell>
          <cell r="N162">
            <v>1</v>
          </cell>
          <cell r="O162"/>
          <cell r="P162"/>
          <cell r="Q162"/>
          <cell r="R162" t="str">
            <v>Unsigned</v>
          </cell>
          <cell r="S162"/>
          <cell r="T162"/>
          <cell r="U162"/>
          <cell r="V162"/>
          <cell r="W162"/>
          <cell r="X162" t="str">
            <v>Flg1</v>
          </cell>
        </row>
        <row r="163">
          <cell r="M163" t="str">
            <v>HvacEvaprTFrntTHvac</v>
          </cell>
          <cell r="N163">
            <v>12</v>
          </cell>
          <cell r="O163"/>
          <cell r="P163"/>
          <cell r="Q163"/>
          <cell r="R163" t="str">
            <v>Unsigned</v>
          </cell>
          <cell r="S163">
            <v>-60</v>
          </cell>
          <cell r="T163">
            <v>200</v>
          </cell>
          <cell r="U163">
            <v>0.1</v>
          </cell>
          <cell r="V163">
            <v>-60</v>
          </cell>
          <cell r="W163" t="str">
            <v>degC</v>
          </cell>
          <cell r="X163"/>
        </row>
        <row r="164">
          <cell r="M164" t="str">
            <v>HvacEvaprTFrntTQf</v>
          </cell>
          <cell r="N164">
            <v>1</v>
          </cell>
          <cell r="O164"/>
          <cell r="P164"/>
          <cell r="Q164"/>
          <cell r="R164" t="str">
            <v>Unsigned</v>
          </cell>
          <cell r="S164"/>
          <cell r="T164"/>
          <cell r="U164"/>
          <cell r="V164"/>
          <cell r="W164"/>
          <cell r="X164" t="str">
            <v>HvacTIfQf</v>
          </cell>
        </row>
        <row r="165">
          <cell r="M165" t="str">
            <v>HvacEvaprTReTHvac</v>
          </cell>
          <cell r="N165">
            <v>12</v>
          </cell>
          <cell r="O165"/>
          <cell r="P165"/>
          <cell r="Q165"/>
          <cell r="R165" t="str">
            <v>Unsigned</v>
          </cell>
          <cell r="S165">
            <v>-60</v>
          </cell>
          <cell r="T165">
            <v>200</v>
          </cell>
          <cell r="U165">
            <v>0.1</v>
          </cell>
          <cell r="V165">
            <v>-60</v>
          </cell>
          <cell r="W165" t="str">
            <v>degC</v>
          </cell>
          <cell r="X165"/>
        </row>
        <row r="166">
          <cell r="M166" t="str">
            <v>HvacEvaprTReTQf</v>
          </cell>
          <cell r="N166">
            <v>1</v>
          </cell>
          <cell r="O166"/>
          <cell r="P166"/>
          <cell r="Q166"/>
          <cell r="R166" t="str">
            <v>Unsigned</v>
          </cell>
          <cell r="S166"/>
          <cell r="T166"/>
          <cell r="U166"/>
          <cell r="V166"/>
          <cell r="W166"/>
          <cell r="X166" t="str">
            <v>HvacTIfQf</v>
          </cell>
        </row>
        <row r="167">
          <cell r="M167" t="str">
            <v>HvacAirTForRowFirstAtFlrLeTHvac</v>
          </cell>
          <cell r="N167">
            <v>12</v>
          </cell>
          <cell r="O167"/>
          <cell r="P167"/>
          <cell r="Q167"/>
          <cell r="R167" t="str">
            <v>Unsigned</v>
          </cell>
          <cell r="S167">
            <v>-60</v>
          </cell>
          <cell r="T167">
            <v>200</v>
          </cell>
          <cell r="U167">
            <v>0.1</v>
          </cell>
          <cell r="V167">
            <v>-60</v>
          </cell>
          <cell r="W167" t="str">
            <v>degC</v>
          </cell>
          <cell r="X167"/>
        </row>
        <row r="168">
          <cell r="M168" t="str">
            <v>HvacAirTForRowFirstAtFlrLeTQf</v>
          </cell>
          <cell r="N168">
            <v>1</v>
          </cell>
          <cell r="O168"/>
          <cell r="P168"/>
          <cell r="Q168"/>
          <cell r="R168" t="str">
            <v>Unsigned</v>
          </cell>
          <cell r="S168"/>
          <cell r="T168"/>
          <cell r="U168"/>
          <cell r="V168"/>
          <cell r="W168"/>
          <cell r="X168" t="str">
            <v>HvacTIfQf</v>
          </cell>
        </row>
        <row r="169">
          <cell r="M169" t="str">
            <v>HvacAirTForRowFirstAtFlrRiTHvac</v>
          </cell>
          <cell r="N169">
            <v>12</v>
          </cell>
          <cell r="O169"/>
          <cell r="P169"/>
          <cell r="Q169"/>
          <cell r="R169" t="str">
            <v>Unsigned</v>
          </cell>
          <cell r="S169">
            <v>-60</v>
          </cell>
          <cell r="T169">
            <v>200</v>
          </cell>
          <cell r="U169">
            <v>0.1</v>
          </cell>
          <cell r="V169">
            <v>-60</v>
          </cell>
          <cell r="W169" t="str">
            <v>degC</v>
          </cell>
          <cell r="X169"/>
        </row>
        <row r="170">
          <cell r="M170" t="str">
            <v>HvacAirTForRowFirstAtFlrRiTQf</v>
          </cell>
          <cell r="N170">
            <v>1</v>
          </cell>
          <cell r="O170"/>
          <cell r="P170"/>
          <cell r="Q170"/>
          <cell r="R170" t="str">
            <v>Unsigned</v>
          </cell>
          <cell r="S170"/>
          <cell r="T170"/>
          <cell r="U170"/>
          <cell r="V170"/>
          <cell r="W170"/>
          <cell r="X170" t="str">
            <v>HvacTIfQf</v>
          </cell>
        </row>
        <row r="171">
          <cell r="M171" t="str">
            <v>HvacAirTForRowFirstAtFaceLeTHvac</v>
          </cell>
          <cell r="N171">
            <v>12</v>
          </cell>
          <cell r="O171"/>
          <cell r="P171"/>
          <cell r="Q171"/>
          <cell r="R171" t="str">
            <v>Unsigned</v>
          </cell>
          <cell r="S171">
            <v>-60</v>
          </cell>
          <cell r="T171">
            <v>200</v>
          </cell>
          <cell r="U171">
            <v>0.1</v>
          </cell>
          <cell r="V171">
            <v>-60</v>
          </cell>
          <cell r="W171" t="str">
            <v>degC</v>
          </cell>
          <cell r="X171"/>
        </row>
        <row r="172">
          <cell r="M172" t="str">
            <v>HvacAirTForRowFirstAtFaceLeTQf</v>
          </cell>
          <cell r="N172">
            <v>1</v>
          </cell>
          <cell r="O172"/>
          <cell r="P172"/>
          <cell r="Q172"/>
          <cell r="R172" t="str">
            <v>Unsigned</v>
          </cell>
          <cell r="S172"/>
          <cell r="T172"/>
          <cell r="U172"/>
          <cell r="V172"/>
          <cell r="W172"/>
          <cell r="X172" t="str">
            <v>HvacTIfQf</v>
          </cell>
        </row>
        <row r="173">
          <cell r="M173" t="str">
            <v>HvacAirTForRowFirstAtFaceRiTHvac</v>
          </cell>
          <cell r="N173">
            <v>12</v>
          </cell>
          <cell r="O173"/>
          <cell r="P173"/>
          <cell r="Q173"/>
          <cell r="R173" t="str">
            <v>Unsigned</v>
          </cell>
          <cell r="S173">
            <v>-60</v>
          </cell>
          <cell r="T173">
            <v>200</v>
          </cell>
          <cell r="U173">
            <v>0.1</v>
          </cell>
          <cell r="V173">
            <v>-60</v>
          </cell>
          <cell r="W173" t="str">
            <v>degC</v>
          </cell>
          <cell r="X173"/>
        </row>
        <row r="174">
          <cell r="M174" t="str">
            <v>HvacAirTForRowFirstAtFaceRiTQf</v>
          </cell>
          <cell r="N174">
            <v>1</v>
          </cell>
          <cell r="O174"/>
          <cell r="P174"/>
          <cell r="Q174"/>
          <cell r="R174" t="str">
            <v>Unsigned</v>
          </cell>
          <cell r="S174"/>
          <cell r="T174"/>
          <cell r="U174"/>
          <cell r="V174"/>
          <cell r="W174"/>
          <cell r="X174" t="str">
            <v>HvacTIfQf</v>
          </cell>
        </row>
        <row r="175">
          <cell r="M175" t="str">
            <v>HvacAirTForRowSecAtFlrLeTHvac</v>
          </cell>
          <cell r="N175">
            <v>12</v>
          </cell>
          <cell r="O175"/>
          <cell r="P175"/>
          <cell r="Q175"/>
          <cell r="R175" t="str">
            <v>Unsigned</v>
          </cell>
          <cell r="S175">
            <v>-60</v>
          </cell>
          <cell r="T175">
            <v>200</v>
          </cell>
          <cell r="U175">
            <v>0.1</v>
          </cell>
          <cell r="V175">
            <v>-60</v>
          </cell>
          <cell r="W175" t="str">
            <v>degC</v>
          </cell>
          <cell r="X175"/>
        </row>
        <row r="176">
          <cell r="M176" t="str">
            <v>HvacAirTForRowSecAtFlrLeTQf</v>
          </cell>
          <cell r="N176">
            <v>1</v>
          </cell>
          <cell r="O176"/>
          <cell r="P176"/>
          <cell r="Q176"/>
          <cell r="R176" t="str">
            <v>Unsigned</v>
          </cell>
          <cell r="S176"/>
          <cell r="T176"/>
          <cell r="U176"/>
          <cell r="V176"/>
          <cell r="W176"/>
          <cell r="X176" t="str">
            <v>HvacTIfQf</v>
          </cell>
        </row>
        <row r="177">
          <cell r="M177" t="str">
            <v>HvacAirTForRowSecAtFlrRiTHvac</v>
          </cell>
          <cell r="N177">
            <v>12</v>
          </cell>
          <cell r="O177"/>
          <cell r="P177"/>
          <cell r="Q177"/>
          <cell r="R177" t="str">
            <v>Unsigned</v>
          </cell>
          <cell r="S177">
            <v>-60</v>
          </cell>
          <cell r="T177">
            <v>200</v>
          </cell>
          <cell r="U177">
            <v>0.1</v>
          </cell>
          <cell r="V177">
            <v>-60</v>
          </cell>
          <cell r="W177" t="str">
            <v>degC</v>
          </cell>
          <cell r="X177"/>
        </row>
        <row r="178">
          <cell r="M178" t="str">
            <v>HvacAirTForRowSecAtFlrRiTQf</v>
          </cell>
          <cell r="N178">
            <v>1</v>
          </cell>
          <cell r="O178"/>
          <cell r="P178"/>
          <cell r="Q178"/>
          <cell r="R178" t="str">
            <v>Unsigned</v>
          </cell>
          <cell r="S178"/>
          <cell r="T178"/>
          <cell r="U178"/>
          <cell r="V178"/>
          <cell r="W178"/>
          <cell r="X178" t="str">
            <v>HvacTIfQf</v>
          </cell>
        </row>
        <row r="179">
          <cell r="M179" t="str">
            <v>HvacAirTForRowSecAtFaceLeTHvac</v>
          </cell>
          <cell r="N179">
            <v>12</v>
          </cell>
          <cell r="O179"/>
          <cell r="P179"/>
          <cell r="Q179"/>
          <cell r="R179" t="str">
            <v>Unsigned</v>
          </cell>
          <cell r="S179">
            <v>-60</v>
          </cell>
          <cell r="T179">
            <v>200</v>
          </cell>
          <cell r="U179">
            <v>0.1</v>
          </cell>
          <cell r="V179">
            <v>-60</v>
          </cell>
          <cell r="W179" t="str">
            <v>degC</v>
          </cell>
          <cell r="X179"/>
        </row>
        <row r="180">
          <cell r="M180" t="str">
            <v>HvacAirTForRowSecAtFaceLeTQf</v>
          </cell>
          <cell r="N180">
            <v>1</v>
          </cell>
          <cell r="O180"/>
          <cell r="P180"/>
          <cell r="Q180"/>
          <cell r="R180" t="str">
            <v>Unsigned</v>
          </cell>
          <cell r="S180"/>
          <cell r="T180"/>
          <cell r="U180"/>
          <cell r="V180"/>
          <cell r="W180"/>
          <cell r="X180" t="str">
            <v>HvacTIfQf</v>
          </cell>
        </row>
        <row r="181">
          <cell r="M181" t="str">
            <v>HvacAirTForRowSecAtFaceRiTHvac</v>
          </cell>
          <cell r="N181">
            <v>12</v>
          </cell>
          <cell r="O181"/>
          <cell r="P181"/>
          <cell r="Q181"/>
          <cell r="R181" t="str">
            <v>Unsigned</v>
          </cell>
          <cell r="S181">
            <v>-60</v>
          </cell>
          <cell r="T181">
            <v>200</v>
          </cell>
          <cell r="U181">
            <v>0.1</v>
          </cell>
          <cell r="V181">
            <v>-60</v>
          </cell>
          <cell r="W181" t="str">
            <v>degC</v>
          </cell>
          <cell r="X181"/>
        </row>
        <row r="182">
          <cell r="M182" t="str">
            <v>HvacAirTForRowSecAtFaceRiTQf</v>
          </cell>
          <cell r="N182">
            <v>1</v>
          </cell>
          <cell r="O182"/>
          <cell r="P182"/>
          <cell r="Q182"/>
          <cell r="R182" t="str">
            <v>Unsigned</v>
          </cell>
          <cell r="S182"/>
          <cell r="T182"/>
          <cell r="U182"/>
          <cell r="V182"/>
          <cell r="W182"/>
          <cell r="X182" t="str">
            <v>HvacTIfQf</v>
          </cell>
        </row>
        <row r="183">
          <cell r="M183" t="str">
            <v>HvacCondsorTFrntTHvac</v>
          </cell>
          <cell r="N183">
            <v>12</v>
          </cell>
          <cell r="O183"/>
          <cell r="P183"/>
          <cell r="Q183"/>
          <cell r="R183" t="str">
            <v>Unsigned</v>
          </cell>
          <cell r="S183">
            <v>-60</v>
          </cell>
          <cell r="T183">
            <v>200</v>
          </cell>
          <cell r="U183">
            <v>0.1</v>
          </cell>
          <cell r="V183">
            <v>-60</v>
          </cell>
          <cell r="W183" t="str">
            <v>degC</v>
          </cell>
          <cell r="X183"/>
        </row>
        <row r="184">
          <cell r="M184" t="str">
            <v>HvacCondsorTFrntTQf</v>
          </cell>
          <cell r="N184">
            <v>1</v>
          </cell>
          <cell r="O184"/>
          <cell r="P184"/>
          <cell r="Q184"/>
          <cell r="R184" t="str">
            <v>Unsigned</v>
          </cell>
          <cell r="S184"/>
          <cell r="T184"/>
          <cell r="U184"/>
          <cell r="V184"/>
          <cell r="W184"/>
          <cell r="X184" t="str">
            <v>HvacTIfQf</v>
          </cell>
        </row>
        <row r="185">
          <cell r="M185" t="str">
            <v>HvacCondsorTspFrntTHvac</v>
          </cell>
          <cell r="N185">
            <v>12</v>
          </cell>
          <cell r="O185"/>
          <cell r="P185"/>
          <cell r="Q185"/>
          <cell r="R185" t="str">
            <v>Unsigned</v>
          </cell>
          <cell r="S185">
            <v>-60</v>
          </cell>
          <cell r="T185">
            <v>200</v>
          </cell>
          <cell r="U185">
            <v>0.1</v>
          </cell>
          <cell r="V185">
            <v>-60</v>
          </cell>
          <cell r="W185" t="str">
            <v>degC</v>
          </cell>
          <cell r="X185"/>
        </row>
        <row r="186">
          <cell r="M186" t="str">
            <v>ClimaThermReq</v>
          </cell>
          <cell r="N186">
            <v>3</v>
          </cell>
          <cell r="O186"/>
          <cell r="P186"/>
          <cell r="Q186"/>
          <cell r="R186" t="str">
            <v>Unsigned</v>
          </cell>
          <cell r="S186"/>
          <cell r="T186"/>
          <cell r="U186"/>
          <cell r="V186"/>
          <cell r="W186"/>
          <cell r="X186" t="str">
            <v>ModeCmptHp</v>
          </cell>
        </row>
        <row r="187">
          <cell r="M187" t="str">
            <v>ClimaThermSts</v>
          </cell>
          <cell r="N187">
            <v>1</v>
          </cell>
          <cell r="O187"/>
          <cell r="P187"/>
          <cell r="Q187"/>
          <cell r="R187" t="str">
            <v>Unsigned</v>
          </cell>
          <cell r="S187"/>
          <cell r="T187"/>
          <cell r="U187"/>
          <cell r="V187"/>
          <cell r="W187"/>
          <cell r="X187" t="str">
            <v>ClimaSts</v>
          </cell>
        </row>
        <row r="188">
          <cell r="M188" t="str">
            <v>HvacAirTHvacIntkT</v>
          </cell>
          <cell r="N188">
            <v>12</v>
          </cell>
          <cell r="O188"/>
          <cell r="P188"/>
          <cell r="Q188"/>
          <cell r="R188" t="str">
            <v>Unsigned</v>
          </cell>
          <cell r="S188">
            <v>-60</v>
          </cell>
          <cell r="T188">
            <v>200</v>
          </cell>
          <cell r="U188">
            <v>0.1</v>
          </cell>
          <cell r="V188">
            <v>-60</v>
          </cell>
          <cell r="W188" t="str">
            <v>degC</v>
          </cell>
          <cell r="X188"/>
        </row>
        <row r="189">
          <cell r="M189" t="str">
            <v>RsvdSigForClima01</v>
          </cell>
          <cell r="N189">
            <v>8</v>
          </cell>
          <cell r="O189"/>
          <cell r="P189"/>
          <cell r="Q189"/>
          <cell r="R189" t="str">
            <v>Unsigned</v>
          </cell>
          <cell r="S189"/>
          <cell r="T189"/>
          <cell r="U189"/>
          <cell r="V189"/>
          <cell r="W189"/>
          <cell r="X189"/>
        </row>
        <row r="190">
          <cell r="M190" t="str">
            <v>RsvdSigForClima02</v>
          </cell>
          <cell r="N190">
            <v>8</v>
          </cell>
          <cell r="O190"/>
          <cell r="P190"/>
          <cell r="Q190"/>
          <cell r="R190" t="str">
            <v>Unsigned</v>
          </cell>
          <cell r="S190"/>
          <cell r="T190"/>
          <cell r="U190"/>
          <cell r="V190"/>
          <cell r="W190"/>
          <cell r="X190"/>
        </row>
        <row r="191">
          <cell r="M191" t="str">
            <v>RsvdSigForClima03</v>
          </cell>
          <cell r="N191">
            <v>8</v>
          </cell>
          <cell r="O191"/>
          <cell r="P191"/>
          <cell r="Q191"/>
          <cell r="R191" t="str">
            <v>Unsigned</v>
          </cell>
          <cell r="S191"/>
          <cell r="T191"/>
          <cell r="U191"/>
          <cell r="V191"/>
          <cell r="W191"/>
          <cell r="X191"/>
        </row>
        <row r="192">
          <cell r="M192" t="str">
            <v>RsvdSigForClima04</v>
          </cell>
          <cell r="N192">
            <v>8</v>
          </cell>
          <cell r="O192"/>
          <cell r="P192"/>
          <cell r="Q192"/>
          <cell r="R192" t="str">
            <v>Unsigned</v>
          </cell>
          <cell r="S192"/>
          <cell r="T192"/>
          <cell r="U192"/>
          <cell r="V192"/>
          <cell r="W192"/>
          <cell r="X192"/>
        </row>
        <row r="193">
          <cell r="M193" t="str">
            <v>RsvdSigForClima05</v>
          </cell>
          <cell r="N193">
            <v>8</v>
          </cell>
          <cell r="O193"/>
          <cell r="P193"/>
          <cell r="Q193"/>
          <cell r="R193" t="str">
            <v>Unsigned</v>
          </cell>
          <cell r="S193"/>
          <cell r="T193"/>
          <cell r="U193"/>
          <cell r="V193"/>
          <cell r="W193"/>
          <cell r="X193"/>
        </row>
        <row r="194">
          <cell r="M194" t="str">
            <v>RsvdSigForClima06</v>
          </cell>
          <cell r="N194">
            <v>8</v>
          </cell>
          <cell r="O194"/>
          <cell r="P194"/>
          <cell r="Q194"/>
          <cell r="R194" t="str">
            <v>Unsigned</v>
          </cell>
          <cell r="S194"/>
          <cell r="T194"/>
          <cell r="U194"/>
          <cell r="V194"/>
          <cell r="W194"/>
          <cell r="X194"/>
        </row>
        <row r="195">
          <cell r="M195" t="str">
            <v>RsvdSigForClima07</v>
          </cell>
          <cell r="N195">
            <v>8</v>
          </cell>
          <cell r="O195"/>
          <cell r="P195"/>
          <cell r="Q195"/>
          <cell r="R195" t="str">
            <v>Unsigned</v>
          </cell>
          <cell r="S195"/>
          <cell r="T195"/>
          <cell r="U195"/>
          <cell r="V195"/>
          <cell r="W195"/>
          <cell r="X195"/>
        </row>
        <row r="196">
          <cell r="M196" t="str">
            <v>RsvdSigForClima08</v>
          </cell>
          <cell r="N196">
            <v>8</v>
          </cell>
          <cell r="O196"/>
          <cell r="P196"/>
          <cell r="Q196"/>
          <cell r="R196" t="str">
            <v>Unsigned</v>
          </cell>
          <cell r="S196"/>
          <cell r="T196"/>
          <cell r="U196"/>
          <cell r="V196"/>
          <cell r="W196"/>
          <cell r="X196"/>
        </row>
        <row r="197">
          <cell r="M197" t="str">
            <v>RsvdSigForClima09</v>
          </cell>
          <cell r="N197">
            <v>8</v>
          </cell>
          <cell r="O197"/>
          <cell r="P197"/>
          <cell r="Q197"/>
          <cell r="R197" t="str">
            <v>Unsigned</v>
          </cell>
          <cell r="S197"/>
          <cell r="T197"/>
          <cell r="U197"/>
          <cell r="V197"/>
          <cell r="W197"/>
          <cell r="X197"/>
        </row>
        <row r="198">
          <cell r="M198" t="str">
            <v>RsvdSigForClima10</v>
          </cell>
          <cell r="N198">
            <v>8</v>
          </cell>
          <cell r="O198"/>
          <cell r="P198"/>
          <cell r="Q198"/>
          <cell r="R198" t="str">
            <v>Unsigned</v>
          </cell>
          <cell r="S198"/>
          <cell r="T198"/>
          <cell r="U198"/>
          <cell r="V198"/>
          <cell r="W198"/>
          <cell r="X198"/>
        </row>
        <row r="199">
          <cell r="M199" t="str">
            <v>RsvdSigForClima11</v>
          </cell>
          <cell r="N199">
            <v>8</v>
          </cell>
          <cell r="O199"/>
          <cell r="P199"/>
          <cell r="Q199"/>
          <cell r="R199" t="str">
            <v>Unsigned</v>
          </cell>
          <cell r="S199"/>
          <cell r="T199"/>
          <cell r="U199"/>
          <cell r="V199"/>
          <cell r="W199"/>
          <cell r="X199"/>
        </row>
        <row r="200">
          <cell r="M200" t="str">
            <v>RsvdSigForClima12</v>
          </cell>
          <cell r="N200">
            <v>8</v>
          </cell>
          <cell r="O200"/>
          <cell r="P200"/>
          <cell r="Q200"/>
          <cell r="R200" t="str">
            <v>Unsigned</v>
          </cell>
          <cell r="S200"/>
          <cell r="T200"/>
          <cell r="U200"/>
          <cell r="V200"/>
          <cell r="W200"/>
          <cell r="X200"/>
        </row>
        <row r="201">
          <cell r="M201" t="str">
            <v>RsvdSigForClima13</v>
          </cell>
          <cell r="N201">
            <v>8</v>
          </cell>
          <cell r="O201"/>
          <cell r="P201"/>
          <cell r="Q201"/>
          <cell r="R201" t="str">
            <v>Unsigned</v>
          </cell>
          <cell r="S201"/>
          <cell r="T201"/>
          <cell r="U201"/>
          <cell r="V201"/>
          <cell r="W201"/>
          <cell r="X201"/>
        </row>
        <row r="202">
          <cell r="M202" t="str">
            <v>RsvdSigForClima14</v>
          </cell>
          <cell r="N202">
            <v>8</v>
          </cell>
          <cell r="O202"/>
          <cell r="P202"/>
          <cell r="Q202"/>
          <cell r="R202" t="str">
            <v>Unsigned</v>
          </cell>
          <cell r="S202"/>
          <cell r="T202"/>
          <cell r="U202"/>
          <cell r="V202"/>
          <cell r="W202"/>
          <cell r="X202"/>
        </row>
        <row r="203">
          <cell r="M203" t="str">
            <v>RsvdSigForClima15</v>
          </cell>
          <cell r="N203">
            <v>8</v>
          </cell>
          <cell r="O203"/>
          <cell r="P203"/>
          <cell r="Q203"/>
          <cell r="R203" t="str">
            <v>Unsigned</v>
          </cell>
          <cell r="S203"/>
          <cell r="T203"/>
          <cell r="U203"/>
          <cell r="V203"/>
          <cell r="W203"/>
          <cell r="X203"/>
        </row>
        <row r="204">
          <cell r="M204" t="str">
            <v>RsvdSigForClima16</v>
          </cell>
          <cell r="N204">
            <v>8</v>
          </cell>
          <cell r="O204"/>
          <cell r="P204"/>
          <cell r="Q204"/>
          <cell r="R204" t="str">
            <v>Unsigned</v>
          </cell>
          <cell r="S204"/>
          <cell r="T204"/>
          <cell r="U204"/>
          <cell r="V204"/>
          <cell r="W204"/>
          <cell r="X204"/>
        </row>
        <row r="205">
          <cell r="M205" t="str">
            <v>RsvdSigForClima17</v>
          </cell>
          <cell r="N205">
            <v>8</v>
          </cell>
          <cell r="O205"/>
          <cell r="P205"/>
          <cell r="Q205"/>
          <cell r="R205" t="str">
            <v>Unsigned</v>
          </cell>
          <cell r="S205"/>
          <cell r="T205"/>
          <cell r="U205"/>
          <cell r="V205"/>
          <cell r="W205"/>
          <cell r="X205"/>
        </row>
        <row r="206">
          <cell r="M206" t="str">
            <v>RsvdSigForClima18</v>
          </cell>
          <cell r="N206">
            <v>8</v>
          </cell>
          <cell r="O206"/>
          <cell r="P206"/>
          <cell r="Q206"/>
          <cell r="R206" t="str">
            <v>Unsigned</v>
          </cell>
          <cell r="S206"/>
          <cell r="T206"/>
          <cell r="U206"/>
          <cell r="V206"/>
          <cell r="W206"/>
          <cell r="X206"/>
        </row>
        <row r="207">
          <cell r="M207" t="str">
            <v>RsvdSigForClima19</v>
          </cell>
          <cell r="N207">
            <v>8</v>
          </cell>
          <cell r="O207"/>
          <cell r="P207"/>
          <cell r="Q207"/>
          <cell r="R207" t="str">
            <v>Unsigned</v>
          </cell>
          <cell r="S207"/>
          <cell r="T207"/>
          <cell r="U207"/>
          <cell r="V207"/>
          <cell r="W207"/>
          <cell r="X207"/>
        </row>
        <row r="208">
          <cell r="M208" t="str">
            <v>RsvdSigForClima20</v>
          </cell>
          <cell r="N208">
            <v>8</v>
          </cell>
          <cell r="O208"/>
          <cell r="P208"/>
          <cell r="Q208"/>
          <cell r="R208" t="str">
            <v>Unsigned</v>
          </cell>
          <cell r="S208"/>
          <cell r="T208"/>
          <cell r="U208"/>
          <cell r="V208"/>
          <cell r="W208"/>
          <cell r="X208"/>
        </row>
        <row r="209">
          <cell r="M209" t="str">
            <v>RsvdSigForClima21</v>
          </cell>
          <cell r="N209">
            <v>8</v>
          </cell>
          <cell r="O209"/>
          <cell r="P209"/>
          <cell r="Q209"/>
          <cell r="R209" t="str">
            <v>Unsigned</v>
          </cell>
          <cell r="S209"/>
          <cell r="T209"/>
          <cell r="U209"/>
          <cell r="V209"/>
          <cell r="W209"/>
          <cell r="X209"/>
        </row>
        <row r="210">
          <cell r="M210" t="str">
            <v>RsvdSigForClima22</v>
          </cell>
          <cell r="N210">
            <v>8</v>
          </cell>
          <cell r="O210"/>
          <cell r="P210"/>
          <cell r="Q210"/>
          <cell r="R210" t="str">
            <v>Unsigned</v>
          </cell>
          <cell r="S210"/>
          <cell r="T210"/>
          <cell r="U210"/>
          <cell r="V210"/>
          <cell r="W210"/>
          <cell r="X210"/>
        </row>
        <row r="211">
          <cell r="M211" t="str">
            <v>RsvdSigForClima23</v>
          </cell>
          <cell r="N211">
            <v>8</v>
          </cell>
          <cell r="O211"/>
          <cell r="P211"/>
          <cell r="Q211"/>
          <cell r="R211" t="str">
            <v>Unsigned</v>
          </cell>
          <cell r="S211"/>
          <cell r="T211"/>
          <cell r="U211"/>
          <cell r="V211"/>
          <cell r="W211"/>
          <cell r="X211"/>
        </row>
        <row r="212">
          <cell r="M212" t="str">
            <v>HvacDefrstFlapTgtPosn</v>
          </cell>
          <cell r="N212">
            <v>10</v>
          </cell>
          <cell r="O212"/>
          <cell r="P212"/>
          <cell r="Q212"/>
          <cell r="R212" t="str">
            <v>Unsigned</v>
          </cell>
          <cell r="S212">
            <v>0</v>
          </cell>
          <cell r="T212">
            <v>100</v>
          </cell>
          <cell r="U212">
            <v>0.1</v>
          </cell>
          <cell r="V212">
            <v>0</v>
          </cell>
          <cell r="W212" t="str">
            <v>%</v>
          </cell>
          <cell r="X212"/>
        </row>
        <row r="213">
          <cell r="M213" t="str">
            <v>HvacModFlapTgtPosnFrstRowLe</v>
          </cell>
          <cell r="N213">
            <v>10</v>
          </cell>
          <cell r="O213"/>
          <cell r="P213"/>
          <cell r="Q213"/>
          <cell r="R213" t="str">
            <v>Unsigned</v>
          </cell>
          <cell r="S213">
            <v>0</v>
          </cell>
          <cell r="T213">
            <v>100</v>
          </cell>
          <cell r="U213">
            <v>0.1</v>
          </cell>
          <cell r="V213">
            <v>0</v>
          </cell>
          <cell r="W213" t="str">
            <v>%</v>
          </cell>
          <cell r="X213"/>
        </row>
        <row r="214">
          <cell r="M214" t="str">
            <v>HvacModFlapTgtPosnFrstRowRi</v>
          </cell>
          <cell r="N214">
            <v>10</v>
          </cell>
          <cell r="O214"/>
          <cell r="P214"/>
          <cell r="Q214"/>
          <cell r="R214" t="str">
            <v>Unsigned</v>
          </cell>
          <cell r="S214">
            <v>0</v>
          </cell>
          <cell r="T214">
            <v>100</v>
          </cell>
          <cell r="U214">
            <v>0.1</v>
          </cell>
          <cell r="V214">
            <v>0</v>
          </cell>
          <cell r="W214" t="str">
            <v>%</v>
          </cell>
          <cell r="X214"/>
        </row>
        <row r="215">
          <cell r="M215" t="str">
            <v>HvacModFlapTgtPosnSecRowLe</v>
          </cell>
          <cell r="N215">
            <v>10</v>
          </cell>
          <cell r="O215"/>
          <cell r="P215"/>
          <cell r="Q215"/>
          <cell r="R215" t="str">
            <v>Unsigned</v>
          </cell>
          <cell r="S215">
            <v>0</v>
          </cell>
          <cell r="T215">
            <v>100</v>
          </cell>
          <cell r="U215">
            <v>0.1</v>
          </cell>
          <cell r="V215">
            <v>0</v>
          </cell>
          <cell r="W215" t="str">
            <v>%</v>
          </cell>
          <cell r="X215"/>
        </row>
        <row r="216">
          <cell r="M216" t="str">
            <v>HvacModFlapTgtPosnSecRowRi</v>
          </cell>
          <cell r="N216">
            <v>10</v>
          </cell>
          <cell r="O216"/>
          <cell r="P216"/>
          <cell r="Q216"/>
          <cell r="R216" t="str">
            <v>Unsigned</v>
          </cell>
          <cell r="S216">
            <v>0</v>
          </cell>
          <cell r="T216">
            <v>100</v>
          </cell>
          <cell r="U216">
            <v>0.1</v>
          </cell>
          <cell r="V216">
            <v>0</v>
          </cell>
          <cell r="W216" t="str">
            <v>%</v>
          </cell>
          <cell r="X216"/>
        </row>
        <row r="217">
          <cell r="M217" t="str">
            <v>HvacOsaFlapTgtPosn</v>
          </cell>
          <cell r="N217">
            <v>10</v>
          </cell>
          <cell r="O217"/>
          <cell r="P217"/>
          <cell r="Q217"/>
          <cell r="R217" t="str">
            <v>Unsigned</v>
          </cell>
          <cell r="S217">
            <v>0</v>
          </cell>
          <cell r="T217">
            <v>100</v>
          </cell>
          <cell r="U217">
            <v>0.1</v>
          </cell>
          <cell r="V217">
            <v>0</v>
          </cell>
          <cell r="W217" t="str">
            <v>%</v>
          </cell>
          <cell r="X217"/>
        </row>
        <row r="218">
          <cell r="M218" t="str">
            <v>HvacRecFlapTgtPosn</v>
          </cell>
          <cell r="N218">
            <v>10</v>
          </cell>
          <cell r="O218"/>
          <cell r="P218"/>
          <cell r="Q218"/>
          <cell r="R218" t="str">
            <v>Unsigned</v>
          </cell>
          <cell r="S218">
            <v>0</v>
          </cell>
          <cell r="T218">
            <v>100</v>
          </cell>
          <cell r="U218">
            <v>0.1</v>
          </cell>
          <cell r="V218">
            <v>0</v>
          </cell>
          <cell r="W218" t="str">
            <v>%</v>
          </cell>
          <cell r="X218"/>
        </row>
        <row r="219">
          <cell r="M219" t="str">
            <v>HvacTempFlapTgtPosnFrstRowLe</v>
          </cell>
          <cell r="N219">
            <v>10</v>
          </cell>
          <cell r="O219"/>
          <cell r="P219"/>
          <cell r="Q219"/>
          <cell r="R219" t="str">
            <v>Unsigned</v>
          </cell>
          <cell r="S219">
            <v>0</v>
          </cell>
          <cell r="T219">
            <v>100</v>
          </cell>
          <cell r="U219">
            <v>0.1</v>
          </cell>
          <cell r="V219">
            <v>0</v>
          </cell>
          <cell r="W219" t="str">
            <v>%</v>
          </cell>
          <cell r="X219"/>
        </row>
        <row r="220">
          <cell r="M220" t="str">
            <v>HvacTempFlapTgtPosnFrstRowRi</v>
          </cell>
          <cell r="N220">
            <v>10</v>
          </cell>
          <cell r="O220"/>
          <cell r="P220"/>
          <cell r="Q220"/>
          <cell r="R220" t="str">
            <v>Unsigned</v>
          </cell>
          <cell r="S220">
            <v>0</v>
          </cell>
          <cell r="T220">
            <v>100</v>
          </cell>
          <cell r="U220">
            <v>0.1</v>
          </cell>
          <cell r="V220">
            <v>0</v>
          </cell>
          <cell r="W220" t="str">
            <v>%</v>
          </cell>
          <cell r="X220"/>
        </row>
        <row r="221">
          <cell r="M221" t="str">
            <v>HvacTempFlapTgtPosnSecRowLe</v>
          </cell>
          <cell r="N221">
            <v>10</v>
          </cell>
          <cell r="O221"/>
          <cell r="P221"/>
          <cell r="Q221"/>
          <cell r="R221" t="str">
            <v>Unsigned</v>
          </cell>
          <cell r="S221">
            <v>0</v>
          </cell>
          <cell r="T221">
            <v>100</v>
          </cell>
          <cell r="U221">
            <v>0.1</v>
          </cell>
          <cell r="V221">
            <v>0</v>
          </cell>
          <cell r="W221" t="str">
            <v>%</v>
          </cell>
          <cell r="X221"/>
        </row>
        <row r="222">
          <cell r="M222" t="str">
            <v>HvacTempFlapTgtPosnSecRowRi</v>
          </cell>
          <cell r="N222">
            <v>10</v>
          </cell>
          <cell r="O222"/>
          <cell r="P222"/>
          <cell r="Q222"/>
          <cell r="R222" t="str">
            <v>Unsigned</v>
          </cell>
          <cell r="S222">
            <v>0</v>
          </cell>
          <cell r="T222">
            <v>100</v>
          </cell>
          <cell r="U222">
            <v>0.1</v>
          </cell>
          <cell r="V222">
            <v>0</v>
          </cell>
          <cell r="W222" t="str">
            <v>%</v>
          </cell>
          <cell r="X222"/>
        </row>
        <row r="223">
          <cell r="M223" t="str">
            <v>HvBattThermRunAway</v>
          </cell>
          <cell r="N223">
            <v>1</v>
          </cell>
          <cell r="O223"/>
          <cell r="P223"/>
          <cell r="Q223"/>
          <cell r="R223" t="str">
            <v>Unsigned</v>
          </cell>
          <cell r="S223"/>
          <cell r="T223"/>
          <cell r="U223"/>
          <cell r="V223"/>
          <cell r="W223"/>
          <cell r="X223" t="str">
            <v>OnOffSts</v>
          </cell>
        </row>
        <row r="224">
          <cell r="M224" t="str">
            <v>WhlMotCooltFlowMinReq</v>
          </cell>
          <cell r="N224">
            <v>9</v>
          </cell>
          <cell r="O224"/>
          <cell r="P224"/>
          <cell r="Q224"/>
          <cell r="R224" t="str">
            <v>Unsigned</v>
          </cell>
          <cell r="S224">
            <v>0</v>
          </cell>
          <cell r="T224">
            <v>51.1</v>
          </cell>
          <cell r="U224">
            <v>0.1</v>
          </cell>
          <cell r="V224">
            <v>0</v>
          </cell>
          <cell r="W224" t="str">
            <v>L / min</v>
          </cell>
          <cell r="X224"/>
        </row>
        <row r="225">
          <cell r="M225" t="str">
            <v>WhlMotSysCoolgReq</v>
          </cell>
          <cell r="N225">
            <v>3</v>
          </cell>
          <cell r="O225"/>
          <cell r="P225"/>
          <cell r="Q225"/>
          <cell r="R225" t="str">
            <v>Unsigned</v>
          </cell>
          <cell r="S225"/>
          <cell r="T225"/>
          <cell r="U225"/>
          <cell r="V225"/>
          <cell r="W225"/>
          <cell r="X225" t="str">
            <v>HvCoolg1</v>
          </cell>
        </row>
        <row r="226">
          <cell r="M226" t="str">
            <v>WhlMotSysCooltT</v>
          </cell>
          <cell r="N226">
            <v>12</v>
          </cell>
          <cell r="O226"/>
          <cell r="P226"/>
          <cell r="Q226"/>
          <cell r="R226" t="str">
            <v>Unsigned</v>
          </cell>
          <cell r="S226">
            <v>-60</v>
          </cell>
          <cell r="T226">
            <v>200</v>
          </cell>
          <cell r="U226">
            <v>0.1</v>
          </cell>
          <cell r="V226">
            <v>-60</v>
          </cell>
          <cell r="W226" t="str">
            <v>degC</v>
          </cell>
          <cell r="X226"/>
        </row>
        <row r="227">
          <cell r="M227" t="str">
            <v>WhlMotSysInvrT</v>
          </cell>
          <cell r="N227">
            <v>12</v>
          </cell>
          <cell r="O227"/>
          <cell r="P227"/>
          <cell r="Q227"/>
          <cell r="R227" t="str">
            <v>Unsigned</v>
          </cell>
          <cell r="S227">
            <v>-60</v>
          </cell>
          <cell r="T227">
            <v>200</v>
          </cell>
          <cell r="U227">
            <v>0.1</v>
          </cell>
          <cell r="V227">
            <v>-60</v>
          </cell>
          <cell r="W227" t="str">
            <v>degC</v>
          </cell>
          <cell r="X227"/>
        </row>
        <row r="228">
          <cell r="M228" t="str">
            <v>WhlMotSysMotT</v>
          </cell>
          <cell r="N228">
            <v>12</v>
          </cell>
          <cell r="O228"/>
          <cell r="P228"/>
          <cell r="Q228"/>
          <cell r="R228" t="str">
            <v>Unsigned</v>
          </cell>
          <cell r="S228">
            <v>-60</v>
          </cell>
          <cell r="T228">
            <v>200</v>
          </cell>
          <cell r="U228">
            <v>0.1</v>
          </cell>
          <cell r="V228">
            <v>-60</v>
          </cell>
          <cell r="W228" t="str">
            <v>degC</v>
          </cell>
          <cell r="X228"/>
        </row>
        <row r="229">
          <cell r="M229" t="str">
            <v>DCChrgSt</v>
          </cell>
          <cell r="N229">
            <v>4</v>
          </cell>
          <cell r="O229"/>
          <cell r="P229"/>
          <cell r="Q229"/>
          <cell r="R229" t="str">
            <v>Unsigned</v>
          </cell>
          <cell r="S229"/>
          <cell r="T229"/>
          <cell r="U229"/>
          <cell r="V229"/>
          <cell r="W229"/>
          <cell r="X229" t="str">
            <v>DCChrgrSts</v>
          </cell>
        </row>
        <row r="230">
          <cell r="M230" t="str">
            <v>DCChrgnHndlSts</v>
          </cell>
          <cell r="N230">
            <v>3</v>
          </cell>
          <cell r="O230"/>
          <cell r="P230"/>
          <cell r="Q230"/>
          <cell r="R230" t="str">
            <v>Unsigned</v>
          </cell>
          <cell r="S230"/>
          <cell r="T230"/>
          <cell r="U230"/>
          <cell r="V230"/>
          <cell r="W230"/>
          <cell r="X230" t="str">
            <v>OnBdChrgrHndlSts</v>
          </cell>
        </row>
        <row r="231">
          <cell r="M231" t="str">
            <v>ACChrgSt</v>
          </cell>
          <cell r="N231">
            <v>4</v>
          </cell>
          <cell r="O231"/>
          <cell r="P231"/>
          <cell r="Q231"/>
          <cell r="R231" t="str">
            <v>Unsigned</v>
          </cell>
          <cell r="S231"/>
          <cell r="T231"/>
          <cell r="U231"/>
          <cell r="V231"/>
          <cell r="W231"/>
          <cell r="X231" t="str">
            <v>DCChrgrSts</v>
          </cell>
        </row>
        <row r="232">
          <cell r="M232" t="str">
            <v>ACChrgnHndlSts</v>
          </cell>
          <cell r="N232">
            <v>3</v>
          </cell>
          <cell r="O232"/>
          <cell r="P232"/>
          <cell r="Q232"/>
          <cell r="R232" t="str">
            <v>Unsigned</v>
          </cell>
          <cell r="S232"/>
          <cell r="T232"/>
          <cell r="U232"/>
          <cell r="V232"/>
          <cell r="W232"/>
          <cell r="X232" t="str">
            <v>OnBdChrgrHndlSts</v>
          </cell>
        </row>
        <row r="233">
          <cell r="M233" t="str">
            <v>HvBattCooltFlowReq</v>
          </cell>
          <cell r="N233">
            <v>9</v>
          </cell>
          <cell r="O233"/>
          <cell r="P233"/>
          <cell r="Q233"/>
          <cell r="R233" t="str">
            <v>Unsigned</v>
          </cell>
          <cell r="S233">
            <v>0</v>
          </cell>
          <cell r="T233">
            <v>51.1</v>
          </cell>
          <cell r="U233">
            <v>0.1</v>
          </cell>
          <cell r="V233">
            <v>0</v>
          </cell>
          <cell r="W233" t="str">
            <v>L / min</v>
          </cell>
          <cell r="X233"/>
        </row>
        <row r="234">
          <cell r="M234" t="str">
            <v>HvBattCooltMaxTReq</v>
          </cell>
          <cell r="N234">
            <v>12</v>
          </cell>
          <cell r="O234"/>
          <cell r="P234"/>
          <cell r="Q234"/>
          <cell r="R234" t="str">
            <v>Unsigned</v>
          </cell>
          <cell r="S234">
            <v>-60</v>
          </cell>
          <cell r="T234">
            <v>200</v>
          </cell>
          <cell r="U234">
            <v>0.1</v>
          </cell>
          <cell r="V234">
            <v>-60</v>
          </cell>
          <cell r="W234" t="str">
            <v>degC</v>
          </cell>
          <cell r="X234"/>
        </row>
        <row r="235">
          <cell r="M235" t="str">
            <v>HvBattCooltMinTReq</v>
          </cell>
          <cell r="N235">
            <v>12</v>
          </cell>
          <cell r="O235"/>
          <cell r="P235"/>
          <cell r="Q235"/>
          <cell r="R235" t="str">
            <v>Unsigned</v>
          </cell>
          <cell r="S235">
            <v>-60</v>
          </cell>
          <cell r="T235">
            <v>200</v>
          </cell>
          <cell r="U235">
            <v>0.1</v>
          </cell>
          <cell r="V235">
            <v>-60</v>
          </cell>
          <cell r="W235" t="str">
            <v>degC</v>
          </cell>
          <cell r="X235"/>
        </row>
        <row r="236">
          <cell r="M236" t="str">
            <v>HvBattCooltTReq</v>
          </cell>
          <cell r="N236">
            <v>12</v>
          </cell>
          <cell r="O236"/>
          <cell r="P236"/>
          <cell r="Q236"/>
          <cell r="R236" t="str">
            <v>Unsigned</v>
          </cell>
          <cell r="S236">
            <v>-60</v>
          </cell>
          <cell r="T236">
            <v>200</v>
          </cell>
          <cell r="U236">
            <v>0.1</v>
          </cell>
          <cell r="V236">
            <v>-60</v>
          </cell>
          <cell r="W236" t="str">
            <v>degC</v>
          </cell>
          <cell r="X236"/>
        </row>
        <row r="237">
          <cell r="M237" t="str">
            <v>HvBattThermReq</v>
          </cell>
          <cell r="N237">
            <v>3</v>
          </cell>
          <cell r="O237"/>
          <cell r="P237"/>
          <cell r="Q237"/>
          <cell r="R237" t="str">
            <v>Unsigned</v>
          </cell>
          <cell r="S237"/>
          <cell r="T237"/>
          <cell r="U237"/>
          <cell r="V237"/>
          <cell r="W237"/>
          <cell r="X237" t="str">
            <v>HvBattThermMod</v>
          </cell>
        </row>
        <row r="238">
          <cell r="M238" t="str">
            <v>HvBattTAvg</v>
          </cell>
          <cell r="N238">
            <v>12</v>
          </cell>
          <cell r="O238"/>
          <cell r="P238"/>
          <cell r="Q238"/>
          <cell r="R238" t="str">
            <v>Unsigned</v>
          </cell>
          <cell r="S238">
            <v>-60</v>
          </cell>
          <cell r="T238">
            <v>200</v>
          </cell>
          <cell r="U238">
            <v>0.1</v>
          </cell>
          <cell r="V238">
            <v>-60</v>
          </cell>
          <cell r="W238" t="str">
            <v>degC</v>
          </cell>
          <cell r="X238"/>
        </row>
        <row r="239">
          <cell r="M239" t="str">
            <v>HvBattTMax</v>
          </cell>
          <cell r="N239">
            <v>12</v>
          </cell>
          <cell r="O239"/>
          <cell r="P239"/>
          <cell r="Q239"/>
          <cell r="R239" t="str">
            <v>Unsigned</v>
          </cell>
          <cell r="S239">
            <v>-60</v>
          </cell>
          <cell r="T239">
            <v>200</v>
          </cell>
          <cell r="U239">
            <v>0.1</v>
          </cell>
          <cell r="V239">
            <v>-60</v>
          </cell>
          <cell r="W239" t="str">
            <v>degC</v>
          </cell>
          <cell r="X239"/>
        </row>
        <row r="240">
          <cell r="M240" t="str">
            <v>HvBattTMin</v>
          </cell>
          <cell r="N240">
            <v>12</v>
          </cell>
          <cell r="O240"/>
          <cell r="P240"/>
          <cell r="Q240"/>
          <cell r="R240" t="str">
            <v>Unsigned</v>
          </cell>
          <cell r="S240">
            <v>-60</v>
          </cell>
          <cell r="T240">
            <v>200</v>
          </cell>
          <cell r="U240">
            <v>0.1</v>
          </cell>
          <cell r="V240">
            <v>-60</v>
          </cell>
          <cell r="W240" t="str">
            <v>degC</v>
          </cell>
          <cell r="X240"/>
        </row>
        <row r="241">
          <cell r="M241" t="str">
            <v>HvBattActSOC</v>
          </cell>
          <cell r="N241">
            <v>10</v>
          </cell>
          <cell r="O241"/>
          <cell r="P241"/>
          <cell r="Q241"/>
          <cell r="R241" t="str">
            <v>Unsigned</v>
          </cell>
          <cell r="S241">
            <v>0</v>
          </cell>
          <cell r="T241">
            <v>100</v>
          </cell>
          <cell r="U241">
            <v>0.1</v>
          </cell>
          <cell r="V241">
            <v>0</v>
          </cell>
          <cell r="W241" t="str">
            <v>%</v>
          </cell>
          <cell r="X241"/>
        </row>
        <row r="242">
          <cell r="M242" t="str">
            <v>HvSysRlyStsChks</v>
          </cell>
          <cell r="N242">
            <v>8</v>
          </cell>
          <cell r="O242"/>
          <cell r="P242"/>
          <cell r="Q242"/>
          <cell r="R242" t="str">
            <v>Unsigned</v>
          </cell>
          <cell r="S242"/>
          <cell r="T242"/>
          <cell r="U242"/>
          <cell r="V242"/>
          <cell r="W242"/>
          <cell r="X242"/>
        </row>
        <row r="243">
          <cell r="M243" t="str">
            <v>HvSysRlyStsCntr</v>
          </cell>
          <cell r="N243">
            <v>4</v>
          </cell>
          <cell r="O243"/>
          <cell r="P243"/>
          <cell r="Q243"/>
          <cell r="R243" t="str">
            <v>Unsigned</v>
          </cell>
          <cell r="S243"/>
          <cell r="T243"/>
          <cell r="U243"/>
          <cell r="V243"/>
          <cell r="W243"/>
          <cell r="X243"/>
        </row>
        <row r="244">
          <cell r="M244" t="str">
            <v>HvSysRlyStsHvSysRlySts</v>
          </cell>
          <cell r="N244">
            <v>2</v>
          </cell>
          <cell r="O244"/>
          <cell r="P244"/>
          <cell r="Q244"/>
          <cell r="R244" t="str">
            <v>Unsigned</v>
          </cell>
          <cell r="S244"/>
          <cell r="T244"/>
          <cell r="U244"/>
          <cell r="V244"/>
          <cell r="W244"/>
          <cell r="X244" t="str">
            <v>HvActvnSts</v>
          </cell>
        </row>
        <row r="245">
          <cell r="M245" t="str">
            <v>HvCmprPwrAllwd</v>
          </cell>
          <cell r="N245">
            <v>8</v>
          </cell>
          <cell r="O245"/>
          <cell r="P245"/>
          <cell r="Q245"/>
          <cell r="R245" t="str">
            <v>Unsigned</v>
          </cell>
          <cell r="S245">
            <v>0</v>
          </cell>
          <cell r="T245">
            <v>12750</v>
          </cell>
          <cell r="U245">
            <v>50</v>
          </cell>
          <cell r="V245">
            <v>0</v>
          </cell>
          <cell r="W245" t="str">
            <v>W</v>
          </cell>
          <cell r="X245"/>
        </row>
        <row r="246">
          <cell r="M246" t="str">
            <v>HvHeatrPwrAllwd</v>
          </cell>
          <cell r="N246">
            <v>8</v>
          </cell>
          <cell r="O246"/>
          <cell r="P246"/>
          <cell r="Q246"/>
          <cell r="R246" t="str">
            <v>Unsigned</v>
          </cell>
          <cell r="S246">
            <v>0</v>
          </cell>
          <cell r="T246">
            <v>12750</v>
          </cell>
          <cell r="U246">
            <v>50</v>
          </cell>
          <cell r="V246">
            <v>0</v>
          </cell>
          <cell r="W246" t="str">
            <v>W</v>
          </cell>
          <cell r="X246"/>
        </row>
        <row r="247">
          <cell r="M247" t="str">
            <v>WhlMotCooltFlwEstimd</v>
          </cell>
          <cell r="N247">
            <v>9</v>
          </cell>
          <cell r="O247"/>
          <cell r="P247"/>
          <cell r="Q247"/>
          <cell r="R247" t="str">
            <v>Unsigned</v>
          </cell>
          <cell r="S247">
            <v>0</v>
          </cell>
          <cell r="T247">
            <v>51.1</v>
          </cell>
          <cell r="U247">
            <v>0.1</v>
          </cell>
          <cell r="V247">
            <v>0</v>
          </cell>
          <cell r="W247" t="str">
            <v>L / min</v>
          </cell>
          <cell r="X247"/>
        </row>
        <row r="248">
          <cell r="M248" t="str">
            <v>HvBattCooltFlwEstimd</v>
          </cell>
          <cell r="N248">
            <v>9</v>
          </cell>
          <cell r="O248"/>
          <cell r="P248"/>
          <cell r="Q248"/>
          <cell r="R248" t="str">
            <v>Unsigned</v>
          </cell>
          <cell r="S248">
            <v>0</v>
          </cell>
          <cell r="T248">
            <v>51.1</v>
          </cell>
          <cell r="U248">
            <v>0.1</v>
          </cell>
          <cell r="V248">
            <v>0</v>
          </cell>
          <cell r="W248" t="str">
            <v>L / min</v>
          </cell>
          <cell r="X248"/>
        </row>
        <row r="249">
          <cell r="M249" t="str">
            <v>HvBattThermReqFb</v>
          </cell>
          <cell r="N249">
            <v>4</v>
          </cell>
          <cell r="O249" t="str">
            <v>47</v>
          </cell>
          <cell r="P249"/>
          <cell r="Q249">
            <v>37</v>
          </cell>
          <cell r="R249" t="str">
            <v>Unsigned</v>
          </cell>
          <cell r="S249"/>
          <cell r="T249"/>
          <cell r="U249"/>
          <cell r="V249"/>
          <cell r="W249"/>
          <cell r="X249" t="str">
            <v>HvBattThermReqFb</v>
          </cell>
        </row>
        <row r="250">
          <cell r="M250" t="str">
            <v>HvCmprNormPwrDes</v>
          </cell>
          <cell r="N250">
            <v>8</v>
          </cell>
          <cell r="O250"/>
          <cell r="P250"/>
          <cell r="Q250"/>
          <cell r="R250" t="str">
            <v>Unsigned</v>
          </cell>
          <cell r="S250">
            <v>0</v>
          </cell>
          <cell r="T250">
            <v>12750</v>
          </cell>
          <cell r="U250">
            <v>50</v>
          </cell>
          <cell r="V250">
            <v>0</v>
          </cell>
          <cell r="W250" t="str">
            <v>W</v>
          </cell>
          <cell r="X250"/>
        </row>
        <row r="251">
          <cell r="M251" t="str">
            <v>HvHeatrNormPwrDes</v>
          </cell>
          <cell r="N251">
            <v>8</v>
          </cell>
          <cell r="O251"/>
          <cell r="P251"/>
          <cell r="Q251"/>
          <cell r="R251" t="str">
            <v>Unsigned</v>
          </cell>
          <cell r="S251">
            <v>0</v>
          </cell>
          <cell r="T251">
            <v>12750</v>
          </cell>
          <cell r="U251">
            <v>50</v>
          </cell>
          <cell r="V251">
            <v>0</v>
          </cell>
          <cell r="W251" t="str">
            <v>W</v>
          </cell>
          <cell r="X251"/>
        </row>
        <row r="252">
          <cell r="M252" t="str">
            <v>HvCmprCritPwrDes</v>
          </cell>
          <cell r="N252">
            <v>8</v>
          </cell>
          <cell r="O252"/>
          <cell r="P252"/>
          <cell r="Q252"/>
          <cell r="R252" t="str">
            <v>Unsigned</v>
          </cell>
          <cell r="S252">
            <v>0</v>
          </cell>
          <cell r="T252">
            <v>12750</v>
          </cell>
          <cell r="U252">
            <v>50</v>
          </cell>
          <cell r="V252">
            <v>0</v>
          </cell>
          <cell r="W252" t="str">
            <v>W</v>
          </cell>
          <cell r="X252"/>
        </row>
        <row r="253">
          <cell r="M253" t="str">
            <v>HvHeatrCritPwrDes</v>
          </cell>
          <cell r="N253">
            <v>8</v>
          </cell>
          <cell r="O253"/>
          <cell r="P253"/>
          <cell r="Q253"/>
          <cell r="R253" t="str">
            <v>Unsigned</v>
          </cell>
          <cell r="S253">
            <v>0</v>
          </cell>
          <cell r="T253">
            <v>12750</v>
          </cell>
          <cell r="U253">
            <v>50</v>
          </cell>
          <cell r="V253">
            <v>0</v>
          </cell>
          <cell r="W253" t="str">
            <v>W</v>
          </cell>
          <cell r="X253"/>
        </row>
        <row r="254">
          <cell r="M254" t="str">
            <v>ThermDeiceReq</v>
          </cell>
          <cell r="N254">
            <v>3</v>
          </cell>
          <cell r="O254"/>
          <cell r="P254"/>
          <cell r="Q254"/>
          <cell r="R254" t="str">
            <v>Unsigned</v>
          </cell>
          <cell r="S254"/>
          <cell r="T254"/>
          <cell r="U254"/>
          <cell r="V254"/>
          <cell r="W254"/>
          <cell r="X254" t="str">
            <v>DeiceReq</v>
          </cell>
        </row>
        <row r="255">
          <cell r="M255" t="str">
            <v>ThermRfgModReq</v>
          </cell>
          <cell r="N255">
            <v>7</v>
          </cell>
          <cell r="O255"/>
          <cell r="P255"/>
          <cell r="Q255"/>
          <cell r="R255" t="str">
            <v>Unsigned</v>
          </cell>
          <cell r="S255"/>
          <cell r="T255"/>
          <cell r="U255"/>
          <cell r="V255"/>
          <cell r="W255"/>
          <cell r="X255" t="str">
            <v>HeatPmpModCmd</v>
          </cell>
        </row>
        <row r="256">
          <cell r="M256" t="str">
            <v>ThermRfgModSts</v>
          </cell>
          <cell r="N256">
            <v>7</v>
          </cell>
          <cell r="O256"/>
          <cell r="P256"/>
          <cell r="Q256"/>
          <cell r="R256" t="str">
            <v>Unsigned</v>
          </cell>
          <cell r="S256"/>
          <cell r="T256"/>
          <cell r="U256"/>
          <cell r="V256"/>
          <cell r="W256"/>
          <cell r="X256" t="str">
            <v>HeatPmpModCmd</v>
          </cell>
        </row>
        <row r="257">
          <cell r="M257" t="str">
            <v>ThermRfgModSwtSts</v>
          </cell>
          <cell r="N257">
            <v>1</v>
          </cell>
          <cell r="O257"/>
          <cell r="P257"/>
          <cell r="Q257"/>
          <cell r="R257" t="str">
            <v>Unsigned</v>
          </cell>
          <cell r="S257"/>
          <cell r="T257"/>
          <cell r="U257"/>
          <cell r="V257"/>
          <cell r="W257"/>
          <cell r="X257" t="str">
            <v>ClimaSts</v>
          </cell>
        </row>
        <row r="258">
          <cell r="M258" t="str">
            <v>ThermCooltModReq</v>
          </cell>
          <cell r="N258">
            <v>7</v>
          </cell>
          <cell r="O258"/>
          <cell r="P258"/>
          <cell r="Q258"/>
          <cell r="R258" t="str">
            <v>Unsigned</v>
          </cell>
          <cell r="S258"/>
          <cell r="T258"/>
          <cell r="U258"/>
          <cell r="V258"/>
          <cell r="W258"/>
          <cell r="X258" t="str">
            <v>HeatPmpModCmd</v>
          </cell>
        </row>
        <row r="259">
          <cell r="M259" t="str">
            <v>ThermCooltModSts</v>
          </cell>
          <cell r="N259">
            <v>7</v>
          </cell>
          <cell r="O259"/>
          <cell r="P259"/>
          <cell r="Q259"/>
          <cell r="R259" t="str">
            <v>Unsigned</v>
          </cell>
          <cell r="S259"/>
          <cell r="T259"/>
          <cell r="U259"/>
          <cell r="V259"/>
          <cell r="W259"/>
          <cell r="X259" t="str">
            <v>HeatPmpModCmd</v>
          </cell>
        </row>
        <row r="260">
          <cell r="M260" t="str">
            <v>ThermCooltModSwtSts</v>
          </cell>
          <cell r="N260">
            <v>1</v>
          </cell>
          <cell r="O260"/>
          <cell r="P260"/>
          <cell r="Q260"/>
          <cell r="R260" t="str">
            <v>Unsigned</v>
          </cell>
          <cell r="S260"/>
          <cell r="T260"/>
          <cell r="U260"/>
          <cell r="V260"/>
          <cell r="W260"/>
          <cell r="X260" t="str">
            <v>ClimaSts</v>
          </cell>
        </row>
        <row r="261">
          <cell r="M261" t="str">
            <v>RfgSnsrT1</v>
          </cell>
          <cell r="N261">
            <v>12</v>
          </cell>
          <cell r="O261"/>
          <cell r="P261"/>
          <cell r="Q261"/>
          <cell r="R261" t="str">
            <v>Unsigned</v>
          </cell>
          <cell r="S261">
            <v>-60</v>
          </cell>
          <cell r="T261">
            <v>200</v>
          </cell>
          <cell r="U261">
            <v>0.1</v>
          </cell>
          <cell r="V261">
            <v>-60</v>
          </cell>
          <cell r="W261" t="str">
            <v>degC</v>
          </cell>
          <cell r="X261"/>
        </row>
        <row r="262">
          <cell r="M262" t="str">
            <v>RfgSnsrT2</v>
          </cell>
          <cell r="N262">
            <v>12</v>
          </cell>
          <cell r="O262"/>
          <cell r="P262"/>
          <cell r="Q262"/>
          <cell r="R262" t="str">
            <v>Unsigned</v>
          </cell>
          <cell r="S262">
            <v>-60</v>
          </cell>
          <cell r="T262">
            <v>200</v>
          </cell>
          <cell r="U262">
            <v>0.1</v>
          </cell>
          <cell r="V262">
            <v>-60</v>
          </cell>
          <cell r="W262" t="str">
            <v>degC</v>
          </cell>
          <cell r="X262"/>
        </row>
        <row r="263">
          <cell r="M263" t="str">
            <v>RfgSnsrT3</v>
          </cell>
          <cell r="N263">
            <v>12</v>
          </cell>
          <cell r="O263"/>
          <cell r="P263"/>
          <cell r="Q263"/>
          <cell r="R263" t="str">
            <v>Unsigned</v>
          </cell>
          <cell r="S263">
            <v>-60</v>
          </cell>
          <cell r="T263">
            <v>200</v>
          </cell>
          <cell r="U263">
            <v>0.1</v>
          </cell>
          <cell r="V263">
            <v>-60</v>
          </cell>
          <cell r="W263" t="str">
            <v>degC</v>
          </cell>
          <cell r="X263"/>
        </row>
        <row r="264">
          <cell r="M264" t="str">
            <v>RfgSnsrT4</v>
          </cell>
          <cell r="N264">
            <v>12</v>
          </cell>
          <cell r="O264"/>
          <cell r="P264"/>
          <cell r="Q264"/>
          <cell r="R264" t="str">
            <v>Unsigned</v>
          </cell>
          <cell r="S264">
            <v>-60</v>
          </cell>
          <cell r="T264">
            <v>200</v>
          </cell>
          <cell r="U264">
            <v>0.1</v>
          </cell>
          <cell r="V264">
            <v>-60</v>
          </cell>
          <cell r="W264" t="str">
            <v>degC</v>
          </cell>
          <cell r="X264"/>
        </row>
        <row r="265">
          <cell r="M265" t="str">
            <v>RfgSnsrP1</v>
          </cell>
          <cell r="N265">
            <v>13</v>
          </cell>
          <cell r="O265"/>
          <cell r="P265"/>
          <cell r="Q265"/>
          <cell r="R265" t="str">
            <v>Unsigned</v>
          </cell>
          <cell r="S265">
            <v>0</v>
          </cell>
          <cell r="T265">
            <v>5000</v>
          </cell>
          <cell r="U265">
            <v>1</v>
          </cell>
          <cell r="V265">
            <v>0</v>
          </cell>
          <cell r="W265" t="str">
            <v>KiloPa</v>
          </cell>
          <cell r="X265"/>
        </row>
        <row r="266">
          <cell r="M266" t="str">
            <v>RfgSnsrPT1T</v>
          </cell>
          <cell r="N266">
            <v>12</v>
          </cell>
          <cell r="O266"/>
          <cell r="P266"/>
          <cell r="Q266"/>
          <cell r="R266" t="str">
            <v>Unsigned</v>
          </cell>
          <cell r="S266">
            <v>-60</v>
          </cell>
          <cell r="T266">
            <v>200</v>
          </cell>
          <cell r="U266">
            <v>0.1</v>
          </cell>
          <cell r="V266">
            <v>-60</v>
          </cell>
          <cell r="W266" t="str">
            <v>degC</v>
          </cell>
          <cell r="X266"/>
        </row>
        <row r="267">
          <cell r="M267" t="str">
            <v>RfgSnsrPT1P</v>
          </cell>
          <cell r="N267">
            <v>13</v>
          </cell>
          <cell r="O267"/>
          <cell r="P267"/>
          <cell r="Q267"/>
          <cell r="R267" t="str">
            <v>Unsigned</v>
          </cell>
          <cell r="S267">
            <v>0</v>
          </cell>
          <cell r="T267">
            <v>5000</v>
          </cell>
          <cell r="U267">
            <v>1</v>
          </cell>
          <cell r="V267">
            <v>0</v>
          </cell>
          <cell r="W267" t="str">
            <v>KiloPa</v>
          </cell>
          <cell r="X267"/>
        </row>
        <row r="268">
          <cell r="M268" t="str">
            <v>RfgSnsrT5Rsvd</v>
          </cell>
          <cell r="N268">
            <v>12</v>
          </cell>
          <cell r="O268"/>
          <cell r="P268"/>
          <cell r="Q268"/>
          <cell r="R268" t="str">
            <v>Unsigned</v>
          </cell>
          <cell r="S268">
            <v>-60</v>
          </cell>
          <cell r="T268">
            <v>200</v>
          </cell>
          <cell r="U268">
            <v>0.1</v>
          </cell>
          <cell r="V268">
            <v>-60</v>
          </cell>
          <cell r="W268" t="str">
            <v>degC</v>
          </cell>
          <cell r="X268"/>
        </row>
        <row r="269">
          <cell r="M269" t="str">
            <v>RfgSnsrT6Rsvd</v>
          </cell>
          <cell r="N269">
            <v>12</v>
          </cell>
          <cell r="O269"/>
          <cell r="P269"/>
          <cell r="Q269"/>
          <cell r="R269" t="str">
            <v>Unsigned</v>
          </cell>
          <cell r="S269">
            <v>-60</v>
          </cell>
          <cell r="T269">
            <v>200</v>
          </cell>
          <cell r="U269">
            <v>0.1</v>
          </cell>
          <cell r="V269">
            <v>-60</v>
          </cell>
          <cell r="W269" t="str">
            <v>degC</v>
          </cell>
          <cell r="X269"/>
        </row>
        <row r="270">
          <cell r="M270" t="str">
            <v>RfgSnsrT7Rsvd</v>
          </cell>
          <cell r="N270">
            <v>12</v>
          </cell>
          <cell r="O270"/>
          <cell r="P270"/>
          <cell r="Q270"/>
          <cell r="R270" t="str">
            <v>Unsigned</v>
          </cell>
          <cell r="S270">
            <v>-60</v>
          </cell>
          <cell r="T270">
            <v>200</v>
          </cell>
          <cell r="U270">
            <v>0.1</v>
          </cell>
          <cell r="V270">
            <v>-60</v>
          </cell>
          <cell r="W270" t="str">
            <v>degC</v>
          </cell>
          <cell r="X270"/>
        </row>
        <row r="271">
          <cell r="M271" t="str">
            <v>RfgSnsrT8Rsvd</v>
          </cell>
          <cell r="N271">
            <v>12</v>
          </cell>
          <cell r="O271"/>
          <cell r="P271"/>
          <cell r="Q271"/>
          <cell r="R271" t="str">
            <v>Unsigned</v>
          </cell>
          <cell r="S271">
            <v>-60</v>
          </cell>
          <cell r="T271">
            <v>200</v>
          </cell>
          <cell r="U271">
            <v>0.1</v>
          </cell>
          <cell r="V271">
            <v>-60</v>
          </cell>
          <cell r="W271" t="str">
            <v>degC</v>
          </cell>
          <cell r="X271"/>
        </row>
        <row r="272">
          <cell r="M272" t="str">
            <v>RfgSnsrP5Rsvd</v>
          </cell>
          <cell r="N272">
            <v>13</v>
          </cell>
          <cell r="O272"/>
          <cell r="P272"/>
          <cell r="Q272"/>
          <cell r="R272" t="str">
            <v>Unsigned</v>
          </cell>
          <cell r="S272">
            <v>0</v>
          </cell>
          <cell r="T272">
            <v>5000</v>
          </cell>
          <cell r="U272">
            <v>1</v>
          </cell>
          <cell r="V272">
            <v>0</v>
          </cell>
          <cell r="W272" t="str">
            <v>KiloPa</v>
          </cell>
          <cell r="X272"/>
        </row>
        <row r="273">
          <cell r="M273" t="str">
            <v>RfgSnsrP6Rsvd</v>
          </cell>
          <cell r="N273">
            <v>13</v>
          </cell>
          <cell r="O273"/>
          <cell r="P273"/>
          <cell r="Q273"/>
          <cell r="R273" t="str">
            <v>Unsigned</v>
          </cell>
          <cell r="S273">
            <v>0</v>
          </cell>
          <cell r="T273">
            <v>5000</v>
          </cell>
          <cell r="U273">
            <v>1</v>
          </cell>
          <cell r="V273">
            <v>0</v>
          </cell>
          <cell r="W273" t="str">
            <v>KiloPa</v>
          </cell>
          <cell r="X273"/>
        </row>
        <row r="274">
          <cell r="M274" t="str">
            <v>RfgSnsrP7Rsvd</v>
          </cell>
          <cell r="N274">
            <v>13</v>
          </cell>
          <cell r="O274"/>
          <cell r="P274"/>
          <cell r="Q274"/>
          <cell r="R274" t="str">
            <v>Unsigned</v>
          </cell>
          <cell r="S274">
            <v>0</v>
          </cell>
          <cell r="T274">
            <v>5000</v>
          </cell>
          <cell r="U274">
            <v>1</v>
          </cell>
          <cell r="V274">
            <v>0</v>
          </cell>
          <cell r="W274" t="str">
            <v>KiloPa</v>
          </cell>
          <cell r="X274"/>
        </row>
        <row r="275">
          <cell r="M275" t="str">
            <v>RfgSnsrP8Rsvd</v>
          </cell>
          <cell r="N275">
            <v>13</v>
          </cell>
          <cell r="O275"/>
          <cell r="P275"/>
          <cell r="Q275"/>
          <cell r="R275" t="str">
            <v>Unsigned</v>
          </cell>
          <cell r="S275">
            <v>0</v>
          </cell>
          <cell r="T275">
            <v>5000</v>
          </cell>
          <cell r="U275">
            <v>1</v>
          </cell>
          <cell r="V275">
            <v>0</v>
          </cell>
          <cell r="W275" t="str">
            <v>KiloPa</v>
          </cell>
          <cell r="X275"/>
        </row>
        <row r="276">
          <cell r="M276" t="str">
            <v>CooltSnsrT1</v>
          </cell>
          <cell r="N276">
            <v>12</v>
          </cell>
          <cell r="O276"/>
          <cell r="P276"/>
          <cell r="Q276"/>
          <cell r="R276" t="str">
            <v>Unsigned</v>
          </cell>
          <cell r="S276">
            <v>-60</v>
          </cell>
          <cell r="T276">
            <v>200</v>
          </cell>
          <cell r="U276">
            <v>0.1</v>
          </cell>
          <cell r="V276">
            <v>-60</v>
          </cell>
          <cell r="W276" t="str">
            <v>degC</v>
          </cell>
          <cell r="X276"/>
        </row>
        <row r="277">
          <cell r="M277" t="str">
            <v>CooltSnsrT2</v>
          </cell>
          <cell r="N277">
            <v>12</v>
          </cell>
          <cell r="O277"/>
          <cell r="P277"/>
          <cell r="Q277"/>
          <cell r="R277" t="str">
            <v>Unsigned</v>
          </cell>
          <cell r="S277">
            <v>-60</v>
          </cell>
          <cell r="T277">
            <v>200</v>
          </cell>
          <cell r="U277">
            <v>0.1</v>
          </cell>
          <cell r="V277">
            <v>-60</v>
          </cell>
          <cell r="W277" t="str">
            <v>degC</v>
          </cell>
          <cell r="X277"/>
        </row>
        <row r="278">
          <cell r="M278" t="str">
            <v>CooltSnsrT3</v>
          </cell>
          <cell r="N278">
            <v>12</v>
          </cell>
          <cell r="O278"/>
          <cell r="P278"/>
          <cell r="Q278"/>
          <cell r="R278" t="str">
            <v>Unsigned</v>
          </cell>
          <cell r="S278">
            <v>-60</v>
          </cell>
          <cell r="T278">
            <v>200</v>
          </cell>
          <cell r="U278">
            <v>0.1</v>
          </cell>
          <cell r="V278">
            <v>-60</v>
          </cell>
          <cell r="W278" t="str">
            <v>degC</v>
          </cell>
          <cell r="X278"/>
        </row>
        <row r="279">
          <cell r="M279" t="str">
            <v>CooltSnsrT4Rsvd</v>
          </cell>
          <cell r="N279">
            <v>12</v>
          </cell>
          <cell r="O279"/>
          <cell r="P279"/>
          <cell r="Q279"/>
          <cell r="R279" t="str">
            <v>Unsigned</v>
          </cell>
          <cell r="S279">
            <v>-60</v>
          </cell>
          <cell r="T279">
            <v>200</v>
          </cell>
          <cell r="U279">
            <v>0.1</v>
          </cell>
          <cell r="V279">
            <v>-60</v>
          </cell>
          <cell r="W279" t="str">
            <v>degC</v>
          </cell>
          <cell r="X279"/>
        </row>
        <row r="280">
          <cell r="M280" t="str">
            <v>CooltSnsrT5Rsvd</v>
          </cell>
          <cell r="N280">
            <v>12</v>
          </cell>
          <cell r="O280"/>
          <cell r="P280"/>
          <cell r="Q280"/>
          <cell r="R280" t="str">
            <v>Unsigned</v>
          </cell>
          <cell r="S280">
            <v>-60</v>
          </cell>
          <cell r="T280">
            <v>200</v>
          </cell>
          <cell r="U280">
            <v>0.1</v>
          </cell>
          <cell r="V280">
            <v>-60</v>
          </cell>
          <cell r="W280" t="str">
            <v>degC</v>
          </cell>
          <cell r="X280"/>
        </row>
        <row r="281">
          <cell r="M281" t="str">
            <v>CooltSnsrT6Rsvd</v>
          </cell>
          <cell r="N281">
            <v>12</v>
          </cell>
          <cell r="O281"/>
          <cell r="P281"/>
          <cell r="Q281"/>
          <cell r="R281" t="str">
            <v>Unsigned</v>
          </cell>
          <cell r="S281">
            <v>-60</v>
          </cell>
          <cell r="T281">
            <v>200</v>
          </cell>
          <cell r="U281">
            <v>0.1</v>
          </cell>
          <cell r="V281">
            <v>-60</v>
          </cell>
          <cell r="W281" t="str">
            <v>degC</v>
          </cell>
          <cell r="X281"/>
        </row>
        <row r="282">
          <cell r="M282" t="str">
            <v>CooltSnsrT7Rsvd</v>
          </cell>
          <cell r="N282">
            <v>12</v>
          </cell>
          <cell r="O282"/>
          <cell r="P282"/>
          <cell r="Q282"/>
          <cell r="R282" t="str">
            <v>Unsigned</v>
          </cell>
          <cell r="S282">
            <v>-60</v>
          </cell>
          <cell r="T282">
            <v>200</v>
          </cell>
          <cell r="U282">
            <v>0.1</v>
          </cell>
          <cell r="V282">
            <v>-60</v>
          </cell>
          <cell r="W282" t="str">
            <v>degC</v>
          </cell>
          <cell r="X282"/>
        </row>
        <row r="283">
          <cell r="M283" t="str">
            <v>CooltSnsrT8Rsvd</v>
          </cell>
          <cell r="N283">
            <v>12</v>
          </cell>
          <cell r="O283"/>
          <cell r="P283"/>
          <cell r="Q283"/>
          <cell r="R283" t="str">
            <v>Unsigned</v>
          </cell>
          <cell r="S283">
            <v>-60</v>
          </cell>
          <cell r="T283">
            <v>200</v>
          </cell>
          <cell r="U283">
            <v>0.1</v>
          </cell>
          <cell r="V283">
            <v>-60</v>
          </cell>
          <cell r="W283" t="str">
            <v>degC</v>
          </cell>
          <cell r="X283"/>
        </row>
        <row r="284">
          <cell r="M284" t="str">
            <v>CRFMAirMFlwEstimd</v>
          </cell>
          <cell r="N284">
            <v>12</v>
          </cell>
          <cell r="O284"/>
          <cell r="P284"/>
          <cell r="Q284"/>
          <cell r="R284" t="str">
            <v>Unsigned</v>
          </cell>
          <cell r="S284">
            <v>0</v>
          </cell>
          <cell r="T284">
            <v>4000</v>
          </cell>
          <cell r="U284">
            <v>1</v>
          </cell>
          <cell r="V284">
            <v>0</v>
          </cell>
          <cell r="W284" t="str">
            <v>Kg / h</v>
          </cell>
          <cell r="X284"/>
        </row>
        <row r="285">
          <cell r="M285" t="str">
            <v>CRFMAirQFlwEstimd</v>
          </cell>
          <cell r="N285">
            <v>12</v>
          </cell>
          <cell r="O285"/>
          <cell r="P285"/>
          <cell r="Q285"/>
          <cell r="R285" t="str">
            <v>Unsigned</v>
          </cell>
          <cell r="S285">
            <v>0</v>
          </cell>
          <cell r="T285">
            <v>4000</v>
          </cell>
          <cell r="U285">
            <v>1</v>
          </cell>
          <cell r="V285">
            <v>0</v>
          </cell>
          <cell r="W285" t="str">
            <v>m3 / h</v>
          </cell>
          <cell r="X285"/>
        </row>
        <row r="286">
          <cell r="M286" t="str">
            <v>ThermCptsSts</v>
          </cell>
          <cell r="N286">
            <v>32</v>
          </cell>
          <cell r="O286"/>
          <cell r="P286"/>
          <cell r="Q286"/>
          <cell r="R286" t="str">
            <v>Unsigned</v>
          </cell>
          <cell r="S286"/>
          <cell r="T286"/>
          <cell r="U286"/>
          <cell r="V286"/>
          <cell r="W286"/>
          <cell r="X286"/>
        </row>
        <row r="287">
          <cell r="M287" t="str">
            <v>ThermProtnSts</v>
          </cell>
          <cell r="N287">
            <v>32</v>
          </cell>
          <cell r="O287"/>
          <cell r="P287"/>
          <cell r="Q287"/>
          <cell r="R287" t="str">
            <v>Unsigned</v>
          </cell>
          <cell r="S287"/>
          <cell r="T287"/>
          <cell r="U287"/>
          <cell r="V287"/>
          <cell r="W287"/>
          <cell r="X287"/>
        </row>
        <row r="288">
          <cell r="M288" t="str">
            <v>ThermSysSts</v>
          </cell>
          <cell r="N288">
            <v>8</v>
          </cell>
          <cell r="O288"/>
          <cell r="P288"/>
          <cell r="Q288"/>
          <cell r="R288" t="str">
            <v>Unsigned</v>
          </cell>
          <cell r="S288"/>
          <cell r="T288"/>
          <cell r="U288"/>
          <cell r="V288"/>
          <cell r="W288"/>
          <cell r="X288"/>
        </row>
        <row r="289">
          <cell r="M289" t="str">
            <v>RsvdSigForTherm01</v>
          </cell>
          <cell r="N289">
            <v>8</v>
          </cell>
          <cell r="O289"/>
          <cell r="P289"/>
          <cell r="Q289"/>
          <cell r="R289" t="str">
            <v>Unsigned</v>
          </cell>
          <cell r="S289"/>
          <cell r="T289"/>
          <cell r="U289"/>
          <cell r="V289"/>
          <cell r="W289"/>
          <cell r="X289"/>
        </row>
        <row r="290">
          <cell r="M290" t="str">
            <v>RsvdSigForTherm02</v>
          </cell>
          <cell r="N290">
            <v>8</v>
          </cell>
          <cell r="O290"/>
          <cell r="P290"/>
          <cell r="Q290"/>
          <cell r="R290" t="str">
            <v>Unsigned</v>
          </cell>
          <cell r="S290"/>
          <cell r="T290"/>
          <cell r="U290"/>
          <cell r="V290"/>
          <cell r="W290"/>
          <cell r="X290"/>
        </row>
        <row r="291">
          <cell r="M291" t="str">
            <v>RsvdSigForTherm03</v>
          </cell>
          <cell r="N291">
            <v>8</v>
          </cell>
          <cell r="O291"/>
          <cell r="P291"/>
          <cell r="Q291"/>
          <cell r="R291" t="str">
            <v>Unsigned</v>
          </cell>
          <cell r="S291"/>
          <cell r="T291"/>
          <cell r="U291"/>
          <cell r="V291"/>
          <cell r="W291"/>
          <cell r="X291"/>
        </row>
        <row r="292">
          <cell r="M292" t="str">
            <v>RsvdSigForTherm04</v>
          </cell>
          <cell r="N292">
            <v>8</v>
          </cell>
          <cell r="O292"/>
          <cell r="P292"/>
          <cell r="Q292"/>
          <cell r="R292" t="str">
            <v>Unsigned</v>
          </cell>
          <cell r="S292"/>
          <cell r="T292"/>
          <cell r="U292"/>
          <cell r="V292"/>
          <cell r="W292"/>
          <cell r="X292"/>
        </row>
        <row r="293">
          <cell r="M293" t="str">
            <v>RsvdSigForTherm05</v>
          </cell>
          <cell r="N293">
            <v>8</v>
          </cell>
          <cell r="O293"/>
          <cell r="P293"/>
          <cell r="Q293"/>
          <cell r="R293" t="str">
            <v>Unsigned</v>
          </cell>
          <cell r="S293"/>
          <cell r="T293"/>
          <cell r="U293"/>
          <cell r="V293"/>
          <cell r="W293"/>
          <cell r="X293"/>
        </row>
        <row r="294">
          <cell r="M294" t="str">
            <v>RsvdSigForTherm06</v>
          </cell>
          <cell r="N294">
            <v>8</v>
          </cell>
          <cell r="O294"/>
          <cell r="P294"/>
          <cell r="Q294"/>
          <cell r="R294" t="str">
            <v>Unsigned</v>
          </cell>
          <cell r="S294"/>
          <cell r="T294"/>
          <cell r="U294"/>
          <cell r="V294"/>
          <cell r="W294"/>
          <cell r="X294"/>
        </row>
        <row r="295">
          <cell r="M295" t="str">
            <v>RsvdSigForTherm07</v>
          </cell>
          <cell r="N295">
            <v>8</v>
          </cell>
          <cell r="O295"/>
          <cell r="P295"/>
          <cell r="Q295"/>
          <cell r="R295" t="str">
            <v>Unsigned</v>
          </cell>
          <cell r="S295"/>
          <cell r="T295"/>
          <cell r="U295"/>
          <cell r="V295"/>
          <cell r="W295"/>
          <cell r="X295"/>
        </row>
        <row r="296">
          <cell r="M296" t="str">
            <v>RsvdSigForTherm08</v>
          </cell>
          <cell r="N296">
            <v>8</v>
          </cell>
          <cell r="O296"/>
          <cell r="P296"/>
          <cell r="Q296"/>
          <cell r="R296" t="str">
            <v>Unsigned</v>
          </cell>
          <cell r="S296"/>
          <cell r="T296"/>
          <cell r="U296"/>
          <cell r="V296"/>
          <cell r="W296"/>
          <cell r="X296"/>
        </row>
        <row r="297">
          <cell r="M297" t="str">
            <v>RsvdSigForTherm09</v>
          </cell>
          <cell r="N297">
            <v>8</v>
          </cell>
          <cell r="O297"/>
          <cell r="P297"/>
          <cell r="Q297"/>
          <cell r="R297" t="str">
            <v>Unsigned</v>
          </cell>
          <cell r="S297"/>
          <cell r="T297"/>
          <cell r="U297"/>
          <cell r="V297"/>
          <cell r="W297"/>
          <cell r="X297"/>
        </row>
        <row r="298">
          <cell r="M298" t="str">
            <v>RsvdSigForTherm10</v>
          </cell>
          <cell r="N298">
            <v>8</v>
          </cell>
          <cell r="O298"/>
          <cell r="P298"/>
          <cell r="Q298"/>
          <cell r="R298" t="str">
            <v>Unsigned</v>
          </cell>
          <cell r="S298"/>
          <cell r="T298"/>
          <cell r="U298"/>
          <cell r="V298"/>
          <cell r="W298"/>
          <cell r="X298"/>
        </row>
        <row r="299">
          <cell r="M299" t="str">
            <v>RsvdSigForTherm11</v>
          </cell>
          <cell r="N299">
            <v>8</v>
          </cell>
          <cell r="O299"/>
          <cell r="P299"/>
          <cell r="Q299"/>
          <cell r="R299" t="str">
            <v>Unsigned</v>
          </cell>
          <cell r="S299"/>
          <cell r="T299"/>
          <cell r="U299"/>
          <cell r="V299"/>
          <cell r="W299"/>
          <cell r="X299"/>
        </row>
        <row r="300">
          <cell r="M300" t="str">
            <v>RsvdSigForTherm12</v>
          </cell>
          <cell r="N300">
            <v>8</v>
          </cell>
          <cell r="O300"/>
          <cell r="P300"/>
          <cell r="Q300"/>
          <cell r="R300" t="str">
            <v>Unsigned</v>
          </cell>
          <cell r="S300"/>
          <cell r="T300"/>
          <cell r="U300"/>
          <cell r="V300"/>
          <cell r="W300"/>
          <cell r="X300"/>
        </row>
        <row r="301">
          <cell r="M301" t="str">
            <v>RsvdSigForTherm13</v>
          </cell>
          <cell r="N301">
            <v>8</v>
          </cell>
          <cell r="O301"/>
          <cell r="P301"/>
          <cell r="Q301"/>
          <cell r="R301" t="str">
            <v>Unsigned</v>
          </cell>
          <cell r="S301"/>
          <cell r="T301"/>
          <cell r="U301"/>
          <cell r="V301"/>
          <cell r="W301"/>
          <cell r="X301"/>
        </row>
        <row r="302">
          <cell r="M302" t="str">
            <v>RsvdSigForTherm14</v>
          </cell>
          <cell r="N302">
            <v>8</v>
          </cell>
          <cell r="O302"/>
          <cell r="P302"/>
          <cell r="Q302"/>
          <cell r="R302" t="str">
            <v>Unsigned</v>
          </cell>
          <cell r="S302"/>
          <cell r="T302"/>
          <cell r="U302"/>
          <cell r="V302"/>
          <cell r="W302"/>
          <cell r="X302"/>
        </row>
        <row r="303">
          <cell r="M303" t="str">
            <v>RsvdSigForTherm15</v>
          </cell>
          <cell r="N303">
            <v>8</v>
          </cell>
          <cell r="O303"/>
          <cell r="P303"/>
          <cell r="Q303"/>
          <cell r="R303" t="str">
            <v>Unsigned</v>
          </cell>
          <cell r="S303"/>
          <cell r="T303"/>
          <cell r="U303"/>
          <cell r="V303"/>
          <cell r="W303"/>
          <cell r="X303"/>
        </row>
        <row r="304">
          <cell r="M304" t="str">
            <v>RsvdSigForTherm16</v>
          </cell>
          <cell r="N304">
            <v>8</v>
          </cell>
          <cell r="O304"/>
          <cell r="P304"/>
          <cell r="Q304"/>
          <cell r="R304" t="str">
            <v>Unsigned</v>
          </cell>
          <cell r="S304"/>
          <cell r="T304"/>
          <cell r="U304"/>
          <cell r="V304"/>
          <cell r="W304"/>
          <cell r="X304"/>
        </row>
        <row r="305">
          <cell r="M305" t="str">
            <v>RsvdSigForTherm17</v>
          </cell>
          <cell r="N305">
            <v>8</v>
          </cell>
          <cell r="O305"/>
          <cell r="P305"/>
          <cell r="Q305"/>
          <cell r="R305" t="str">
            <v>Unsigned</v>
          </cell>
          <cell r="S305"/>
          <cell r="T305"/>
          <cell r="U305"/>
          <cell r="V305"/>
          <cell r="W305"/>
          <cell r="X305"/>
        </row>
        <row r="306">
          <cell r="M306" t="str">
            <v>RsvdSigForTherm18</v>
          </cell>
          <cell r="N306">
            <v>8</v>
          </cell>
          <cell r="O306"/>
          <cell r="P306"/>
          <cell r="Q306"/>
          <cell r="R306" t="str">
            <v>Unsigned</v>
          </cell>
          <cell r="S306"/>
          <cell r="T306"/>
          <cell r="U306"/>
          <cell r="V306"/>
          <cell r="W306"/>
          <cell r="X306"/>
        </row>
        <row r="307">
          <cell r="M307" t="str">
            <v>RsvdSigForTherm19</v>
          </cell>
          <cell r="N307">
            <v>8</v>
          </cell>
          <cell r="O307"/>
          <cell r="P307"/>
          <cell r="Q307"/>
          <cell r="R307" t="str">
            <v>Unsigned</v>
          </cell>
          <cell r="S307"/>
          <cell r="T307"/>
          <cell r="U307"/>
          <cell r="V307"/>
          <cell r="W307"/>
          <cell r="X307"/>
        </row>
        <row r="308">
          <cell r="M308" t="str">
            <v>RsvdSigForTherm20</v>
          </cell>
          <cell r="N308">
            <v>8</v>
          </cell>
          <cell r="O308"/>
          <cell r="P308"/>
          <cell r="Q308"/>
          <cell r="R308" t="str">
            <v>Unsigned</v>
          </cell>
          <cell r="S308"/>
          <cell r="T308"/>
          <cell r="U308"/>
          <cell r="V308"/>
          <cell r="W308"/>
          <cell r="X308"/>
        </row>
        <row r="309">
          <cell r="M309" t="str">
            <v>RsvdSigForTherm21</v>
          </cell>
          <cell r="N309">
            <v>8</v>
          </cell>
          <cell r="O309"/>
          <cell r="P309"/>
          <cell r="Q309"/>
          <cell r="R309" t="str">
            <v>Unsigned</v>
          </cell>
          <cell r="S309"/>
          <cell r="T309"/>
          <cell r="U309"/>
          <cell r="V309"/>
          <cell r="W309"/>
          <cell r="X309"/>
        </row>
        <row r="310">
          <cell r="M310" t="str">
            <v>RsvdSigForTherm22</v>
          </cell>
          <cell r="N310">
            <v>8</v>
          </cell>
          <cell r="O310"/>
          <cell r="P310"/>
          <cell r="Q310"/>
          <cell r="R310" t="str">
            <v>Unsigned</v>
          </cell>
          <cell r="S310"/>
          <cell r="T310"/>
          <cell r="U310"/>
          <cell r="V310"/>
          <cell r="W310"/>
          <cell r="X310"/>
        </row>
        <row r="311">
          <cell r="M311" t="str">
            <v>RsvdSigForTherm23</v>
          </cell>
          <cell r="N311">
            <v>8</v>
          </cell>
          <cell r="O311"/>
          <cell r="P311"/>
          <cell r="Q311"/>
          <cell r="R311" t="str">
            <v>Unsigned</v>
          </cell>
          <cell r="S311"/>
          <cell r="T311"/>
          <cell r="U311"/>
          <cell r="V311"/>
          <cell r="W311"/>
          <cell r="X311"/>
        </row>
        <row r="312">
          <cell r="M312" t="str">
            <v>HeatrPmpPwmCmd</v>
          </cell>
          <cell r="N312">
            <v>10</v>
          </cell>
          <cell r="O312"/>
          <cell r="P312"/>
          <cell r="Q312"/>
          <cell r="R312" t="str">
            <v>Unsigned</v>
          </cell>
          <cell r="S312">
            <v>0</v>
          </cell>
          <cell r="T312">
            <v>100</v>
          </cell>
          <cell r="U312">
            <v>0.1</v>
          </cell>
          <cell r="V312">
            <v>0</v>
          </cell>
          <cell r="W312" t="str">
            <v>%</v>
          </cell>
          <cell r="X312"/>
        </row>
        <row r="313">
          <cell r="M313" t="str">
            <v>HvBattPmpPwmCmd</v>
          </cell>
          <cell r="N313">
            <v>10</v>
          </cell>
          <cell r="O313"/>
          <cell r="P313"/>
          <cell r="Q313"/>
          <cell r="R313" t="str">
            <v>Unsigned</v>
          </cell>
          <cell r="S313">
            <v>0</v>
          </cell>
          <cell r="T313">
            <v>100</v>
          </cell>
          <cell r="U313">
            <v>0.1</v>
          </cell>
          <cell r="V313">
            <v>0</v>
          </cell>
          <cell r="W313" t="str">
            <v>%</v>
          </cell>
          <cell r="X313"/>
        </row>
        <row r="314">
          <cell r="M314" t="str">
            <v>EldtPmpPwmCmd</v>
          </cell>
          <cell r="N314">
            <v>10</v>
          </cell>
          <cell r="O314"/>
          <cell r="P314"/>
          <cell r="Q314"/>
          <cell r="R314" t="str">
            <v>Unsigned</v>
          </cell>
          <cell r="S314">
            <v>0</v>
          </cell>
          <cell r="T314">
            <v>100</v>
          </cell>
          <cell r="U314">
            <v>0.1</v>
          </cell>
          <cell r="V314">
            <v>0</v>
          </cell>
          <cell r="W314" t="str">
            <v>%</v>
          </cell>
          <cell r="X314"/>
        </row>
        <row r="315">
          <cell r="M315" t="str">
            <v>SOV1OnOffCmd</v>
          </cell>
          <cell r="N315">
            <v>1</v>
          </cell>
          <cell r="O315"/>
          <cell r="P315"/>
          <cell r="Q315"/>
          <cell r="R315" t="str">
            <v>Unsigned</v>
          </cell>
          <cell r="S315"/>
          <cell r="T315"/>
          <cell r="U315"/>
          <cell r="V315"/>
          <cell r="W315"/>
          <cell r="X315" t="str">
            <v>OnOff1</v>
          </cell>
        </row>
        <row r="316">
          <cell r="M316" t="str">
            <v>SOV2OnOffCmd</v>
          </cell>
          <cell r="N316">
            <v>1</v>
          </cell>
          <cell r="O316"/>
          <cell r="P316"/>
          <cell r="Q316"/>
          <cell r="R316" t="str">
            <v>Unsigned</v>
          </cell>
          <cell r="S316"/>
          <cell r="T316"/>
          <cell r="U316"/>
          <cell r="V316"/>
          <cell r="W316"/>
          <cell r="X316" t="str">
            <v>OnOff1</v>
          </cell>
        </row>
        <row r="317">
          <cell r="M317" t="str">
            <v>SOV3OnOffCmd</v>
          </cell>
          <cell r="N317">
            <v>1</v>
          </cell>
          <cell r="O317"/>
          <cell r="P317"/>
          <cell r="Q317"/>
          <cell r="R317" t="str">
            <v>Unsigned</v>
          </cell>
          <cell r="S317"/>
          <cell r="T317"/>
          <cell r="U317"/>
          <cell r="V317"/>
          <cell r="W317"/>
          <cell r="X317" t="str">
            <v>OnOff1</v>
          </cell>
        </row>
        <row r="318">
          <cell r="M318" t="str">
            <v>CoolgFanPWMCmd</v>
          </cell>
          <cell r="N318">
            <v>10</v>
          </cell>
          <cell r="O318"/>
          <cell r="P318"/>
          <cell r="Q318"/>
          <cell r="R318" t="str">
            <v>Unsigned</v>
          </cell>
          <cell r="S318">
            <v>0</v>
          </cell>
          <cell r="T318">
            <v>100</v>
          </cell>
          <cell r="U318">
            <v>0.1</v>
          </cell>
          <cell r="V318">
            <v>0</v>
          </cell>
          <cell r="W318" t="str">
            <v>%</v>
          </cell>
          <cell r="X318"/>
        </row>
        <row r="319">
          <cell r="M319" t="str">
            <v>FrntBlwPWMCmd</v>
          </cell>
          <cell r="N319">
            <v>10</v>
          </cell>
          <cell r="O319"/>
          <cell r="P319"/>
          <cell r="Q319"/>
          <cell r="R319" t="str">
            <v>Unsigned</v>
          </cell>
          <cell r="S319">
            <v>0</v>
          </cell>
          <cell r="T319">
            <v>100</v>
          </cell>
          <cell r="U319">
            <v>0.1</v>
          </cell>
          <cell r="V319">
            <v>0</v>
          </cell>
          <cell r="W319" t="str">
            <v>%</v>
          </cell>
          <cell r="X319"/>
        </row>
        <row r="320">
          <cell r="M320" t="str">
            <v>BcfvNVMFlt</v>
          </cell>
          <cell r="N320">
            <v>1</v>
          </cell>
          <cell r="O320" t="str">
            <v>27</v>
          </cell>
          <cell r="P320"/>
          <cell r="Q320"/>
          <cell r="R320" t="str">
            <v>Unsigned</v>
          </cell>
          <cell r="S320"/>
          <cell r="T320"/>
          <cell r="U320"/>
          <cell r="V320"/>
          <cell r="W320"/>
          <cell r="X320" t="str">
            <v>Flt</v>
          </cell>
        </row>
        <row r="321">
          <cell r="M321" t="str">
            <v>BctvNVMFlt</v>
          </cell>
          <cell r="N321">
            <v>1</v>
          </cell>
          <cell r="O321" t="str">
            <v>27</v>
          </cell>
          <cell r="P321"/>
          <cell r="Q321"/>
          <cell r="R321" t="str">
            <v>Unsigned</v>
          </cell>
          <cell r="S321"/>
          <cell r="T321"/>
          <cell r="U321"/>
          <cell r="V321"/>
          <cell r="W321"/>
          <cell r="X321" t="str">
            <v>Flt</v>
          </cell>
        </row>
        <row r="322">
          <cell r="M322" t="str">
            <v>CmprEEPROMFault</v>
          </cell>
          <cell r="N322">
            <v>1</v>
          </cell>
          <cell r="O322" t="str">
            <v>10</v>
          </cell>
          <cell r="P322"/>
          <cell r="Q322"/>
          <cell r="R322" t="str">
            <v>Unsigned</v>
          </cell>
          <cell r="S322"/>
          <cell r="T322"/>
          <cell r="U322"/>
          <cell r="V322"/>
          <cell r="W322"/>
          <cell r="X322" t="str">
            <v>Flt</v>
          </cell>
        </row>
        <row r="323">
          <cell r="M323" t="str">
            <v>CmprHVoltResonanceStat</v>
          </cell>
          <cell r="N323">
            <v>3</v>
          </cell>
          <cell r="O323" t="str">
            <v>11</v>
          </cell>
          <cell r="P323"/>
          <cell r="Q323"/>
          <cell r="R323" t="str">
            <v>Unsigned</v>
          </cell>
          <cell r="S323"/>
          <cell r="T323"/>
          <cell r="U323"/>
          <cell r="V323"/>
          <cell r="W323"/>
          <cell r="X323" t="str">
            <v>AcHVoltResonanceStat</v>
          </cell>
        </row>
        <row r="324">
          <cell r="M324" t="str">
            <v>CmprInCurrOverCurrStat</v>
          </cell>
          <cell r="N324">
            <v>1</v>
          </cell>
          <cell r="O324" t="str">
            <v>14</v>
          </cell>
          <cell r="P324"/>
          <cell r="Q324"/>
          <cell r="R324" t="str">
            <v>Unsigned</v>
          </cell>
          <cell r="S324"/>
          <cell r="T324"/>
          <cell r="U324"/>
          <cell r="V324"/>
          <cell r="W324"/>
          <cell r="X324" t="str">
            <v>Flt</v>
          </cell>
        </row>
        <row r="325">
          <cell r="M325" t="str">
            <v>CmprLiquidSluggingStat</v>
          </cell>
          <cell r="N325">
            <v>1</v>
          </cell>
          <cell r="O325" t="str">
            <v>15</v>
          </cell>
          <cell r="P325"/>
          <cell r="Q325"/>
          <cell r="R325" t="str">
            <v>Unsigned</v>
          </cell>
          <cell r="S325"/>
          <cell r="T325"/>
          <cell r="U325"/>
          <cell r="V325"/>
          <cell r="W325"/>
          <cell r="X325" t="str">
            <v>Flt</v>
          </cell>
        </row>
        <row r="326">
          <cell r="M326" t="str">
            <v>CmprLostCommStat</v>
          </cell>
          <cell r="N326">
            <v>1</v>
          </cell>
          <cell r="O326" t="str">
            <v>16</v>
          </cell>
          <cell r="P326"/>
          <cell r="Q326"/>
          <cell r="R326" t="str">
            <v>Unsigned</v>
          </cell>
          <cell r="S326"/>
          <cell r="T326"/>
          <cell r="U326"/>
          <cell r="V326"/>
          <cell r="W326"/>
          <cell r="X326" t="str">
            <v>Flt</v>
          </cell>
        </row>
        <row r="327">
          <cell r="M327" t="str">
            <v>CmprMotorCurrOverCurrStat</v>
          </cell>
          <cell r="N327">
            <v>1</v>
          </cell>
          <cell r="O327" t="str">
            <v>17</v>
          </cell>
          <cell r="P327"/>
          <cell r="Q327"/>
          <cell r="R327" t="str">
            <v>Unsigned</v>
          </cell>
          <cell r="S327"/>
          <cell r="T327"/>
          <cell r="U327"/>
          <cell r="V327"/>
          <cell r="W327"/>
          <cell r="X327" t="str">
            <v>Flt</v>
          </cell>
        </row>
        <row r="328">
          <cell r="M328" t="str">
            <v>CmprOverMotorCurrStat</v>
          </cell>
          <cell r="N328">
            <v>4</v>
          </cell>
          <cell r="O328" t="str">
            <v>0</v>
          </cell>
          <cell r="P328"/>
          <cell r="Q328"/>
          <cell r="R328" t="str">
            <v>Unsigned</v>
          </cell>
          <cell r="S328"/>
          <cell r="T328"/>
          <cell r="U328"/>
          <cell r="V328"/>
          <cell r="W328"/>
          <cell r="X328" t="str">
            <v>CompOverMotorCurrStat</v>
          </cell>
        </row>
        <row r="329">
          <cell r="M329" t="str">
            <v>CmprOverPowerStat</v>
          </cell>
          <cell r="N329">
            <v>4</v>
          </cell>
          <cell r="O329" t="str">
            <v>4</v>
          </cell>
          <cell r="P329"/>
          <cell r="Q329"/>
          <cell r="R329" t="str">
            <v>Unsigned</v>
          </cell>
          <cell r="S329"/>
          <cell r="T329"/>
          <cell r="U329"/>
          <cell r="V329"/>
          <cell r="W329"/>
          <cell r="X329" t="str">
            <v>CompOverPowerStat</v>
          </cell>
        </row>
        <row r="330">
          <cell r="M330" t="str">
            <v>CmprRAMFault</v>
          </cell>
          <cell r="N330">
            <v>1</v>
          </cell>
          <cell r="O330" t="str">
            <v>18</v>
          </cell>
          <cell r="P330"/>
          <cell r="Q330"/>
          <cell r="R330" t="str">
            <v>Unsigned</v>
          </cell>
          <cell r="S330"/>
          <cell r="T330"/>
          <cell r="U330"/>
          <cell r="V330"/>
          <cell r="W330"/>
          <cell r="X330" t="str">
            <v>Flt</v>
          </cell>
        </row>
        <row r="331">
          <cell r="M331" t="str">
            <v>CmprROMFault</v>
          </cell>
          <cell r="N331">
            <v>1</v>
          </cell>
          <cell r="O331" t="str">
            <v>24</v>
          </cell>
          <cell r="P331"/>
          <cell r="Q331"/>
          <cell r="R331" t="str">
            <v>Unsigned</v>
          </cell>
          <cell r="S331"/>
          <cell r="T331"/>
          <cell r="U331"/>
          <cell r="V331"/>
          <cell r="W331"/>
          <cell r="X331" t="str">
            <v>Flt</v>
          </cell>
        </row>
        <row r="332">
          <cell r="M332" t="str">
            <v>CmprReqCmprPwrLim</v>
          </cell>
          <cell r="N332">
            <v>8</v>
          </cell>
          <cell r="O332" t="str">
            <v>0</v>
          </cell>
          <cell r="P332"/>
          <cell r="Q332"/>
          <cell r="R332" t="str">
            <v>Unsigned</v>
          </cell>
          <cell r="S332">
            <v>0</v>
          </cell>
          <cell r="T332">
            <v>10200</v>
          </cell>
          <cell r="U332">
            <v>40</v>
          </cell>
          <cell r="V332">
            <v>0</v>
          </cell>
          <cell r="W332" t="str">
            <v>W</v>
          </cell>
          <cell r="X332"/>
        </row>
        <row r="333">
          <cell r="M333" t="str">
            <v>CmprReqCmprRunReq</v>
          </cell>
          <cell r="N333">
            <v>2</v>
          </cell>
          <cell r="O333" t="str">
            <v>16</v>
          </cell>
          <cell r="P333"/>
          <cell r="Q333"/>
          <cell r="R333" t="str">
            <v>Unsigned</v>
          </cell>
          <cell r="S333"/>
          <cell r="T333"/>
          <cell r="U333"/>
          <cell r="V333"/>
          <cell r="W333"/>
          <cell r="X333" t="str">
            <v>CmprRunReq</v>
          </cell>
        </row>
        <row r="334">
          <cell r="M334" t="str">
            <v>CmprReqCmprSpdReq</v>
          </cell>
          <cell r="N334">
            <v>8</v>
          </cell>
          <cell r="O334" t="str">
            <v>8</v>
          </cell>
          <cell r="P334"/>
          <cell r="Q334"/>
          <cell r="R334" t="str">
            <v>Unsigned</v>
          </cell>
          <cell r="S334">
            <v>0</v>
          </cell>
          <cell r="T334">
            <v>12700</v>
          </cell>
          <cell r="U334">
            <v>50</v>
          </cell>
          <cell r="V334">
            <v>0</v>
          </cell>
          <cell r="W334" t="str">
            <v>rpm</v>
          </cell>
          <cell r="X334"/>
        </row>
        <row r="335">
          <cell r="M335" t="str">
            <v>CmprRotorLockStat</v>
          </cell>
          <cell r="N335">
            <v>1</v>
          </cell>
          <cell r="O335" t="str">
            <v>25</v>
          </cell>
          <cell r="P335"/>
          <cell r="Q335"/>
          <cell r="R335" t="str">
            <v>Unsigned</v>
          </cell>
          <cell r="S335"/>
          <cell r="T335"/>
          <cell r="U335"/>
          <cell r="V335"/>
          <cell r="W335"/>
          <cell r="X335" t="str">
            <v>Flt</v>
          </cell>
        </row>
        <row r="336">
          <cell r="M336" t="str">
            <v>CmprSpdIncrReq</v>
          </cell>
          <cell r="N336">
            <v>1</v>
          </cell>
          <cell r="O336" t="str">
            <v>23</v>
          </cell>
          <cell r="P336"/>
          <cell r="Q336"/>
          <cell r="R336" t="str">
            <v>Unsigned</v>
          </cell>
          <cell r="S336"/>
          <cell r="T336"/>
          <cell r="U336"/>
          <cell r="V336"/>
          <cell r="W336"/>
          <cell r="X336" t="str">
            <v>Validity</v>
          </cell>
        </row>
        <row r="337">
          <cell r="M337" t="str">
            <v>CooltFlowInCmptmtCirc</v>
          </cell>
          <cell r="N337">
            <v>10</v>
          </cell>
          <cell r="O337" t="str">
            <v>16</v>
          </cell>
          <cell r="P337"/>
          <cell r="Q337"/>
          <cell r="R337" t="str">
            <v>Unsigned</v>
          </cell>
          <cell r="S337">
            <v>0</v>
          </cell>
          <cell r="T337">
            <v>51.150000000000006</v>
          </cell>
          <cell r="U337">
            <v>0.05</v>
          </cell>
          <cell r="V337">
            <v>0</v>
          </cell>
          <cell r="W337" t="str">
            <v>L / min</v>
          </cell>
          <cell r="X337"/>
        </row>
        <row r="338">
          <cell r="M338" t="str">
            <v>HpBattFwvActvSaveReq</v>
          </cell>
          <cell r="N338">
            <v>2</v>
          </cell>
          <cell r="O338" t="str">
            <v>0</v>
          </cell>
          <cell r="P338"/>
          <cell r="Q338"/>
          <cell r="R338" t="str">
            <v>Unsigned</v>
          </cell>
          <cell r="S338"/>
          <cell r="T338"/>
          <cell r="U338"/>
          <cell r="V338"/>
          <cell r="W338"/>
          <cell r="X338" t="str">
            <v>ActiveSaveReq</v>
          </cell>
        </row>
        <row r="339">
          <cell r="M339" t="str">
            <v>HpBattFwvFltSts</v>
          </cell>
          <cell r="N339">
            <v>4</v>
          </cell>
          <cell r="O339" t="str">
            <v>0</v>
          </cell>
          <cell r="P339"/>
          <cell r="Q339"/>
          <cell r="R339" t="str">
            <v>Unsigned</v>
          </cell>
          <cell r="S339"/>
          <cell r="T339"/>
          <cell r="U339"/>
          <cell r="V339"/>
          <cell r="W339"/>
          <cell r="X339" t="str">
            <v>FaultSts</v>
          </cell>
        </row>
        <row r="340">
          <cell r="M340" t="str">
            <v>HpBattFwvMode</v>
          </cell>
          <cell r="N340">
            <v>4</v>
          </cell>
          <cell r="O340" t="str">
            <v>4</v>
          </cell>
          <cell r="P340"/>
          <cell r="Q340"/>
          <cell r="R340" t="str">
            <v>Unsigned</v>
          </cell>
          <cell r="S340"/>
          <cell r="T340"/>
          <cell r="U340"/>
          <cell r="V340"/>
          <cell r="W340"/>
          <cell r="X340" t="str">
            <v>VlvMode</v>
          </cell>
        </row>
        <row r="341">
          <cell r="M341" t="str">
            <v>HpBattFwvPosRec</v>
          </cell>
          <cell r="N341">
            <v>10</v>
          </cell>
          <cell r="O341" t="str">
            <v>8</v>
          </cell>
          <cell r="P341"/>
          <cell r="Q341"/>
          <cell r="R341" t="str">
            <v>Unsigned</v>
          </cell>
          <cell r="S341">
            <v>0</v>
          </cell>
          <cell r="T341">
            <v>100</v>
          </cell>
          <cell r="U341">
            <v>0.1</v>
          </cell>
          <cell r="V341">
            <v>0</v>
          </cell>
          <cell r="W341" t="str">
            <v>%</v>
          </cell>
          <cell r="X341"/>
        </row>
        <row r="342">
          <cell r="M342" t="str">
            <v>HpBattFwvPosSetReq</v>
          </cell>
          <cell r="N342">
            <v>8</v>
          </cell>
          <cell r="O342" t="str">
            <v>24</v>
          </cell>
          <cell r="P342"/>
          <cell r="Q342"/>
          <cell r="R342" t="str">
            <v>Unsigned</v>
          </cell>
          <cell r="S342">
            <v>0</v>
          </cell>
          <cell r="T342">
            <v>100</v>
          </cell>
          <cell r="U342">
            <v>1</v>
          </cell>
          <cell r="V342">
            <v>0</v>
          </cell>
          <cell r="W342" t="str">
            <v>%</v>
          </cell>
          <cell r="X342"/>
        </row>
        <row r="343">
          <cell r="M343" t="str">
            <v>HpBattFwvRefDrvReq</v>
          </cell>
          <cell r="N343">
            <v>2</v>
          </cell>
          <cell r="O343" t="str">
            <v>2</v>
          </cell>
          <cell r="P343"/>
          <cell r="Q343"/>
          <cell r="R343" t="str">
            <v>Unsigned</v>
          </cell>
          <cell r="S343"/>
          <cell r="T343"/>
          <cell r="U343"/>
          <cell r="V343"/>
          <cell r="W343"/>
          <cell r="X343" t="str">
            <v>RefDrvReq</v>
          </cell>
        </row>
        <row r="344">
          <cell r="M344" t="str">
            <v>HpBattFwvRunSts</v>
          </cell>
          <cell r="N344">
            <v>1</v>
          </cell>
          <cell r="O344" t="str">
            <v>18</v>
          </cell>
          <cell r="P344"/>
          <cell r="Q344"/>
          <cell r="R344" t="str">
            <v>Unsigned</v>
          </cell>
          <cell r="S344"/>
          <cell r="T344"/>
          <cell r="U344"/>
          <cell r="V344"/>
          <cell r="W344"/>
          <cell r="X344" t="str">
            <v>VlvRunSts</v>
          </cell>
        </row>
        <row r="345">
          <cell r="M345" t="str">
            <v>HpBattFwvSpdLvl</v>
          </cell>
          <cell r="N345">
            <v>2</v>
          </cell>
          <cell r="O345" t="str">
            <v>19</v>
          </cell>
          <cell r="P345"/>
          <cell r="Q345"/>
          <cell r="R345" t="str">
            <v>Unsigned</v>
          </cell>
          <cell r="S345"/>
          <cell r="T345"/>
          <cell r="U345"/>
          <cell r="V345"/>
          <cell r="W345"/>
          <cell r="X345" t="str">
            <v>SpeedLvl</v>
          </cell>
        </row>
        <row r="346">
          <cell r="M346" t="str">
            <v>HpBattFwvSpdLvlReq</v>
          </cell>
          <cell r="N346">
            <v>2</v>
          </cell>
          <cell r="O346" t="str">
            <v>4</v>
          </cell>
          <cell r="P346"/>
          <cell r="Q346"/>
          <cell r="R346" t="str">
            <v>Unsigned</v>
          </cell>
          <cell r="S346"/>
          <cell r="T346"/>
          <cell r="U346"/>
          <cell r="V346"/>
          <cell r="W346"/>
          <cell r="X346" t="str">
            <v>SpdLvlReq</v>
          </cell>
        </row>
        <row r="347">
          <cell r="M347" t="str">
            <v>HpBattFwvTempSts</v>
          </cell>
          <cell r="N347">
            <v>3</v>
          </cell>
          <cell r="O347" t="str">
            <v>21</v>
          </cell>
          <cell r="P347"/>
          <cell r="Q347"/>
          <cell r="R347" t="str">
            <v>Unsigned</v>
          </cell>
          <cell r="S347"/>
          <cell r="T347"/>
          <cell r="U347"/>
          <cell r="V347"/>
          <cell r="W347"/>
          <cell r="X347" t="str">
            <v>TempSts</v>
          </cell>
        </row>
        <row r="348">
          <cell r="M348" t="str">
            <v>HpBattFwvVoltSts</v>
          </cell>
          <cell r="N348">
            <v>2</v>
          </cell>
          <cell r="O348" t="str">
            <v>24</v>
          </cell>
          <cell r="P348"/>
          <cell r="Q348"/>
          <cell r="R348" t="str">
            <v>Unsigned</v>
          </cell>
          <cell r="S348"/>
          <cell r="T348"/>
          <cell r="U348"/>
          <cell r="V348"/>
          <cell r="W348"/>
          <cell r="X348" t="str">
            <v>VoltSts</v>
          </cell>
        </row>
        <row r="349">
          <cell r="M349" t="str">
            <v>HpBattVlvActvSaveReq</v>
          </cell>
          <cell r="N349">
            <v>2</v>
          </cell>
          <cell r="O349" t="str">
            <v>6</v>
          </cell>
          <cell r="P349"/>
          <cell r="Q349"/>
          <cell r="R349" t="str">
            <v>Unsigned</v>
          </cell>
          <cell r="S349"/>
          <cell r="T349"/>
          <cell r="U349"/>
          <cell r="V349"/>
          <cell r="W349"/>
          <cell r="X349" t="str">
            <v>ActiveSaveReq</v>
          </cell>
        </row>
        <row r="350">
          <cell r="M350" t="str">
            <v>HpBattVlvFltSts</v>
          </cell>
          <cell r="N350">
            <v>4</v>
          </cell>
          <cell r="O350" t="str">
            <v>0</v>
          </cell>
          <cell r="P350"/>
          <cell r="Q350"/>
          <cell r="R350" t="str">
            <v>Unsigned</v>
          </cell>
          <cell r="S350"/>
          <cell r="T350"/>
          <cell r="U350"/>
          <cell r="V350"/>
          <cell r="W350"/>
          <cell r="X350" t="str">
            <v>FaultSts</v>
          </cell>
        </row>
        <row r="351">
          <cell r="M351" t="str">
            <v>HpBattVlvMode</v>
          </cell>
          <cell r="N351">
            <v>4</v>
          </cell>
          <cell r="O351" t="str">
            <v>4</v>
          </cell>
          <cell r="P351"/>
          <cell r="Q351"/>
          <cell r="R351" t="str">
            <v>Unsigned</v>
          </cell>
          <cell r="S351"/>
          <cell r="T351"/>
          <cell r="U351"/>
          <cell r="V351"/>
          <cell r="W351"/>
          <cell r="X351" t="str">
            <v>VlvMode</v>
          </cell>
        </row>
        <row r="352">
          <cell r="M352" t="str">
            <v>HpBattVlvPosRec</v>
          </cell>
          <cell r="N352">
            <v>10</v>
          </cell>
          <cell r="O352" t="str">
            <v>8</v>
          </cell>
          <cell r="P352"/>
          <cell r="Q352"/>
          <cell r="R352" t="str">
            <v>Unsigned</v>
          </cell>
          <cell r="S352">
            <v>0</v>
          </cell>
          <cell r="T352">
            <v>100</v>
          </cell>
          <cell r="U352">
            <v>0.1</v>
          </cell>
          <cell r="V352">
            <v>0</v>
          </cell>
          <cell r="W352" t="str">
            <v>%</v>
          </cell>
          <cell r="X352"/>
        </row>
        <row r="353">
          <cell r="M353" t="str">
            <v>HpBattVlvPosSetReq</v>
          </cell>
          <cell r="N353">
            <v>8</v>
          </cell>
          <cell r="O353" t="str">
            <v>32</v>
          </cell>
          <cell r="P353"/>
          <cell r="Q353"/>
          <cell r="R353" t="str">
            <v>Unsigned</v>
          </cell>
          <cell r="S353">
            <v>0</v>
          </cell>
          <cell r="T353">
            <v>100</v>
          </cell>
          <cell r="U353">
            <v>1</v>
          </cell>
          <cell r="V353">
            <v>0</v>
          </cell>
          <cell r="W353" t="str">
            <v>%</v>
          </cell>
          <cell r="X353"/>
        </row>
        <row r="354">
          <cell r="M354" t="str">
            <v>HpBattVlvRefDrvReq</v>
          </cell>
          <cell r="N354">
            <v>2</v>
          </cell>
          <cell r="O354" t="str">
            <v>40</v>
          </cell>
          <cell r="P354"/>
          <cell r="Q354"/>
          <cell r="R354" t="str">
            <v>Unsigned</v>
          </cell>
          <cell r="S354"/>
          <cell r="T354"/>
          <cell r="U354"/>
          <cell r="V354"/>
          <cell r="W354"/>
          <cell r="X354" t="str">
            <v>RefDrvReq</v>
          </cell>
        </row>
        <row r="355">
          <cell r="M355" t="str">
            <v>HpBattVlvRunSts</v>
          </cell>
          <cell r="N355">
            <v>1</v>
          </cell>
          <cell r="O355" t="str">
            <v>18</v>
          </cell>
          <cell r="P355"/>
          <cell r="Q355"/>
          <cell r="R355" t="str">
            <v>Unsigned</v>
          </cell>
          <cell r="S355"/>
          <cell r="T355"/>
          <cell r="U355"/>
          <cell r="V355"/>
          <cell r="W355"/>
          <cell r="X355" t="str">
            <v>VlvRunSts</v>
          </cell>
        </row>
        <row r="356">
          <cell r="M356" t="str">
            <v>HpBattVlvSpdLvl</v>
          </cell>
          <cell r="N356">
            <v>2</v>
          </cell>
          <cell r="O356" t="str">
            <v>19</v>
          </cell>
          <cell r="P356"/>
          <cell r="Q356"/>
          <cell r="R356" t="str">
            <v>Unsigned</v>
          </cell>
          <cell r="S356"/>
          <cell r="T356"/>
          <cell r="U356"/>
          <cell r="V356"/>
          <cell r="W356"/>
          <cell r="X356" t="str">
            <v>SpeedLvl</v>
          </cell>
        </row>
        <row r="357">
          <cell r="M357" t="str">
            <v>HpBattVlvSpdLvlReq</v>
          </cell>
          <cell r="N357">
            <v>2</v>
          </cell>
          <cell r="O357" t="str">
            <v>42</v>
          </cell>
          <cell r="P357"/>
          <cell r="Q357"/>
          <cell r="R357" t="str">
            <v>Unsigned</v>
          </cell>
          <cell r="S357"/>
          <cell r="T357"/>
          <cell r="U357"/>
          <cell r="V357"/>
          <cell r="W357"/>
          <cell r="X357" t="str">
            <v>SpdLvlReq</v>
          </cell>
        </row>
        <row r="358">
          <cell r="M358" t="str">
            <v>HpBattVlvTempSts</v>
          </cell>
          <cell r="N358">
            <v>3</v>
          </cell>
          <cell r="O358" t="str">
            <v>21</v>
          </cell>
          <cell r="P358"/>
          <cell r="Q358"/>
          <cell r="R358" t="str">
            <v>Unsigned</v>
          </cell>
          <cell r="S358"/>
          <cell r="T358"/>
          <cell r="U358"/>
          <cell r="V358"/>
          <cell r="W358"/>
          <cell r="X358" t="str">
            <v>TempSts</v>
          </cell>
        </row>
        <row r="359">
          <cell r="M359" t="str">
            <v>HpBattVlvVoltSts</v>
          </cell>
          <cell r="N359">
            <v>2</v>
          </cell>
          <cell r="O359" t="str">
            <v>24</v>
          </cell>
          <cell r="P359"/>
          <cell r="Q359"/>
          <cell r="R359" t="str">
            <v>Unsigned</v>
          </cell>
          <cell r="S359"/>
          <cell r="T359"/>
          <cell r="U359"/>
          <cell r="V359"/>
          <cell r="W359"/>
          <cell r="X359" t="str">
            <v>VoltSts</v>
          </cell>
        </row>
        <row r="360">
          <cell r="M360" t="str">
            <v>HvCooltHeatrEnad</v>
          </cell>
          <cell r="N360">
            <v>1</v>
          </cell>
          <cell r="O360" t="str">
            <v>27</v>
          </cell>
          <cell r="P360"/>
          <cell r="Q360"/>
          <cell r="R360" t="str">
            <v>Boolean</v>
          </cell>
          <cell r="S360"/>
          <cell r="T360"/>
          <cell r="U360"/>
          <cell r="V360"/>
          <cell r="W360"/>
          <cell r="X360" t="str">
            <v>Boolean</v>
          </cell>
        </row>
        <row r="361">
          <cell r="M361" t="str">
            <v>HvCooltHeatrICnsSig</v>
          </cell>
          <cell r="N361">
            <v>8</v>
          </cell>
          <cell r="O361" t="str">
            <v>16</v>
          </cell>
          <cell r="P361"/>
          <cell r="Q361"/>
          <cell r="R361" t="str">
            <v>Unsigned</v>
          </cell>
          <cell r="S361">
            <v>0</v>
          </cell>
          <cell r="T361">
            <v>63.75</v>
          </cell>
          <cell r="U361">
            <v>0.25</v>
          </cell>
          <cell r="V361">
            <v>0</v>
          </cell>
          <cell r="W361" t="str">
            <v>Unitless</v>
          </cell>
          <cell r="X361"/>
        </row>
        <row r="362">
          <cell r="M362" t="str">
            <v>HvCooltHeatrInfoCompProtn</v>
          </cell>
          <cell r="N362">
            <v>1</v>
          </cell>
          <cell r="O362" t="str">
            <v>46</v>
          </cell>
          <cell r="P362"/>
          <cell r="Q362"/>
          <cell r="R362" t="str">
            <v>Unsigned</v>
          </cell>
          <cell r="S362"/>
          <cell r="T362"/>
          <cell r="U362"/>
          <cell r="V362"/>
          <cell r="W362"/>
          <cell r="X362" t="str">
            <v>OnOff1</v>
          </cell>
        </row>
        <row r="363">
          <cell r="M363" t="str">
            <v>HvCooltHeatrSplyUForCtrlUnitValSig</v>
          </cell>
          <cell r="N363">
            <v>8</v>
          </cell>
          <cell r="O363" t="str">
            <v>24</v>
          </cell>
          <cell r="P363"/>
          <cell r="Q363"/>
          <cell r="R363" t="str">
            <v>Unsigned</v>
          </cell>
          <cell r="S363">
            <v>0</v>
          </cell>
          <cell r="T363">
            <v>25.5</v>
          </cell>
          <cell r="U363">
            <v>0.1</v>
          </cell>
          <cell r="V363">
            <v>0</v>
          </cell>
          <cell r="W363" t="str">
            <v>Unitless</v>
          </cell>
          <cell r="X363"/>
        </row>
        <row r="364">
          <cell r="M364" t="str">
            <v>HvCooltHeatrStsSig</v>
          </cell>
          <cell r="N364">
            <v>3</v>
          </cell>
          <cell r="O364" t="str">
            <v>5</v>
          </cell>
          <cell r="P364"/>
          <cell r="Q364"/>
          <cell r="R364" t="str">
            <v>Unsigned</v>
          </cell>
          <cell r="S364"/>
          <cell r="T364"/>
          <cell r="U364"/>
          <cell r="V364"/>
          <cell r="W364"/>
          <cell r="X364" t="str">
            <v>HvCooltHeatrSts</v>
          </cell>
        </row>
        <row r="365">
          <cell r="M365" t="str">
            <v>HvCooltWtrHeatrWtrTInIntk</v>
          </cell>
          <cell r="N365">
            <v>8</v>
          </cell>
          <cell r="O365" t="str">
            <v>32</v>
          </cell>
          <cell r="P365"/>
          <cell r="Q365"/>
          <cell r="R365" t="str">
            <v>Unsigned</v>
          </cell>
          <cell r="S365">
            <v>-40</v>
          </cell>
          <cell r="T365">
            <v>215</v>
          </cell>
          <cell r="U365">
            <v>1</v>
          </cell>
          <cell r="V365">
            <v>-40</v>
          </cell>
          <cell r="W365" t="str">
            <v>degC</v>
          </cell>
          <cell r="X365"/>
        </row>
        <row r="366">
          <cell r="M366" t="str">
            <v>HvCooltWtrHeatrWtrTInOutl</v>
          </cell>
          <cell r="N366">
            <v>8</v>
          </cell>
          <cell r="O366" t="str">
            <v>8</v>
          </cell>
          <cell r="P366"/>
          <cell r="Q366"/>
          <cell r="R366" t="str">
            <v>Unsigned</v>
          </cell>
          <cell r="S366">
            <v>-40</v>
          </cell>
          <cell r="T366">
            <v>215</v>
          </cell>
          <cell r="U366">
            <v>1</v>
          </cell>
          <cell r="V366">
            <v>-40</v>
          </cell>
          <cell r="W366" t="str">
            <v>degC</v>
          </cell>
          <cell r="X366"/>
        </row>
        <row r="367">
          <cell r="M367" t="str">
            <v>HvHeatrPwrCns</v>
          </cell>
          <cell r="N367">
            <v>10</v>
          </cell>
          <cell r="O367" t="str">
            <v>0</v>
          </cell>
          <cell r="P367"/>
          <cell r="Q367"/>
          <cell r="R367" t="str">
            <v>Unsigned</v>
          </cell>
          <cell r="S367">
            <v>0</v>
          </cell>
          <cell r="T367">
            <v>20460</v>
          </cell>
          <cell r="U367">
            <v>20</v>
          </cell>
          <cell r="V367">
            <v>0</v>
          </cell>
          <cell r="W367" t="str">
            <v>W</v>
          </cell>
          <cell r="X367"/>
        </row>
        <row r="368">
          <cell r="M368" t="str">
            <v>HvHeatrPwrCnsDes</v>
          </cell>
          <cell r="N368">
            <v>10</v>
          </cell>
          <cell r="O368" t="str">
            <v>10</v>
          </cell>
          <cell r="P368"/>
          <cell r="Q368"/>
          <cell r="R368" t="str">
            <v>Unsigned</v>
          </cell>
          <cell r="S368">
            <v>0</v>
          </cell>
          <cell r="T368">
            <v>20460</v>
          </cell>
          <cell r="U368">
            <v>20</v>
          </cell>
          <cell r="V368">
            <v>0</v>
          </cell>
          <cell r="W368" t="str">
            <v>W</v>
          </cell>
          <cell r="X368"/>
        </row>
        <row r="369">
          <cell r="M369" t="str">
            <v>HvWtrHeatrPwrCnsAllwd</v>
          </cell>
          <cell r="N369">
            <v>8</v>
          </cell>
          <cell r="O369" t="str">
            <v>0</v>
          </cell>
          <cell r="P369"/>
          <cell r="Q369"/>
          <cell r="R369" t="str">
            <v>Unsigned</v>
          </cell>
          <cell r="S369">
            <v>0</v>
          </cell>
          <cell r="T369">
            <v>10200</v>
          </cell>
          <cell r="U369">
            <v>40</v>
          </cell>
          <cell r="V369">
            <v>0</v>
          </cell>
          <cell r="W369" t="str">
            <v>W</v>
          </cell>
          <cell r="X369"/>
        </row>
        <row r="370">
          <cell r="M370" t="str">
            <v>HvWtrHeatrWtrTDes</v>
          </cell>
          <cell r="N370">
            <v>8</v>
          </cell>
          <cell r="O370" t="str">
            <v>8</v>
          </cell>
          <cell r="P370"/>
          <cell r="Q370"/>
          <cell r="R370" t="str">
            <v>Unsigned</v>
          </cell>
          <cell r="S370">
            <v>-40</v>
          </cell>
          <cell r="T370">
            <v>215</v>
          </cell>
          <cell r="U370">
            <v>1</v>
          </cell>
          <cell r="V370">
            <v>-40</v>
          </cell>
          <cell r="W370" t="str">
            <v>degC</v>
          </cell>
          <cell r="X370"/>
        </row>
        <row r="371">
          <cell r="M371" t="str">
            <v>CmprDiagcFbCmprCmprSpdErr</v>
          </cell>
          <cell r="N371">
            <v>3</v>
          </cell>
          <cell r="O371" t="str">
            <v>21</v>
          </cell>
          <cell r="P371"/>
          <cell r="Q371"/>
          <cell r="R371" t="str">
            <v>Unsigned</v>
          </cell>
          <cell r="S371"/>
          <cell r="T371"/>
          <cell r="U371"/>
          <cell r="V371"/>
          <cell r="W371"/>
          <cell r="X371"/>
        </row>
        <row r="372">
          <cell r="M372" t="str">
            <v>CmprDiagcFbCmprCtrlrErr</v>
          </cell>
          <cell r="N372">
            <v>2</v>
          </cell>
          <cell r="O372" t="str">
            <v>30</v>
          </cell>
          <cell r="P372"/>
          <cell r="Q372"/>
          <cell r="R372" t="str">
            <v>Unsigned</v>
          </cell>
          <cell r="S372"/>
          <cell r="T372"/>
          <cell r="U372"/>
          <cell r="V372"/>
          <cell r="W372"/>
          <cell r="X372"/>
        </row>
        <row r="373">
          <cell r="M373" t="str">
            <v>CmprDiagcFbCmprDrvrCircSnsr</v>
          </cell>
          <cell r="N373">
            <v>5</v>
          </cell>
          <cell r="O373" t="str">
            <v>16</v>
          </cell>
          <cell r="P373"/>
          <cell r="Q373"/>
          <cell r="R373" t="str">
            <v>Unsigned</v>
          </cell>
          <cell r="S373"/>
          <cell r="T373"/>
          <cell r="U373"/>
          <cell r="V373"/>
          <cell r="W373"/>
          <cell r="X373"/>
        </row>
        <row r="374">
          <cell r="M374" t="str">
            <v>CmprDiagcFbCmprDrvrCircSnsrPlaus</v>
          </cell>
          <cell r="N374">
            <v>2</v>
          </cell>
          <cell r="O374" t="str">
            <v>38</v>
          </cell>
          <cell r="P374"/>
          <cell r="Q374"/>
          <cell r="R374" t="str">
            <v>Unsigned</v>
          </cell>
          <cell r="S374"/>
          <cell r="T374"/>
          <cell r="U374"/>
          <cell r="V374"/>
          <cell r="W374"/>
          <cell r="X374"/>
        </row>
        <row r="375">
          <cell r="M375" t="str">
            <v>CmprDiagcFbCmprHvSnsr1</v>
          </cell>
          <cell r="N375">
            <v>3</v>
          </cell>
          <cell r="O375" t="str">
            <v>24</v>
          </cell>
          <cell r="P375"/>
          <cell r="Q375"/>
          <cell r="R375" t="str">
            <v>Unsigned</v>
          </cell>
          <cell r="S375"/>
          <cell r="T375"/>
          <cell r="U375"/>
          <cell r="V375"/>
          <cell r="W375"/>
          <cell r="X375"/>
        </row>
        <row r="376">
          <cell r="M376" t="str">
            <v>CmprDiagcFbCmprHvSnsr2</v>
          </cell>
          <cell r="N376">
            <v>3</v>
          </cell>
          <cell r="O376" t="str">
            <v>27</v>
          </cell>
          <cell r="P376"/>
          <cell r="Q376"/>
          <cell r="R376" t="str">
            <v>Unsigned</v>
          </cell>
          <cell r="S376"/>
          <cell r="T376"/>
          <cell r="U376"/>
          <cell r="V376"/>
          <cell r="W376"/>
          <cell r="X376"/>
        </row>
        <row r="377">
          <cell r="M377" t="str">
            <v>CmprDiagcFbCmprHvSnsrI</v>
          </cell>
          <cell r="N377">
            <v>3</v>
          </cell>
          <cell r="O377" t="str">
            <v>32</v>
          </cell>
          <cell r="P377"/>
          <cell r="Q377"/>
          <cell r="R377" t="str">
            <v>Unsigned</v>
          </cell>
          <cell r="S377"/>
          <cell r="T377"/>
          <cell r="U377"/>
          <cell r="V377"/>
          <cell r="W377"/>
          <cell r="X377"/>
        </row>
        <row r="378">
          <cell r="M378" t="str">
            <v>CmprDiagcFbCmprHvSnsrICrct</v>
          </cell>
          <cell r="N378">
            <v>3</v>
          </cell>
          <cell r="O378" t="str">
            <v>5</v>
          </cell>
          <cell r="P378"/>
          <cell r="Q378"/>
          <cell r="R378" t="str">
            <v>Unsigned</v>
          </cell>
          <cell r="S378"/>
          <cell r="T378"/>
          <cell r="U378"/>
          <cell r="V378"/>
          <cell r="W378"/>
          <cell r="X378"/>
        </row>
        <row r="379">
          <cell r="M379" t="str">
            <v>CmprDiagcFbCmprHvSnsrIPlaus</v>
          </cell>
          <cell r="N379">
            <v>2</v>
          </cell>
          <cell r="O379" t="str">
            <v>46</v>
          </cell>
          <cell r="P379"/>
          <cell r="Q379"/>
          <cell r="R379" t="str">
            <v>Unsigned</v>
          </cell>
          <cell r="S379"/>
          <cell r="T379"/>
          <cell r="U379"/>
          <cell r="V379"/>
          <cell r="W379"/>
          <cell r="X379"/>
        </row>
        <row r="380">
          <cell r="M380" t="str">
            <v>CmprDiagcFbCmprHvSnsrPlaus</v>
          </cell>
          <cell r="N380">
            <v>2</v>
          </cell>
          <cell r="O380" t="str">
            <v>48</v>
          </cell>
          <cell r="P380"/>
          <cell r="Q380"/>
          <cell r="R380" t="str">
            <v>Unsigned</v>
          </cell>
          <cell r="S380"/>
          <cell r="T380"/>
          <cell r="U380"/>
          <cell r="V380"/>
          <cell r="W380"/>
          <cell r="X380"/>
        </row>
        <row r="381">
          <cell r="M381" t="str">
            <v>CmprDiagcFbCmprHvSplyErr</v>
          </cell>
          <cell r="N381">
            <v>3</v>
          </cell>
          <cell r="O381" t="str">
            <v>35</v>
          </cell>
          <cell r="P381"/>
          <cell r="Q381"/>
          <cell r="R381" t="str">
            <v>Unsigned</v>
          </cell>
          <cell r="S381"/>
          <cell r="T381"/>
          <cell r="U381"/>
          <cell r="V381"/>
          <cell r="W381"/>
          <cell r="X381"/>
        </row>
        <row r="382">
          <cell r="M382" t="str">
            <v>CmprDiagcFbCmprPhaseWire</v>
          </cell>
          <cell r="N382">
            <v>2</v>
          </cell>
          <cell r="O382" t="str">
            <v>50</v>
          </cell>
          <cell r="P382"/>
          <cell r="Q382"/>
          <cell r="R382" t="str">
            <v>Unsigned</v>
          </cell>
          <cell r="S382"/>
          <cell r="T382"/>
          <cell r="U382"/>
          <cell r="V382"/>
          <cell r="W382"/>
          <cell r="X382"/>
        </row>
        <row r="383">
          <cell r="M383" t="str">
            <v>CmprDiagcFbCmprT1</v>
          </cell>
          <cell r="N383">
            <v>5</v>
          </cell>
          <cell r="O383" t="str">
            <v>0</v>
          </cell>
          <cell r="P383"/>
          <cell r="Q383"/>
          <cell r="R383" t="str">
            <v>Unsigned</v>
          </cell>
          <cell r="S383"/>
          <cell r="T383"/>
          <cell r="U383"/>
          <cell r="V383"/>
          <cell r="W383"/>
          <cell r="X383"/>
        </row>
        <row r="384">
          <cell r="M384" t="str">
            <v>CmprDiagcFbCmprT2</v>
          </cell>
          <cell r="N384">
            <v>5</v>
          </cell>
          <cell r="O384" t="str">
            <v>8</v>
          </cell>
          <cell r="P384"/>
          <cell r="Q384"/>
          <cell r="R384" t="str">
            <v>Unsigned</v>
          </cell>
          <cell r="S384"/>
          <cell r="T384"/>
          <cell r="U384"/>
          <cell r="V384"/>
          <cell r="W384"/>
          <cell r="X384"/>
        </row>
        <row r="385">
          <cell r="M385" t="str">
            <v>CmprDiagcFbCmprTOperErr1</v>
          </cell>
          <cell r="N385">
            <v>3</v>
          </cell>
          <cell r="O385" t="str">
            <v>13</v>
          </cell>
          <cell r="P385"/>
          <cell r="Q385"/>
          <cell r="R385" t="str">
            <v>Unsigned</v>
          </cell>
          <cell r="S385"/>
          <cell r="T385"/>
          <cell r="U385"/>
          <cell r="V385"/>
          <cell r="W385"/>
          <cell r="X385"/>
        </row>
        <row r="386">
          <cell r="M386" t="str">
            <v>CmprDiagcFbCmprTOperErr2</v>
          </cell>
          <cell r="N386">
            <v>3</v>
          </cell>
          <cell r="O386" t="str">
            <v>40</v>
          </cell>
          <cell r="P386"/>
          <cell r="Q386"/>
          <cell r="R386" t="str">
            <v>Unsigned</v>
          </cell>
          <cell r="S386"/>
          <cell r="T386"/>
          <cell r="U386"/>
          <cell r="V386"/>
          <cell r="W386"/>
          <cell r="X386"/>
        </row>
        <row r="387">
          <cell r="M387" t="str">
            <v>CmprDiagcFbCmprTPlaus</v>
          </cell>
          <cell r="N387">
            <v>2</v>
          </cell>
          <cell r="O387" t="str">
            <v>52</v>
          </cell>
          <cell r="P387"/>
          <cell r="Q387"/>
          <cell r="R387" t="str">
            <v>Unsigned</v>
          </cell>
          <cell r="S387"/>
          <cell r="T387"/>
          <cell r="U387"/>
          <cell r="V387"/>
          <cell r="W387"/>
          <cell r="X387"/>
        </row>
        <row r="388">
          <cell r="M388" t="str">
            <v>CmprDiagcFbCmprUSplyErr</v>
          </cell>
          <cell r="N388">
            <v>3</v>
          </cell>
          <cell r="O388" t="str">
            <v>43</v>
          </cell>
          <cell r="P388"/>
          <cell r="Q388"/>
          <cell r="R388" t="str">
            <v>Unsigned</v>
          </cell>
          <cell r="S388"/>
          <cell r="T388"/>
          <cell r="U388"/>
          <cell r="V388"/>
          <cell r="W388"/>
          <cell r="X388"/>
        </row>
        <row r="389">
          <cell r="M389" t="str">
            <v>CmprFbCmprI</v>
          </cell>
          <cell r="N389">
            <v>12</v>
          </cell>
          <cell r="O389" t="str">
            <v>32</v>
          </cell>
          <cell r="P389"/>
          <cell r="Q389"/>
          <cell r="R389" t="str">
            <v>Unsigned</v>
          </cell>
          <cell r="S389">
            <v>0</v>
          </cell>
          <cell r="T389">
            <v>409.5</v>
          </cell>
          <cell r="U389">
            <v>0.1</v>
          </cell>
          <cell r="V389">
            <v>0</v>
          </cell>
          <cell r="W389" t="str">
            <v>A</v>
          </cell>
          <cell r="X389"/>
        </row>
        <row r="390">
          <cell r="M390" t="str">
            <v>CmprFbCmprIPha</v>
          </cell>
          <cell r="N390">
            <v>8</v>
          </cell>
          <cell r="O390" t="str">
            <v>0</v>
          </cell>
          <cell r="P390"/>
          <cell r="Q390"/>
          <cell r="R390" t="str">
            <v>Unsigned</v>
          </cell>
          <cell r="S390">
            <v>0</v>
          </cell>
          <cell r="T390">
            <v>127</v>
          </cell>
          <cell r="U390">
            <v>0.5</v>
          </cell>
          <cell r="V390">
            <v>0</v>
          </cell>
          <cell r="W390" t="str">
            <v>A</v>
          </cell>
          <cell r="X390"/>
        </row>
        <row r="391">
          <cell r="M391" t="str">
            <v>CmprFbCmprSpd</v>
          </cell>
          <cell r="N391">
            <v>8</v>
          </cell>
          <cell r="O391" t="str">
            <v>8</v>
          </cell>
          <cell r="P391"/>
          <cell r="Q391"/>
          <cell r="R391" t="str">
            <v>Unsigned</v>
          </cell>
          <cell r="S391">
            <v>0</v>
          </cell>
          <cell r="T391">
            <v>12700</v>
          </cell>
          <cell r="U391">
            <v>50</v>
          </cell>
          <cell r="V391">
            <v>0</v>
          </cell>
          <cell r="W391" t="str">
            <v>rpm</v>
          </cell>
          <cell r="X391"/>
        </row>
        <row r="392">
          <cell r="M392" t="str">
            <v>CmprFbCmprSts1</v>
          </cell>
          <cell r="N392">
            <v>3</v>
          </cell>
          <cell r="O392" t="str">
            <v>59</v>
          </cell>
          <cell r="P392"/>
          <cell r="Q392"/>
          <cell r="R392" t="str">
            <v>Unsigned</v>
          </cell>
          <cell r="S392"/>
          <cell r="T392"/>
          <cell r="U392"/>
          <cell r="V392"/>
          <cell r="W392"/>
          <cell r="X392" t="str">
            <v>CmprSts</v>
          </cell>
        </row>
        <row r="393">
          <cell r="M393" t="str">
            <v>CmprFbCmprSts2</v>
          </cell>
          <cell r="N393">
            <v>4</v>
          </cell>
          <cell r="O393" t="str">
            <v>44</v>
          </cell>
          <cell r="P393"/>
          <cell r="Q393"/>
          <cell r="R393" t="str">
            <v>Unsigned</v>
          </cell>
          <cell r="S393"/>
          <cell r="T393"/>
          <cell r="U393"/>
          <cell r="V393"/>
          <cell r="W393"/>
          <cell r="X393" t="str">
            <v>CompStat</v>
          </cell>
        </row>
        <row r="394">
          <cell r="M394" t="str">
            <v>CmprFbCmprT1</v>
          </cell>
          <cell r="N394">
            <v>8</v>
          </cell>
          <cell r="O394" t="str">
            <v>16</v>
          </cell>
          <cell r="P394"/>
          <cell r="Q394"/>
          <cell r="R394" t="str">
            <v>Unsigned</v>
          </cell>
          <cell r="S394">
            <v>-50</v>
          </cell>
          <cell r="T394">
            <v>204</v>
          </cell>
          <cell r="U394">
            <v>1</v>
          </cell>
          <cell r="V394">
            <v>-50</v>
          </cell>
          <cell r="W394" t="str">
            <v>degC</v>
          </cell>
          <cell r="X394"/>
        </row>
        <row r="395">
          <cell r="M395" t="str">
            <v>CmprFbCmprT2</v>
          </cell>
          <cell r="N395">
            <v>8</v>
          </cell>
          <cell r="O395" t="str">
            <v>24</v>
          </cell>
          <cell r="P395"/>
          <cell r="Q395"/>
          <cell r="R395" t="str">
            <v>Unsigned</v>
          </cell>
          <cell r="S395">
            <v>-50</v>
          </cell>
          <cell r="T395">
            <v>204</v>
          </cell>
          <cell r="U395">
            <v>1</v>
          </cell>
          <cell r="V395">
            <v>-50</v>
          </cell>
          <cell r="W395" t="str">
            <v>degC</v>
          </cell>
          <cell r="X395"/>
        </row>
        <row r="396">
          <cell r="M396" t="str">
            <v>CmprFbCmprU</v>
          </cell>
          <cell r="N396">
            <v>10</v>
          </cell>
          <cell r="O396" t="str">
            <v>48</v>
          </cell>
          <cell r="P396"/>
          <cell r="Q396"/>
          <cell r="R396" t="str">
            <v>Unsigned</v>
          </cell>
          <cell r="S396">
            <v>0</v>
          </cell>
          <cell r="T396">
            <v>2046</v>
          </cell>
          <cell r="U396">
            <v>2</v>
          </cell>
          <cell r="V396">
            <v>0</v>
          </cell>
          <cell r="W396" t="str">
            <v>Volt</v>
          </cell>
          <cell r="X396"/>
        </row>
        <row r="397">
          <cell r="M397" t="str">
            <v>EctvCmdVlvMovEna</v>
          </cell>
          <cell r="N397">
            <v>1</v>
          </cell>
          <cell r="O397" t="str">
            <v>13</v>
          </cell>
          <cell r="P397"/>
          <cell r="Q397"/>
          <cell r="R397" t="str">
            <v>Unsigned</v>
          </cell>
          <cell r="S397"/>
          <cell r="T397"/>
          <cell r="U397"/>
          <cell r="V397"/>
          <cell r="W397"/>
          <cell r="X397" t="str">
            <v>VlvMovEna</v>
          </cell>
        </row>
        <row r="398">
          <cell r="M398" t="str">
            <v>EctvCmdVlvPosSetReq</v>
          </cell>
          <cell r="N398">
            <v>5</v>
          </cell>
          <cell r="O398" t="str">
            <v>8</v>
          </cell>
          <cell r="P398"/>
          <cell r="Q398"/>
          <cell r="R398" t="str">
            <v>Unsigned</v>
          </cell>
          <cell r="S398"/>
          <cell r="T398"/>
          <cell r="U398"/>
          <cell r="V398"/>
          <cell r="W398"/>
          <cell r="X398" t="str">
            <v>VlvPosSetReq</v>
          </cell>
        </row>
        <row r="399">
          <cell r="M399" t="str">
            <v>EctvCmdVlvSpdLvlReq</v>
          </cell>
          <cell r="N399">
            <v>2</v>
          </cell>
          <cell r="O399" t="str">
            <v>14</v>
          </cell>
          <cell r="P399"/>
          <cell r="Q399"/>
          <cell r="R399" t="str">
            <v>Unsigned</v>
          </cell>
          <cell r="S399"/>
          <cell r="T399"/>
          <cell r="U399"/>
          <cell r="V399"/>
          <cell r="W399"/>
          <cell r="X399" t="str">
            <v>VlvSpdLvlReq</v>
          </cell>
        </row>
        <row r="400">
          <cell r="M400" t="str">
            <v>EctvStatVlvFaultSts</v>
          </cell>
          <cell r="N400">
            <v>3</v>
          </cell>
          <cell r="O400" t="str">
            <v>1</v>
          </cell>
          <cell r="P400"/>
          <cell r="Q400"/>
          <cell r="R400" t="str">
            <v>Unsigned</v>
          </cell>
          <cell r="S400"/>
          <cell r="T400"/>
          <cell r="U400"/>
          <cell r="V400"/>
          <cell r="W400"/>
          <cell r="X400" t="str">
            <v>VlvFaultSts</v>
          </cell>
        </row>
        <row r="401">
          <cell r="M401" t="str">
            <v>EctvStatVlvPosSts</v>
          </cell>
          <cell r="N401">
            <v>5</v>
          </cell>
          <cell r="O401" t="str">
            <v>9</v>
          </cell>
          <cell r="P401"/>
          <cell r="Q401"/>
          <cell r="R401" t="str">
            <v>Unsigned</v>
          </cell>
          <cell r="S401"/>
          <cell r="T401"/>
          <cell r="U401"/>
          <cell r="V401"/>
          <cell r="W401"/>
          <cell r="X401" t="str">
            <v>VlvPosSts</v>
          </cell>
        </row>
        <row r="402">
          <cell r="M402" t="str">
            <v>EctvStatVlvRunSts</v>
          </cell>
          <cell r="N402">
            <v>1</v>
          </cell>
          <cell r="O402" t="str">
            <v>8</v>
          </cell>
          <cell r="P402"/>
          <cell r="Q402"/>
          <cell r="R402" t="str">
            <v>Unsigned</v>
          </cell>
          <cell r="S402"/>
          <cell r="T402"/>
          <cell r="U402"/>
          <cell r="V402"/>
          <cell r="W402"/>
          <cell r="X402" t="str">
            <v>VlvRunSts</v>
          </cell>
        </row>
        <row r="403">
          <cell r="M403" t="str">
            <v>EctvStatVlvSpdLvl</v>
          </cell>
          <cell r="N403">
            <v>2</v>
          </cell>
          <cell r="O403" t="str">
            <v>14</v>
          </cell>
          <cell r="P403"/>
          <cell r="Q403"/>
          <cell r="R403" t="str">
            <v>Unsigned</v>
          </cell>
          <cell r="S403"/>
          <cell r="T403"/>
          <cell r="U403"/>
          <cell r="V403"/>
          <cell r="W403"/>
          <cell r="X403" t="str">
            <v>VlvSpdLvl</v>
          </cell>
        </row>
        <row r="404">
          <cell r="M404" t="str">
            <v>EctvStatVlvTempSts</v>
          </cell>
          <cell r="N404">
            <v>2</v>
          </cell>
          <cell r="O404" t="str">
            <v>4</v>
          </cell>
          <cell r="P404"/>
          <cell r="Q404"/>
          <cell r="R404" t="str">
            <v>Unsigned</v>
          </cell>
          <cell r="S404"/>
          <cell r="T404"/>
          <cell r="U404"/>
          <cell r="V404"/>
          <cell r="W404"/>
          <cell r="X404" t="str">
            <v>VlvTempSts</v>
          </cell>
        </row>
        <row r="405">
          <cell r="M405" t="str">
            <v>EctvStatVoltSts</v>
          </cell>
          <cell r="N405">
            <v>2</v>
          </cell>
          <cell r="O405" t="str">
            <v>6</v>
          </cell>
          <cell r="P405"/>
          <cell r="Q405"/>
          <cell r="R405" t="str">
            <v>Unsigned</v>
          </cell>
          <cell r="S405"/>
          <cell r="T405"/>
          <cell r="U405"/>
          <cell r="V405"/>
          <cell r="W405"/>
          <cell r="X405" t="str">
            <v>VoltSts</v>
          </cell>
        </row>
        <row r="406">
          <cell r="M406" t="str">
            <v>HvCooltHeatrEnadWhE2EChks</v>
          </cell>
          <cell r="N406">
            <v>8</v>
          </cell>
          <cell r="O406" t="str">
            <v>0</v>
          </cell>
          <cell r="P406"/>
          <cell r="Q406"/>
          <cell r="R406" t="str">
            <v>Unsigned</v>
          </cell>
          <cell r="S406"/>
          <cell r="T406"/>
          <cell r="U406"/>
          <cell r="V406"/>
          <cell r="W406"/>
          <cell r="X406"/>
        </row>
        <row r="407">
          <cell r="M407" t="str">
            <v>HvCooltHeatrEnadWhE2ECntr</v>
          </cell>
          <cell r="N407">
            <v>4</v>
          </cell>
          <cell r="O407" t="str">
            <v>8</v>
          </cell>
          <cell r="P407"/>
          <cell r="Q407"/>
          <cell r="R407" t="str">
            <v>Unsigned</v>
          </cell>
          <cell r="S407"/>
          <cell r="T407"/>
          <cell r="U407"/>
          <cell r="V407"/>
          <cell r="W407"/>
          <cell r="X407"/>
        </row>
        <row r="408">
          <cell r="M408" t="str">
            <v>HvCooltHeatrEnadWhE2EHvchEnad</v>
          </cell>
          <cell r="N408">
            <v>1</v>
          </cell>
          <cell r="O408" t="str">
            <v>12</v>
          </cell>
          <cell r="P408"/>
          <cell r="Q408"/>
          <cell r="R408" t="str">
            <v>Boolean</v>
          </cell>
          <cell r="S408"/>
          <cell r="T408"/>
          <cell r="U408"/>
          <cell r="V408"/>
          <cell r="W408"/>
          <cell r="X408" t="str">
            <v>Boolean</v>
          </cell>
        </row>
        <row r="409">
          <cell r="M409" t="str">
            <v>HvCooltHeatrProtnOfSelfTmpSigHwProtn</v>
          </cell>
          <cell r="N409">
            <v>1</v>
          </cell>
          <cell r="O409" t="str">
            <v>48</v>
          </cell>
          <cell r="P409"/>
          <cell r="Q409"/>
          <cell r="R409" t="str">
            <v>Boolean</v>
          </cell>
          <cell r="S409"/>
          <cell r="T409"/>
          <cell r="U409"/>
          <cell r="V409"/>
          <cell r="W409"/>
          <cell r="X409" t="str">
            <v>Boolean</v>
          </cell>
        </row>
        <row r="410">
          <cell r="M410" t="str">
            <v>HvCooltHeatrProtnOfSelfTmpSigOvrheatg</v>
          </cell>
          <cell r="N410">
            <v>1</v>
          </cell>
          <cell r="O410" t="str">
            <v>49</v>
          </cell>
          <cell r="P410"/>
          <cell r="Q410"/>
          <cell r="R410" t="str">
            <v>Boolean</v>
          </cell>
          <cell r="S410"/>
          <cell r="T410"/>
          <cell r="U410"/>
          <cell r="V410"/>
          <cell r="W410"/>
          <cell r="X410" t="str">
            <v>Boolean</v>
          </cell>
        </row>
        <row r="411">
          <cell r="M411" t="str">
            <v>HvCooltHeatrProtnOfSelfTmpSigProtnOfSelfTmp</v>
          </cell>
          <cell r="N411">
            <v>1</v>
          </cell>
          <cell r="O411" t="str">
            <v>50</v>
          </cell>
          <cell r="P411"/>
          <cell r="Q411"/>
          <cell r="R411" t="str">
            <v>Boolean</v>
          </cell>
          <cell r="S411"/>
          <cell r="T411"/>
          <cell r="U411"/>
          <cell r="V411"/>
          <cell r="W411"/>
          <cell r="X411" t="str">
            <v>Boolean</v>
          </cell>
        </row>
        <row r="412">
          <cell r="M412" t="str">
            <v>HvCooltHeatrProtnOfSelfTmpSigProtnOfSelfTmpResd</v>
          </cell>
          <cell r="N412">
            <v>1</v>
          </cell>
          <cell r="O412" t="str">
            <v>51</v>
          </cell>
          <cell r="P412"/>
          <cell r="Q412"/>
          <cell r="R412" t="str">
            <v>Boolean</v>
          </cell>
          <cell r="S412"/>
          <cell r="T412"/>
          <cell r="U412"/>
          <cell r="V412"/>
          <cell r="W412"/>
          <cell r="X412" t="str">
            <v>Boolean</v>
          </cell>
        </row>
        <row r="413">
          <cell r="M413" t="str">
            <v>HvCooltHeatrSnsrFltSigCooltTInSnsrFlt</v>
          </cell>
          <cell r="N413">
            <v>1</v>
          </cell>
          <cell r="O413" t="str">
            <v>52</v>
          </cell>
          <cell r="P413"/>
          <cell r="Q413"/>
          <cell r="R413" t="str">
            <v>Boolean</v>
          </cell>
          <cell r="S413"/>
          <cell r="T413"/>
          <cell r="U413"/>
          <cell r="V413"/>
          <cell r="W413"/>
          <cell r="X413" t="str">
            <v>Boolean</v>
          </cell>
        </row>
        <row r="414">
          <cell r="M414" t="str">
            <v>HvCooltHeatrSnsrFltSigCooltTOutSnsrFlt</v>
          </cell>
          <cell r="N414">
            <v>1</v>
          </cell>
          <cell r="O414" t="str">
            <v>53</v>
          </cell>
          <cell r="P414"/>
          <cell r="Q414"/>
          <cell r="R414" t="str">
            <v>Boolean</v>
          </cell>
          <cell r="S414"/>
          <cell r="T414"/>
          <cell r="U414"/>
          <cell r="V414"/>
          <cell r="W414"/>
          <cell r="X414" t="str">
            <v>Boolean</v>
          </cell>
        </row>
        <row r="415">
          <cell r="M415" t="str">
            <v>HvCooltHeatrSnsrFltSigResdForSnsrFlt</v>
          </cell>
          <cell r="N415">
            <v>1</v>
          </cell>
          <cell r="O415" t="str">
            <v>54</v>
          </cell>
          <cell r="P415"/>
          <cell r="Q415"/>
          <cell r="R415" t="str">
            <v>Boolean</v>
          </cell>
          <cell r="S415"/>
          <cell r="T415"/>
          <cell r="U415"/>
          <cell r="V415"/>
          <cell r="W415"/>
          <cell r="X415" t="str">
            <v>Boolean</v>
          </cell>
        </row>
        <row r="416">
          <cell r="M416" t="str">
            <v>HvCooltHeatrSnsrFltSigTInMtrlSnsrFlt</v>
          </cell>
          <cell r="N416">
            <v>1</v>
          </cell>
          <cell r="O416" t="str">
            <v>55</v>
          </cell>
          <cell r="P416"/>
          <cell r="Q416"/>
          <cell r="R416" t="str">
            <v>Boolean</v>
          </cell>
          <cell r="S416"/>
          <cell r="T416"/>
          <cell r="U416"/>
          <cell r="V416"/>
          <cell r="W416"/>
          <cell r="X416" t="str">
            <v>Boolean</v>
          </cell>
        </row>
        <row r="417">
          <cell r="M417" t="str">
            <v>HvCooltHeatrSrvRqrdSigCircForDrvrShoOrOpen</v>
          </cell>
          <cell r="N417">
            <v>1</v>
          </cell>
          <cell r="O417" t="str">
            <v>0</v>
          </cell>
          <cell r="P417"/>
          <cell r="Q417"/>
          <cell r="R417" t="str">
            <v>Boolean</v>
          </cell>
          <cell r="S417"/>
          <cell r="T417"/>
          <cell r="U417"/>
          <cell r="V417"/>
          <cell r="W417"/>
          <cell r="X417" t="str">
            <v>Boolean</v>
          </cell>
        </row>
        <row r="418">
          <cell r="M418" t="str">
            <v>HvCooltHeatrSrvRqrdSigICnsOutOfRng</v>
          </cell>
          <cell r="N418">
            <v>1</v>
          </cell>
          <cell r="O418" t="str">
            <v>1</v>
          </cell>
          <cell r="P418"/>
          <cell r="Q418"/>
          <cell r="R418" t="str">
            <v>Boolean</v>
          </cell>
          <cell r="S418"/>
          <cell r="T418"/>
          <cell r="U418"/>
          <cell r="V418"/>
          <cell r="W418"/>
          <cell r="X418" t="str">
            <v>Boolean</v>
          </cell>
        </row>
        <row r="419">
          <cell r="M419" t="str">
            <v>HvCooltHeatrSrvRqrdSigMemErr</v>
          </cell>
          <cell r="N419">
            <v>1</v>
          </cell>
          <cell r="O419" t="str">
            <v>2</v>
          </cell>
          <cell r="P419"/>
          <cell r="Q419"/>
          <cell r="R419" t="str">
            <v>Boolean</v>
          </cell>
          <cell r="S419"/>
          <cell r="T419"/>
          <cell r="U419"/>
          <cell r="V419"/>
          <cell r="W419"/>
          <cell r="X419" t="str">
            <v>Boolean</v>
          </cell>
        </row>
        <row r="420">
          <cell r="M420" t="str">
            <v>HvCooltHeatrSrvRqrdSigSrvRqrd</v>
          </cell>
          <cell r="N420">
            <v>1</v>
          </cell>
          <cell r="O420" t="str">
            <v>3</v>
          </cell>
          <cell r="P420"/>
          <cell r="Q420"/>
          <cell r="R420" t="str">
            <v>Boolean</v>
          </cell>
          <cell r="S420"/>
          <cell r="T420"/>
          <cell r="U420"/>
          <cell r="V420"/>
          <cell r="W420"/>
          <cell r="X420" t="str">
            <v>Boolean</v>
          </cell>
        </row>
        <row r="421">
          <cell r="M421" t="str">
            <v>HvCooltHeatrSrvRqrdSigSrvRqrdResd</v>
          </cell>
          <cell r="N421">
            <v>1</v>
          </cell>
          <cell r="O421" t="str">
            <v>4</v>
          </cell>
          <cell r="P421"/>
          <cell r="Q421"/>
          <cell r="R421" t="str">
            <v>Boolean</v>
          </cell>
          <cell r="S421"/>
          <cell r="T421"/>
          <cell r="U421"/>
          <cell r="V421"/>
          <cell r="W421"/>
          <cell r="X421" t="str">
            <v>Boolean</v>
          </cell>
        </row>
        <row r="422">
          <cell r="M422" t="str">
            <v>HvCooltHeatrStsWhE2EChks</v>
          </cell>
          <cell r="N422">
            <v>8</v>
          </cell>
          <cell r="O422" t="str">
            <v>0</v>
          </cell>
          <cell r="P422"/>
          <cell r="Q422"/>
          <cell r="R422" t="str">
            <v>Unsigned</v>
          </cell>
          <cell r="S422"/>
          <cell r="T422"/>
          <cell r="U422"/>
          <cell r="V422"/>
          <cell r="W422"/>
          <cell r="X422"/>
        </row>
        <row r="423">
          <cell r="M423" t="str">
            <v>HvCooltHeatrStsWhE2ECntr</v>
          </cell>
          <cell r="N423">
            <v>4</v>
          </cell>
          <cell r="O423" t="str">
            <v>8</v>
          </cell>
          <cell r="P423"/>
          <cell r="Q423"/>
          <cell r="R423" t="str">
            <v>Unsigned</v>
          </cell>
          <cell r="S423"/>
          <cell r="T423"/>
          <cell r="U423"/>
          <cell r="V423"/>
          <cell r="W423"/>
          <cell r="X423"/>
        </row>
        <row r="424">
          <cell r="M424" t="str">
            <v>HvCooltHeatrStsWhE2EHvchSts</v>
          </cell>
          <cell r="N424">
            <v>3</v>
          </cell>
          <cell r="O424" t="str">
            <v>12</v>
          </cell>
          <cell r="P424"/>
          <cell r="Q424"/>
          <cell r="R424" t="str">
            <v>Unsigned</v>
          </cell>
          <cell r="S424"/>
          <cell r="T424"/>
          <cell r="U424"/>
          <cell r="V424"/>
          <cell r="W424"/>
          <cell r="X424" t="str">
            <v>HvCooltHeatrSts</v>
          </cell>
        </row>
        <row r="425">
          <cell r="M425" t="str">
            <v>HvCooltHeatrWarnSigCooltTOutOfRng</v>
          </cell>
          <cell r="N425">
            <v>1</v>
          </cell>
          <cell r="O425" t="str">
            <v>40</v>
          </cell>
          <cell r="P425"/>
          <cell r="Q425"/>
          <cell r="R425" t="str">
            <v>Boolean</v>
          </cell>
          <cell r="S425"/>
          <cell r="T425"/>
          <cell r="U425"/>
          <cell r="V425"/>
          <cell r="W425"/>
          <cell r="X425" t="str">
            <v>Boolean</v>
          </cell>
        </row>
        <row r="426">
          <cell r="M426" t="str">
            <v>HvCooltHeatrWarnSigFltInCom</v>
          </cell>
          <cell r="N426">
            <v>1</v>
          </cell>
          <cell r="O426" t="str">
            <v>41</v>
          </cell>
          <cell r="P426"/>
          <cell r="Q426"/>
          <cell r="R426" t="str">
            <v>Boolean</v>
          </cell>
          <cell r="S426"/>
          <cell r="T426"/>
          <cell r="U426"/>
          <cell r="V426"/>
          <cell r="W426"/>
          <cell r="X426" t="str">
            <v>Boolean</v>
          </cell>
        </row>
        <row r="427">
          <cell r="M427" t="str">
            <v>HvCooltHeatrWarnSigFltPrsnt</v>
          </cell>
          <cell r="N427">
            <v>1</v>
          </cell>
          <cell r="O427" t="str">
            <v>42</v>
          </cell>
          <cell r="P427"/>
          <cell r="Q427"/>
          <cell r="R427" t="str">
            <v>Boolean</v>
          </cell>
          <cell r="S427"/>
          <cell r="T427"/>
          <cell r="U427"/>
          <cell r="V427"/>
          <cell r="W427"/>
          <cell r="X427" t="str">
            <v>Boolean</v>
          </cell>
        </row>
        <row r="428">
          <cell r="M428" t="str">
            <v>HvCooltHeatrWarnSigFltPrsntResd</v>
          </cell>
          <cell r="N428">
            <v>1</v>
          </cell>
          <cell r="O428" t="str">
            <v>43</v>
          </cell>
          <cell r="P428"/>
          <cell r="Q428"/>
          <cell r="R428" t="str">
            <v>Boolean</v>
          </cell>
          <cell r="S428"/>
          <cell r="T428"/>
          <cell r="U428"/>
          <cell r="V428"/>
          <cell r="W428"/>
          <cell r="X428" t="str">
            <v>Boolean</v>
          </cell>
        </row>
        <row r="429">
          <cell r="M429" t="str">
            <v>HvCooltHeatrWarnSigHvOutOfRng</v>
          </cell>
          <cell r="N429">
            <v>1</v>
          </cell>
          <cell r="O429" t="str">
            <v>44</v>
          </cell>
          <cell r="P429"/>
          <cell r="Q429"/>
          <cell r="R429" t="str">
            <v>Boolean</v>
          </cell>
          <cell r="S429"/>
          <cell r="T429"/>
          <cell r="U429"/>
          <cell r="V429"/>
          <cell r="W429"/>
          <cell r="X429" t="str">
            <v>Boolean</v>
          </cell>
        </row>
        <row r="430">
          <cell r="M430" t="str">
            <v>HvCooltHeatrWarnSigULoOutOfRng</v>
          </cell>
          <cell r="N430">
            <v>1</v>
          </cell>
          <cell r="O430" t="str">
            <v>45</v>
          </cell>
          <cell r="P430"/>
          <cell r="Q430"/>
          <cell r="R430" t="str">
            <v>Boolean</v>
          </cell>
          <cell r="S430"/>
          <cell r="T430"/>
          <cell r="U430"/>
          <cell r="V430"/>
          <cell r="W430"/>
          <cell r="X430" t="str">
            <v>Boolean</v>
          </cell>
        </row>
        <row r="431">
          <cell r="M431" t="str">
            <v>BexvNVMFlt</v>
          </cell>
          <cell r="N431">
            <v>1</v>
          </cell>
          <cell r="O431" t="str">
            <v>22</v>
          </cell>
          <cell r="P431"/>
          <cell r="Q431"/>
          <cell r="R431" t="str">
            <v>Unsigned</v>
          </cell>
          <cell r="S431"/>
          <cell r="T431"/>
          <cell r="U431"/>
          <cell r="V431"/>
          <cell r="W431"/>
          <cell r="X431" t="str">
            <v>Flt</v>
          </cell>
        </row>
        <row r="432">
          <cell r="M432" t="str">
            <v>CexvNVMFlt</v>
          </cell>
          <cell r="N432">
            <v>1</v>
          </cell>
          <cell r="O432" t="str">
            <v>22</v>
          </cell>
          <cell r="P432"/>
          <cell r="Q432"/>
          <cell r="R432" t="str">
            <v>Unsigned</v>
          </cell>
          <cell r="S432"/>
          <cell r="T432"/>
          <cell r="U432"/>
          <cell r="V432"/>
          <cell r="W432"/>
          <cell r="X432" t="str">
            <v>Flt</v>
          </cell>
        </row>
        <row r="433">
          <cell r="M433" t="str">
            <v>EexvNVMFlt</v>
          </cell>
          <cell r="N433">
            <v>1</v>
          </cell>
          <cell r="O433" t="str">
            <v>22</v>
          </cell>
          <cell r="P433"/>
          <cell r="Q433"/>
          <cell r="R433" t="str">
            <v>Unsigned</v>
          </cell>
          <cell r="S433"/>
          <cell r="T433"/>
          <cell r="U433"/>
          <cell r="V433"/>
          <cell r="W433"/>
          <cell r="X433" t="str">
            <v>Flt</v>
          </cell>
        </row>
        <row r="434">
          <cell r="M434" t="str">
            <v>BexvPosnReqExvCalibReq</v>
          </cell>
          <cell r="N434">
            <v>1</v>
          </cell>
          <cell r="O434" t="str">
            <v>0</v>
          </cell>
          <cell r="P434"/>
          <cell r="Q434"/>
          <cell r="R434" t="str">
            <v>Unsigned</v>
          </cell>
          <cell r="S434"/>
          <cell r="T434"/>
          <cell r="U434"/>
          <cell r="V434"/>
          <cell r="W434"/>
          <cell r="X434" t="str">
            <v>ExvCalibReq</v>
          </cell>
        </row>
        <row r="435">
          <cell r="M435" t="str">
            <v>BexvPosnReqExvHeatdReq</v>
          </cell>
          <cell r="N435">
            <v>1</v>
          </cell>
          <cell r="O435" t="str">
            <v>1</v>
          </cell>
          <cell r="P435"/>
          <cell r="Q435"/>
          <cell r="R435" t="str">
            <v>Unsigned</v>
          </cell>
          <cell r="S435"/>
          <cell r="T435"/>
          <cell r="U435"/>
          <cell r="V435"/>
          <cell r="W435"/>
          <cell r="X435" t="str">
            <v>ExvHeatdReq</v>
          </cell>
        </row>
        <row r="436">
          <cell r="M436" t="str">
            <v>BexvPosnReqExvMovEnable</v>
          </cell>
          <cell r="N436">
            <v>1</v>
          </cell>
          <cell r="O436" t="str">
            <v>2</v>
          </cell>
          <cell r="P436"/>
          <cell r="Q436"/>
          <cell r="R436" t="str">
            <v>Unsigned</v>
          </cell>
          <cell r="S436"/>
          <cell r="T436"/>
          <cell r="U436"/>
          <cell r="V436"/>
          <cell r="W436"/>
          <cell r="X436" t="str">
            <v>ExvMovEnable</v>
          </cell>
        </row>
        <row r="437">
          <cell r="M437" t="str">
            <v>BexvPosnReqExvPosnReq</v>
          </cell>
          <cell r="N437">
            <v>10</v>
          </cell>
          <cell r="O437" t="str">
            <v>3</v>
          </cell>
          <cell r="P437"/>
          <cell r="Q437"/>
          <cell r="R437" t="str">
            <v>Unsigned</v>
          </cell>
          <cell r="S437">
            <v>0</v>
          </cell>
          <cell r="T437">
            <v>100</v>
          </cell>
          <cell r="U437">
            <v>0.2</v>
          </cell>
          <cell r="V437">
            <v>0</v>
          </cell>
          <cell r="W437" t="str">
            <v>%</v>
          </cell>
          <cell r="X437"/>
        </row>
        <row r="438">
          <cell r="M438" t="str">
            <v>BexvStsExvActrPosn</v>
          </cell>
          <cell r="N438">
            <v>10</v>
          </cell>
          <cell r="O438" t="str">
            <v>0</v>
          </cell>
          <cell r="P438"/>
          <cell r="Q438"/>
          <cell r="R438" t="str">
            <v>Unsigned</v>
          </cell>
          <cell r="S438">
            <v>0</v>
          </cell>
          <cell r="T438">
            <v>100</v>
          </cell>
          <cell r="U438">
            <v>0.2</v>
          </cell>
          <cell r="V438">
            <v>0</v>
          </cell>
          <cell r="W438" t="str">
            <v>%</v>
          </cell>
          <cell r="X438"/>
        </row>
        <row r="439">
          <cell r="M439" t="str">
            <v>BexvStsExvBlkErr</v>
          </cell>
          <cell r="N439">
            <v>1</v>
          </cell>
          <cell r="O439" t="str">
            <v>10</v>
          </cell>
          <cell r="P439"/>
          <cell r="Q439"/>
          <cell r="R439" t="str">
            <v>Unsigned</v>
          </cell>
          <cell r="S439"/>
          <cell r="T439"/>
          <cell r="U439"/>
          <cell r="V439"/>
          <cell r="W439"/>
          <cell r="X439" t="str">
            <v>Err1</v>
          </cell>
        </row>
        <row r="440">
          <cell r="M440" t="str">
            <v>BexvStsExvCalibSts</v>
          </cell>
          <cell r="N440">
            <v>2</v>
          </cell>
          <cell r="O440" t="str">
            <v>11</v>
          </cell>
          <cell r="P440"/>
          <cell r="Q440"/>
          <cell r="R440" t="str">
            <v>Unsigned</v>
          </cell>
          <cell r="S440"/>
          <cell r="T440"/>
          <cell r="U440"/>
          <cell r="V440"/>
          <cell r="W440"/>
          <cell r="X440" t="str">
            <v>ExvCalibSts</v>
          </cell>
        </row>
        <row r="441">
          <cell r="M441" t="str">
            <v>BexvStsExvElecStsErr</v>
          </cell>
          <cell r="N441">
            <v>3</v>
          </cell>
          <cell r="O441" t="str">
            <v>13</v>
          </cell>
          <cell r="P441"/>
          <cell r="Q441"/>
          <cell r="R441" t="str">
            <v>Unsigned</v>
          </cell>
          <cell r="S441"/>
          <cell r="T441"/>
          <cell r="U441"/>
          <cell r="V441"/>
          <cell r="W441"/>
          <cell r="X441" t="str">
            <v>ExvElecStsErr</v>
          </cell>
        </row>
        <row r="442">
          <cell r="M442" t="str">
            <v>BexvStsExvMovSts</v>
          </cell>
          <cell r="N442">
            <v>1</v>
          </cell>
          <cell r="O442" t="str">
            <v>16</v>
          </cell>
          <cell r="P442"/>
          <cell r="Q442"/>
          <cell r="R442" t="str">
            <v>Unsigned</v>
          </cell>
          <cell r="S442"/>
          <cell r="T442"/>
          <cell r="U442"/>
          <cell r="V442"/>
          <cell r="W442"/>
          <cell r="X442" t="str">
            <v>ExvMovSts</v>
          </cell>
        </row>
        <row r="443">
          <cell r="M443" t="str">
            <v>BexvStsExvOvrTempErr</v>
          </cell>
          <cell r="N443">
            <v>1</v>
          </cell>
          <cell r="O443" t="str">
            <v>17</v>
          </cell>
          <cell r="P443"/>
          <cell r="Q443"/>
          <cell r="R443" t="str">
            <v>Unsigned</v>
          </cell>
          <cell r="S443"/>
          <cell r="T443"/>
          <cell r="U443"/>
          <cell r="V443"/>
          <cell r="W443"/>
          <cell r="X443" t="str">
            <v>Err1</v>
          </cell>
        </row>
        <row r="444">
          <cell r="M444" t="str">
            <v>BexvStsExvOvrTrvlErr</v>
          </cell>
          <cell r="N444">
            <v>1</v>
          </cell>
          <cell r="O444" t="str">
            <v>18</v>
          </cell>
          <cell r="P444"/>
          <cell r="Q444"/>
          <cell r="R444" t="str">
            <v>Unsigned</v>
          </cell>
          <cell r="S444"/>
          <cell r="T444"/>
          <cell r="U444"/>
          <cell r="V444"/>
          <cell r="W444"/>
          <cell r="X444" t="str">
            <v>Err1</v>
          </cell>
        </row>
        <row r="445">
          <cell r="M445" t="str">
            <v>BexvStsExvPreHeatgSts</v>
          </cell>
          <cell r="N445">
            <v>1</v>
          </cell>
          <cell r="O445" t="str">
            <v>19</v>
          </cell>
          <cell r="P445"/>
          <cell r="Q445"/>
          <cell r="R445" t="str">
            <v>Unsigned</v>
          </cell>
          <cell r="S445"/>
          <cell r="T445"/>
          <cell r="U445"/>
          <cell r="V445"/>
          <cell r="W445"/>
          <cell r="X445" t="str">
            <v>OnOff1</v>
          </cell>
        </row>
        <row r="446">
          <cell r="M446" t="str">
            <v>BexvStsExvVoltgRangErr</v>
          </cell>
          <cell r="N446">
            <v>2</v>
          </cell>
          <cell r="O446" t="str">
            <v>20</v>
          </cell>
          <cell r="P446"/>
          <cell r="Q446"/>
          <cell r="R446" t="str">
            <v>Unsigned</v>
          </cell>
          <cell r="S446"/>
          <cell r="T446"/>
          <cell r="U446"/>
          <cell r="V446"/>
          <cell r="W446"/>
          <cell r="X446" t="str">
            <v>ExvVoltgRangErr</v>
          </cell>
        </row>
        <row r="447">
          <cell r="M447" t="str">
            <v>CexvPosnReqExvCalibReq</v>
          </cell>
          <cell r="N447">
            <v>1</v>
          </cell>
          <cell r="O447" t="str">
            <v>13</v>
          </cell>
          <cell r="P447"/>
          <cell r="Q447"/>
          <cell r="R447" t="str">
            <v>Unsigned</v>
          </cell>
          <cell r="S447"/>
          <cell r="T447"/>
          <cell r="U447"/>
          <cell r="V447"/>
          <cell r="W447"/>
          <cell r="X447" t="str">
            <v>ExvCalibReq</v>
          </cell>
        </row>
        <row r="448">
          <cell r="M448" t="str">
            <v>CexvPosnReqExvHeatdReq</v>
          </cell>
          <cell r="N448">
            <v>1</v>
          </cell>
          <cell r="O448" t="str">
            <v>14</v>
          </cell>
          <cell r="P448"/>
          <cell r="Q448"/>
          <cell r="R448" t="str">
            <v>Unsigned</v>
          </cell>
          <cell r="S448"/>
          <cell r="T448"/>
          <cell r="U448"/>
          <cell r="V448"/>
          <cell r="W448"/>
          <cell r="X448" t="str">
            <v>ExvHeatdReq</v>
          </cell>
        </row>
        <row r="449">
          <cell r="M449" t="str">
            <v>CexvPosnReqExvMovEnable</v>
          </cell>
          <cell r="N449">
            <v>1</v>
          </cell>
          <cell r="O449" t="str">
            <v>15</v>
          </cell>
          <cell r="P449"/>
          <cell r="Q449"/>
          <cell r="R449" t="str">
            <v>Unsigned</v>
          </cell>
          <cell r="S449"/>
          <cell r="T449"/>
          <cell r="U449"/>
          <cell r="V449"/>
          <cell r="W449"/>
          <cell r="X449" t="str">
            <v>ExvMovEnable</v>
          </cell>
        </row>
        <row r="450">
          <cell r="M450" t="str">
            <v>CexvPosnReqExvPosnReq</v>
          </cell>
          <cell r="N450">
            <v>10</v>
          </cell>
          <cell r="O450" t="str">
            <v>16</v>
          </cell>
          <cell r="P450"/>
          <cell r="Q450"/>
          <cell r="R450" t="str">
            <v>Unsigned</v>
          </cell>
          <cell r="S450">
            <v>0</v>
          </cell>
          <cell r="T450">
            <v>100</v>
          </cell>
          <cell r="U450">
            <v>0.2</v>
          </cell>
          <cell r="V450">
            <v>0</v>
          </cell>
          <cell r="W450" t="str">
            <v>%</v>
          </cell>
          <cell r="X450"/>
        </row>
        <row r="451">
          <cell r="M451" t="str">
            <v>CexvStsExvActrPosn</v>
          </cell>
          <cell r="N451">
            <v>10</v>
          </cell>
          <cell r="O451" t="str">
            <v>0</v>
          </cell>
          <cell r="P451"/>
          <cell r="Q451"/>
          <cell r="R451" t="str">
            <v>Unsigned</v>
          </cell>
          <cell r="S451">
            <v>0</v>
          </cell>
          <cell r="T451">
            <v>100</v>
          </cell>
          <cell r="U451">
            <v>0.2</v>
          </cell>
          <cell r="V451">
            <v>0</v>
          </cell>
          <cell r="W451" t="str">
            <v>%</v>
          </cell>
          <cell r="X451"/>
        </row>
        <row r="452">
          <cell r="M452" t="str">
            <v>CexvStsExvBlkErr</v>
          </cell>
          <cell r="N452">
            <v>1</v>
          </cell>
          <cell r="O452" t="str">
            <v>10</v>
          </cell>
          <cell r="P452"/>
          <cell r="Q452"/>
          <cell r="R452" t="str">
            <v>Unsigned</v>
          </cell>
          <cell r="S452"/>
          <cell r="T452"/>
          <cell r="U452"/>
          <cell r="V452"/>
          <cell r="W452"/>
          <cell r="X452" t="str">
            <v>Err1</v>
          </cell>
        </row>
        <row r="453">
          <cell r="M453" t="str">
            <v>CexvStsExvCalibSts</v>
          </cell>
          <cell r="N453">
            <v>2</v>
          </cell>
          <cell r="O453" t="str">
            <v>11</v>
          </cell>
          <cell r="P453"/>
          <cell r="Q453"/>
          <cell r="R453" t="str">
            <v>Unsigned</v>
          </cell>
          <cell r="S453"/>
          <cell r="T453"/>
          <cell r="U453"/>
          <cell r="V453"/>
          <cell r="W453"/>
          <cell r="X453" t="str">
            <v>ExvCalibSts</v>
          </cell>
        </row>
        <row r="454">
          <cell r="M454" t="str">
            <v>CexvStsExvElecStsErr</v>
          </cell>
          <cell r="N454">
            <v>3</v>
          </cell>
          <cell r="O454" t="str">
            <v>13</v>
          </cell>
          <cell r="P454"/>
          <cell r="Q454"/>
          <cell r="R454" t="str">
            <v>Unsigned</v>
          </cell>
          <cell r="S454"/>
          <cell r="T454"/>
          <cell r="U454"/>
          <cell r="V454"/>
          <cell r="W454"/>
          <cell r="X454" t="str">
            <v>ExvElecStsErr</v>
          </cell>
        </row>
        <row r="455">
          <cell r="M455" t="str">
            <v>CexvStsExvMovSts</v>
          </cell>
          <cell r="N455">
            <v>1</v>
          </cell>
          <cell r="O455" t="str">
            <v>16</v>
          </cell>
          <cell r="P455"/>
          <cell r="Q455"/>
          <cell r="R455" t="str">
            <v>Unsigned</v>
          </cell>
          <cell r="S455"/>
          <cell r="T455"/>
          <cell r="U455"/>
          <cell r="V455"/>
          <cell r="W455"/>
          <cell r="X455" t="str">
            <v>ExvMovSts</v>
          </cell>
        </row>
        <row r="456">
          <cell r="M456" t="str">
            <v>CexvStsExvOvrTempErr</v>
          </cell>
          <cell r="N456">
            <v>1</v>
          </cell>
          <cell r="O456" t="str">
            <v>17</v>
          </cell>
          <cell r="P456"/>
          <cell r="Q456"/>
          <cell r="R456" t="str">
            <v>Unsigned</v>
          </cell>
          <cell r="S456"/>
          <cell r="T456"/>
          <cell r="U456"/>
          <cell r="V456"/>
          <cell r="W456"/>
          <cell r="X456" t="str">
            <v>Err1</v>
          </cell>
        </row>
        <row r="457">
          <cell r="M457" t="str">
            <v>CexvStsExvOvrTrvlErr</v>
          </cell>
          <cell r="N457">
            <v>1</v>
          </cell>
          <cell r="O457" t="str">
            <v>18</v>
          </cell>
          <cell r="P457"/>
          <cell r="Q457"/>
          <cell r="R457" t="str">
            <v>Unsigned</v>
          </cell>
          <cell r="S457"/>
          <cell r="T457"/>
          <cell r="U457"/>
          <cell r="V457"/>
          <cell r="W457"/>
          <cell r="X457" t="str">
            <v>Err1</v>
          </cell>
        </row>
        <row r="458">
          <cell r="M458" t="str">
            <v>CexvStsExvPreHeatgSts</v>
          </cell>
          <cell r="N458">
            <v>1</v>
          </cell>
          <cell r="O458" t="str">
            <v>19</v>
          </cell>
          <cell r="P458"/>
          <cell r="Q458"/>
          <cell r="R458" t="str">
            <v>Unsigned</v>
          </cell>
          <cell r="S458"/>
          <cell r="T458"/>
          <cell r="U458"/>
          <cell r="V458"/>
          <cell r="W458"/>
          <cell r="X458" t="str">
            <v>OnOff1</v>
          </cell>
        </row>
        <row r="459">
          <cell r="M459" t="str">
            <v>CexvStsExvVoltgRangErr</v>
          </cell>
          <cell r="N459">
            <v>2</v>
          </cell>
          <cell r="O459" t="str">
            <v>20</v>
          </cell>
          <cell r="P459"/>
          <cell r="Q459"/>
          <cell r="R459" t="str">
            <v>Unsigned</v>
          </cell>
          <cell r="S459"/>
          <cell r="T459"/>
          <cell r="U459"/>
          <cell r="V459"/>
          <cell r="W459"/>
          <cell r="X459" t="str">
            <v>ExvVoltgRangErr</v>
          </cell>
        </row>
        <row r="460">
          <cell r="M460" t="str">
            <v>EexvPosnReqExvCalibReq</v>
          </cell>
          <cell r="N460">
            <v>1</v>
          </cell>
          <cell r="O460" t="str">
            <v>26</v>
          </cell>
          <cell r="P460"/>
          <cell r="Q460"/>
          <cell r="R460" t="str">
            <v>Unsigned</v>
          </cell>
          <cell r="S460"/>
          <cell r="T460"/>
          <cell r="U460"/>
          <cell r="V460"/>
          <cell r="W460"/>
          <cell r="X460" t="str">
            <v>ExvCalibReq</v>
          </cell>
        </row>
        <row r="461">
          <cell r="M461" t="str">
            <v>EexvPosnReqExvHeatdReq</v>
          </cell>
          <cell r="N461">
            <v>1</v>
          </cell>
          <cell r="O461" t="str">
            <v>27</v>
          </cell>
          <cell r="P461"/>
          <cell r="Q461"/>
          <cell r="R461" t="str">
            <v>Unsigned</v>
          </cell>
          <cell r="S461"/>
          <cell r="T461"/>
          <cell r="U461"/>
          <cell r="V461"/>
          <cell r="W461"/>
          <cell r="X461" t="str">
            <v>ExvHeatdReq</v>
          </cell>
        </row>
        <row r="462">
          <cell r="M462" t="str">
            <v>EexvPosnReqExvMovEnable</v>
          </cell>
          <cell r="N462">
            <v>1</v>
          </cell>
          <cell r="O462" t="str">
            <v>28</v>
          </cell>
          <cell r="P462"/>
          <cell r="Q462"/>
          <cell r="R462" t="str">
            <v>Unsigned</v>
          </cell>
          <cell r="S462"/>
          <cell r="T462"/>
          <cell r="U462"/>
          <cell r="V462"/>
          <cell r="W462"/>
          <cell r="X462" t="str">
            <v>ExvMovEnable</v>
          </cell>
        </row>
        <row r="463">
          <cell r="M463" t="str">
            <v>EexvPosnReqExvPosnReq</v>
          </cell>
          <cell r="N463">
            <v>10</v>
          </cell>
          <cell r="O463" t="str">
            <v>30</v>
          </cell>
          <cell r="P463"/>
          <cell r="Q463"/>
          <cell r="R463" t="str">
            <v>Unsigned</v>
          </cell>
          <cell r="S463">
            <v>0</v>
          </cell>
          <cell r="T463">
            <v>100</v>
          </cell>
          <cell r="U463">
            <v>0.2</v>
          </cell>
          <cell r="V463">
            <v>0</v>
          </cell>
          <cell r="W463" t="str">
            <v>%</v>
          </cell>
          <cell r="X463"/>
        </row>
        <row r="464">
          <cell r="M464" t="str">
            <v>EexvStsExvActrPosn</v>
          </cell>
          <cell r="N464">
            <v>10</v>
          </cell>
          <cell r="O464" t="str">
            <v>0</v>
          </cell>
          <cell r="P464"/>
          <cell r="Q464"/>
          <cell r="R464" t="str">
            <v>Unsigned</v>
          </cell>
          <cell r="S464">
            <v>0</v>
          </cell>
          <cell r="T464">
            <v>100</v>
          </cell>
          <cell r="U464">
            <v>0.2</v>
          </cell>
          <cell r="V464">
            <v>0</v>
          </cell>
          <cell r="W464" t="str">
            <v>%</v>
          </cell>
          <cell r="X464"/>
        </row>
        <row r="465">
          <cell r="M465" t="str">
            <v>EexvStsExvBlkErr</v>
          </cell>
          <cell r="N465">
            <v>1</v>
          </cell>
          <cell r="O465" t="str">
            <v>10</v>
          </cell>
          <cell r="P465"/>
          <cell r="Q465"/>
          <cell r="R465" t="str">
            <v>Unsigned</v>
          </cell>
          <cell r="S465"/>
          <cell r="T465"/>
          <cell r="U465"/>
          <cell r="V465"/>
          <cell r="W465"/>
          <cell r="X465" t="str">
            <v>Err1</v>
          </cell>
        </row>
        <row r="466">
          <cell r="M466" t="str">
            <v>EexvStsExvCalibSts</v>
          </cell>
          <cell r="N466">
            <v>2</v>
          </cell>
          <cell r="O466" t="str">
            <v>11</v>
          </cell>
          <cell r="P466"/>
          <cell r="Q466"/>
          <cell r="R466" t="str">
            <v>Unsigned</v>
          </cell>
          <cell r="S466"/>
          <cell r="T466"/>
          <cell r="U466"/>
          <cell r="V466"/>
          <cell r="W466"/>
          <cell r="X466" t="str">
            <v>ExvCalibSts</v>
          </cell>
        </row>
        <row r="467">
          <cell r="M467" t="str">
            <v>EexvStsExvElecStsErr</v>
          </cell>
          <cell r="N467">
            <v>3</v>
          </cell>
          <cell r="O467" t="str">
            <v>13</v>
          </cell>
          <cell r="P467"/>
          <cell r="Q467"/>
          <cell r="R467" t="str">
            <v>Unsigned</v>
          </cell>
          <cell r="S467"/>
          <cell r="T467"/>
          <cell r="U467"/>
          <cell r="V467"/>
          <cell r="W467"/>
          <cell r="X467" t="str">
            <v>ExvElecStsErr</v>
          </cell>
        </row>
        <row r="468">
          <cell r="M468" t="str">
            <v>EexvStsExvMovSts</v>
          </cell>
          <cell r="N468">
            <v>1</v>
          </cell>
          <cell r="O468" t="str">
            <v>16</v>
          </cell>
          <cell r="P468"/>
          <cell r="Q468"/>
          <cell r="R468" t="str">
            <v>Unsigned</v>
          </cell>
          <cell r="S468"/>
          <cell r="T468"/>
          <cell r="U468"/>
          <cell r="V468"/>
          <cell r="W468"/>
          <cell r="X468" t="str">
            <v>ExvMovSts</v>
          </cell>
        </row>
        <row r="469">
          <cell r="M469" t="str">
            <v>EexvStsExvOvrTempErr</v>
          </cell>
          <cell r="N469">
            <v>1</v>
          </cell>
          <cell r="O469" t="str">
            <v>17</v>
          </cell>
          <cell r="P469"/>
          <cell r="Q469"/>
          <cell r="R469" t="str">
            <v>Unsigned</v>
          </cell>
          <cell r="S469"/>
          <cell r="T469"/>
          <cell r="U469"/>
          <cell r="V469"/>
          <cell r="W469"/>
          <cell r="X469" t="str">
            <v>Err1</v>
          </cell>
        </row>
        <row r="470">
          <cell r="M470" t="str">
            <v>EexvStsExvOvrTrvlErr</v>
          </cell>
          <cell r="N470">
            <v>1</v>
          </cell>
          <cell r="O470" t="str">
            <v>18</v>
          </cell>
          <cell r="P470"/>
          <cell r="Q470"/>
          <cell r="R470" t="str">
            <v>Unsigned</v>
          </cell>
          <cell r="S470"/>
          <cell r="T470"/>
          <cell r="U470"/>
          <cell r="V470"/>
          <cell r="W470"/>
          <cell r="X470" t="str">
            <v>Err1</v>
          </cell>
        </row>
        <row r="471">
          <cell r="M471" t="str">
            <v>EexvStsExvPreHeatgSts</v>
          </cell>
          <cell r="N471">
            <v>1</v>
          </cell>
          <cell r="O471" t="str">
            <v>19</v>
          </cell>
          <cell r="P471"/>
          <cell r="Q471"/>
          <cell r="R471" t="str">
            <v>Unsigned</v>
          </cell>
          <cell r="S471"/>
          <cell r="T471"/>
          <cell r="U471"/>
          <cell r="V471"/>
          <cell r="W471"/>
          <cell r="X471" t="str">
            <v>OnOff1</v>
          </cell>
        </row>
        <row r="472">
          <cell r="M472" t="str">
            <v>EexvStsExvVoltgRangErr</v>
          </cell>
          <cell r="N472">
            <v>2</v>
          </cell>
          <cell r="O472" t="str">
            <v>20</v>
          </cell>
          <cell r="P472"/>
          <cell r="Q472"/>
          <cell r="R472" t="str">
            <v>Unsigned</v>
          </cell>
          <cell r="S472"/>
          <cell r="T472"/>
          <cell r="U472"/>
          <cell r="V472"/>
          <cell r="W472"/>
          <cell r="X472" t="str">
            <v>ExvVoltgRangErr</v>
          </cell>
        </row>
        <row r="473">
          <cell r="M473" t="str">
            <v>AGMNVMFlt</v>
          </cell>
          <cell r="N473">
            <v>1</v>
          </cell>
          <cell r="O473" t="str">
            <v>27</v>
          </cell>
          <cell r="P473"/>
          <cell r="Q473"/>
          <cell r="R473" t="str">
            <v>Unsigned</v>
          </cell>
          <cell r="S473"/>
          <cell r="T473"/>
          <cell r="U473"/>
          <cell r="V473"/>
          <cell r="W473"/>
          <cell r="X473" t="str">
            <v>Flt</v>
          </cell>
        </row>
        <row r="474">
          <cell r="M474" t="str">
            <v>GrlActTrqBoost</v>
          </cell>
          <cell r="N474">
            <v>4</v>
          </cell>
          <cell r="O474" t="str">
            <v>28</v>
          </cell>
          <cell r="P474"/>
          <cell r="Q474"/>
          <cell r="R474" t="str">
            <v>Unsigned</v>
          </cell>
          <cell r="S474"/>
          <cell r="T474"/>
          <cell r="U474"/>
          <cell r="V474"/>
          <cell r="W474"/>
          <cell r="X474" t="str">
            <v>TorqueBoost</v>
          </cell>
        </row>
        <row r="475">
          <cell r="M475" t="str">
            <v>GrlAutoCalibReq</v>
          </cell>
          <cell r="N475">
            <v>1</v>
          </cell>
          <cell r="O475" t="str">
            <v>23</v>
          </cell>
          <cell r="P475"/>
          <cell r="Q475"/>
          <cell r="R475" t="str">
            <v>Boolean</v>
          </cell>
          <cell r="S475"/>
          <cell r="T475"/>
          <cell r="U475"/>
          <cell r="V475"/>
          <cell r="W475"/>
          <cell r="X475" t="str">
            <v>Boolean</v>
          </cell>
        </row>
        <row r="476">
          <cell r="M476" t="str">
            <v>GrlHldTrqActive</v>
          </cell>
          <cell r="N476">
            <v>1</v>
          </cell>
          <cell r="O476" t="str">
            <v>23</v>
          </cell>
          <cell r="P476"/>
          <cell r="Q476"/>
          <cell r="R476" t="str">
            <v>Boolean</v>
          </cell>
          <cell r="S476"/>
          <cell r="T476"/>
          <cell r="U476"/>
          <cell r="V476"/>
          <cell r="W476"/>
          <cell r="X476" t="str">
            <v>Boolean</v>
          </cell>
        </row>
        <row r="477">
          <cell r="M477" t="str">
            <v>GrlShttrMoveActive</v>
          </cell>
          <cell r="N477">
            <v>1</v>
          </cell>
          <cell r="O477" t="str">
            <v>19</v>
          </cell>
          <cell r="P477"/>
          <cell r="Q477"/>
          <cell r="R477" t="str">
            <v>Unsigned</v>
          </cell>
          <cell r="S477"/>
          <cell r="T477"/>
          <cell r="U477"/>
          <cell r="V477"/>
          <cell r="W477"/>
          <cell r="X477" t="str">
            <v>VlvRunSts</v>
          </cell>
        </row>
        <row r="478">
          <cell r="M478" t="str">
            <v>GrlShttrOverVolt</v>
          </cell>
          <cell r="N478">
            <v>1</v>
          </cell>
          <cell r="O478" t="str">
            <v>17</v>
          </cell>
          <cell r="P478"/>
          <cell r="Q478"/>
          <cell r="R478" t="str">
            <v>Unsigned</v>
          </cell>
          <cell r="S478"/>
          <cell r="T478"/>
          <cell r="U478"/>
          <cell r="V478"/>
          <cell r="W478"/>
          <cell r="X478" t="str">
            <v>Flt</v>
          </cell>
        </row>
        <row r="479">
          <cell r="M479" t="str">
            <v>GrlShttrOvertravelErr</v>
          </cell>
          <cell r="N479">
            <v>1</v>
          </cell>
          <cell r="O479" t="str">
            <v>18</v>
          </cell>
          <cell r="P479"/>
          <cell r="Q479"/>
          <cell r="R479" t="str">
            <v>Unsigned</v>
          </cell>
          <cell r="S479"/>
          <cell r="T479"/>
          <cell r="U479"/>
          <cell r="V479"/>
          <cell r="W479"/>
          <cell r="X479" t="str">
            <v>Flt</v>
          </cell>
        </row>
        <row r="480">
          <cell r="M480" t="str">
            <v>GrlTrqBoostReq</v>
          </cell>
          <cell r="N480">
            <v>4</v>
          </cell>
          <cell r="O480" t="str">
            <v>12</v>
          </cell>
          <cell r="P480"/>
          <cell r="Q480"/>
          <cell r="R480" t="str">
            <v>Unsigned</v>
          </cell>
          <cell r="S480"/>
          <cell r="T480"/>
          <cell r="U480"/>
          <cell r="V480"/>
          <cell r="W480"/>
          <cell r="X480" t="str">
            <v>TorqueBoost</v>
          </cell>
        </row>
        <row r="481">
          <cell r="M481" t="str">
            <v>GrlShttrDmdShttrCalEna</v>
          </cell>
          <cell r="N481">
            <v>1</v>
          </cell>
          <cell r="O481" t="str">
            <v>8</v>
          </cell>
          <cell r="P481"/>
          <cell r="Q481"/>
          <cell r="R481" t="str">
            <v>Unsigned</v>
          </cell>
          <cell r="S481"/>
          <cell r="T481"/>
          <cell r="U481"/>
          <cell r="V481"/>
          <cell r="W481"/>
          <cell r="X481" t="str">
            <v>ShttrCalEna</v>
          </cell>
        </row>
        <row r="482">
          <cell r="M482" t="str">
            <v>GrlShttrDmdShttrPosnReq</v>
          </cell>
          <cell r="N482">
            <v>8</v>
          </cell>
          <cell r="O482" t="str">
            <v>0</v>
          </cell>
          <cell r="P482"/>
          <cell r="Q482"/>
          <cell r="R482" t="str">
            <v>Unsigned</v>
          </cell>
          <cell r="S482">
            <v>0</v>
          </cell>
          <cell r="T482">
            <v>255</v>
          </cell>
          <cell r="U482">
            <v>1</v>
          </cell>
          <cell r="V482">
            <v>0</v>
          </cell>
          <cell r="W482" t="str">
            <v>Unitless</v>
          </cell>
          <cell r="X482"/>
        </row>
        <row r="483">
          <cell r="M483" t="str">
            <v>GrlShttrStsShttrActrFlt</v>
          </cell>
          <cell r="N483">
            <v>1</v>
          </cell>
          <cell r="O483" t="str">
            <v>15</v>
          </cell>
          <cell r="P483"/>
          <cell r="Q483"/>
          <cell r="R483" t="str">
            <v>Unsigned</v>
          </cell>
          <cell r="S483"/>
          <cell r="T483"/>
          <cell r="U483"/>
          <cell r="V483"/>
          <cell r="W483"/>
          <cell r="X483" t="str">
            <v>ShttrActrFlt</v>
          </cell>
        </row>
        <row r="484">
          <cell r="M484" t="str">
            <v>GrlShttrStsShttrBlkd</v>
          </cell>
          <cell r="N484">
            <v>1</v>
          </cell>
          <cell r="O484" t="str">
            <v>14</v>
          </cell>
          <cell r="P484"/>
          <cell r="Q484"/>
          <cell r="R484" t="str">
            <v>Unsigned</v>
          </cell>
          <cell r="S484"/>
          <cell r="T484"/>
          <cell r="U484"/>
          <cell r="V484"/>
          <cell r="W484"/>
          <cell r="X484" t="str">
            <v>ShttrBlkd</v>
          </cell>
        </row>
        <row r="485">
          <cell r="M485" t="str">
            <v>GrlShttrStsShttrCalActv</v>
          </cell>
          <cell r="N485">
            <v>1</v>
          </cell>
          <cell r="O485" t="str">
            <v>13</v>
          </cell>
          <cell r="P485"/>
          <cell r="Q485"/>
          <cell r="R485" t="str">
            <v>Unsigned</v>
          </cell>
          <cell r="S485"/>
          <cell r="T485"/>
          <cell r="U485"/>
          <cell r="V485"/>
          <cell r="W485"/>
          <cell r="X485" t="str">
            <v>ShttrCalActv</v>
          </cell>
        </row>
        <row r="486">
          <cell r="M486" t="str">
            <v>GrlShttrStsShttrCalIndcd</v>
          </cell>
          <cell r="N486">
            <v>1</v>
          </cell>
          <cell r="O486" t="str">
            <v>12</v>
          </cell>
          <cell r="P486"/>
          <cell r="Q486"/>
          <cell r="R486" t="str">
            <v>Unsigned</v>
          </cell>
          <cell r="S486"/>
          <cell r="T486"/>
          <cell r="U486"/>
          <cell r="V486"/>
          <cell r="W486"/>
          <cell r="X486" t="str">
            <v>ShttrCalIndcd</v>
          </cell>
        </row>
        <row r="487">
          <cell r="M487" t="str">
            <v>GrlShttrStsShttrElecErr</v>
          </cell>
          <cell r="N487">
            <v>1</v>
          </cell>
          <cell r="O487" t="str">
            <v>11</v>
          </cell>
          <cell r="P487"/>
          <cell r="Q487"/>
          <cell r="R487" t="str">
            <v>Unsigned</v>
          </cell>
          <cell r="S487"/>
          <cell r="T487"/>
          <cell r="U487"/>
          <cell r="V487"/>
          <cell r="W487"/>
          <cell r="X487" t="str">
            <v>ShttrElecErr</v>
          </cell>
        </row>
        <row r="488">
          <cell r="M488" t="str">
            <v>GrlShttrStsShttrPosnRaw</v>
          </cell>
          <cell r="N488">
            <v>8</v>
          </cell>
          <cell r="O488" t="str">
            <v>0</v>
          </cell>
          <cell r="P488"/>
          <cell r="Q488"/>
          <cell r="R488" t="str">
            <v>Unsigned</v>
          </cell>
          <cell r="S488">
            <v>0</v>
          </cell>
          <cell r="T488">
            <v>255</v>
          </cell>
          <cell r="U488">
            <v>1</v>
          </cell>
          <cell r="V488">
            <v>0</v>
          </cell>
          <cell r="W488" t="str">
            <v>Unitless</v>
          </cell>
          <cell r="X488"/>
        </row>
        <row r="489">
          <cell r="M489" t="str">
            <v>GrlShttrStsShttrSnsrFlt</v>
          </cell>
          <cell r="N489">
            <v>1</v>
          </cell>
          <cell r="O489" t="str">
            <v>10</v>
          </cell>
          <cell r="P489"/>
          <cell r="Q489"/>
          <cell r="R489" t="str">
            <v>Unsigned</v>
          </cell>
          <cell r="S489"/>
          <cell r="T489"/>
          <cell r="U489"/>
          <cell r="V489"/>
          <cell r="W489"/>
          <cell r="X489" t="str">
            <v>ShttrSnsrFlt</v>
          </cell>
        </row>
        <row r="490">
          <cell r="M490" t="str">
            <v>GrlShttrStsShttrTErr</v>
          </cell>
          <cell r="N490">
            <v>1</v>
          </cell>
          <cell r="O490" t="str">
            <v>9</v>
          </cell>
          <cell r="P490"/>
          <cell r="Q490"/>
          <cell r="R490" t="str">
            <v>Unsigned</v>
          </cell>
          <cell r="S490"/>
          <cell r="T490"/>
          <cell r="U490"/>
          <cell r="V490"/>
          <cell r="W490"/>
          <cell r="X490" t="str">
            <v>ShttrTErr</v>
          </cell>
        </row>
        <row r="491">
          <cell r="M491" t="str">
            <v>GrlShttrStsShttrULoErr</v>
          </cell>
          <cell r="N491">
            <v>1</v>
          </cell>
          <cell r="O491" t="str">
            <v>8</v>
          </cell>
          <cell r="P491"/>
          <cell r="Q491"/>
          <cell r="R491" t="str">
            <v>Unsigned</v>
          </cell>
          <cell r="S491"/>
          <cell r="T491"/>
          <cell r="U491"/>
          <cell r="V491"/>
          <cell r="W491"/>
          <cell r="X491" t="str">
            <v>ShttrULoErr</v>
          </cell>
        </row>
        <row r="492">
          <cell r="M492" t="str">
            <v>AFUGenErr</v>
          </cell>
          <cell r="N492">
            <v>1</v>
          </cell>
          <cell r="O492" t="str">
            <v>45</v>
          </cell>
          <cell r="P492"/>
          <cell r="Q492"/>
          <cell r="R492" t="str">
            <v>Unsigned</v>
          </cell>
          <cell r="S492"/>
          <cell r="T492"/>
          <cell r="U492"/>
          <cell r="V492"/>
          <cell r="W492"/>
          <cell r="X492" t="str">
            <v>OnOff1</v>
          </cell>
        </row>
        <row r="493">
          <cell r="M493" t="str">
            <v>AirFragActEnad</v>
          </cell>
          <cell r="N493">
            <v>1</v>
          </cell>
          <cell r="O493" t="str">
            <v>61</v>
          </cell>
          <cell r="P493"/>
          <cell r="Q493"/>
          <cell r="R493" t="str">
            <v>Unsigned</v>
          </cell>
          <cell r="S493"/>
          <cell r="T493"/>
          <cell r="U493"/>
          <cell r="V493"/>
          <cell r="W493"/>
          <cell r="X493" t="str">
            <v>OnOff1</v>
          </cell>
        </row>
        <row r="494">
          <cell r="M494" t="str">
            <v>AirFragCh1</v>
          </cell>
          <cell r="N494">
            <v>1</v>
          </cell>
          <cell r="O494" t="str">
            <v>40</v>
          </cell>
          <cell r="P494"/>
          <cell r="Q494"/>
          <cell r="R494" t="str">
            <v>Unsigned</v>
          </cell>
          <cell r="S494"/>
          <cell r="T494"/>
          <cell r="U494"/>
          <cell r="V494"/>
          <cell r="W494"/>
          <cell r="X494" t="str">
            <v>OnOff1</v>
          </cell>
        </row>
        <row r="495">
          <cell r="M495" t="str">
            <v>AirFragCh1AvlTi</v>
          </cell>
          <cell r="N495">
            <v>9</v>
          </cell>
          <cell r="O495" t="str">
            <v>0</v>
          </cell>
          <cell r="P495"/>
          <cell r="Q495"/>
          <cell r="R495" t="str">
            <v>Unsigned</v>
          </cell>
          <cell r="S495">
            <v>0</v>
          </cell>
          <cell r="T495">
            <v>360</v>
          </cell>
          <cell r="U495">
            <v>1</v>
          </cell>
          <cell r="V495">
            <v>0</v>
          </cell>
          <cell r="W495" t="str">
            <v>hours</v>
          </cell>
          <cell r="X495"/>
        </row>
        <row r="496">
          <cell r="M496" t="str">
            <v>AirFragCh1RunngSts</v>
          </cell>
          <cell r="N496">
            <v>1</v>
          </cell>
          <cell r="O496" t="str">
            <v>40</v>
          </cell>
          <cell r="P496"/>
          <cell r="Q496"/>
          <cell r="R496" t="str">
            <v>Unsigned</v>
          </cell>
          <cell r="S496"/>
          <cell r="T496"/>
          <cell r="U496"/>
          <cell r="V496"/>
          <cell r="W496"/>
          <cell r="X496" t="str">
            <v>OnOff1</v>
          </cell>
        </row>
        <row r="497">
          <cell r="M497" t="str">
            <v>AirFragCh1Type</v>
          </cell>
          <cell r="N497">
            <v>8</v>
          </cell>
          <cell r="O497" t="str">
            <v>0</v>
          </cell>
          <cell r="P497"/>
          <cell r="Q497"/>
          <cell r="R497" t="str">
            <v>Unsigned</v>
          </cell>
          <cell r="S497"/>
          <cell r="T497"/>
          <cell r="U497"/>
          <cell r="V497"/>
          <cell r="W497"/>
          <cell r="X497"/>
        </row>
        <row r="498">
          <cell r="M498" t="str">
            <v>AirFragCh2</v>
          </cell>
          <cell r="N498">
            <v>1</v>
          </cell>
          <cell r="O498" t="str">
            <v>41</v>
          </cell>
          <cell r="P498"/>
          <cell r="Q498"/>
          <cell r="R498" t="str">
            <v>Unsigned</v>
          </cell>
          <cell r="S498"/>
          <cell r="T498"/>
          <cell r="U498"/>
          <cell r="V498"/>
          <cell r="W498"/>
          <cell r="X498" t="str">
            <v>OnOff1</v>
          </cell>
        </row>
        <row r="499">
          <cell r="M499" t="str">
            <v>AirFragCh2AvlTi</v>
          </cell>
          <cell r="N499">
            <v>9</v>
          </cell>
          <cell r="O499" t="str">
            <v>9</v>
          </cell>
          <cell r="P499"/>
          <cell r="Q499"/>
          <cell r="R499" t="str">
            <v>Unsigned</v>
          </cell>
          <cell r="S499">
            <v>0</v>
          </cell>
          <cell r="T499">
            <v>360</v>
          </cell>
          <cell r="U499">
            <v>1</v>
          </cell>
          <cell r="V499">
            <v>0</v>
          </cell>
          <cell r="W499" t="str">
            <v>hours</v>
          </cell>
          <cell r="X499"/>
        </row>
        <row r="500">
          <cell r="M500" t="str">
            <v>AirFragCh2RunngSts</v>
          </cell>
          <cell r="N500">
            <v>1</v>
          </cell>
          <cell r="O500" t="str">
            <v>41</v>
          </cell>
          <cell r="P500"/>
          <cell r="Q500"/>
          <cell r="R500" t="str">
            <v>Unsigned</v>
          </cell>
          <cell r="S500"/>
          <cell r="T500"/>
          <cell r="U500"/>
          <cell r="V500"/>
          <cell r="W500"/>
          <cell r="X500" t="str">
            <v>OnOff1</v>
          </cell>
        </row>
        <row r="501">
          <cell r="M501" t="str">
            <v>AirFragCh2Type</v>
          </cell>
          <cell r="N501">
            <v>8</v>
          </cell>
          <cell r="O501" t="str">
            <v>8</v>
          </cell>
          <cell r="P501"/>
          <cell r="Q501"/>
          <cell r="R501" t="str">
            <v>Unsigned</v>
          </cell>
          <cell r="S501"/>
          <cell r="T501"/>
          <cell r="U501"/>
          <cell r="V501"/>
          <cell r="W501"/>
          <cell r="X501"/>
        </row>
        <row r="502">
          <cell r="M502" t="str">
            <v>AirFragCh3</v>
          </cell>
          <cell r="N502">
            <v>1</v>
          </cell>
          <cell r="O502" t="str">
            <v>42</v>
          </cell>
          <cell r="P502"/>
          <cell r="Q502"/>
          <cell r="R502" t="str">
            <v>Unsigned</v>
          </cell>
          <cell r="S502"/>
          <cell r="T502"/>
          <cell r="U502"/>
          <cell r="V502"/>
          <cell r="W502"/>
          <cell r="X502" t="str">
            <v>OnOff1</v>
          </cell>
        </row>
        <row r="503">
          <cell r="M503" t="str">
            <v>AirFragCh3AvlTi</v>
          </cell>
          <cell r="N503">
            <v>9</v>
          </cell>
          <cell r="O503" t="str">
            <v>18</v>
          </cell>
          <cell r="P503"/>
          <cell r="Q503"/>
          <cell r="R503" t="str">
            <v>Unsigned</v>
          </cell>
          <cell r="S503">
            <v>0</v>
          </cell>
          <cell r="T503">
            <v>360</v>
          </cell>
          <cell r="U503">
            <v>1</v>
          </cell>
          <cell r="V503">
            <v>0</v>
          </cell>
          <cell r="W503" t="str">
            <v>hours</v>
          </cell>
          <cell r="X503"/>
        </row>
        <row r="504">
          <cell r="M504" t="str">
            <v>AirFragCh3RunngSts</v>
          </cell>
          <cell r="N504">
            <v>1</v>
          </cell>
          <cell r="O504" t="str">
            <v>42</v>
          </cell>
          <cell r="P504"/>
          <cell r="Q504"/>
          <cell r="R504" t="str">
            <v>Unsigned</v>
          </cell>
          <cell r="S504"/>
          <cell r="T504"/>
          <cell r="U504"/>
          <cell r="V504"/>
          <cell r="W504"/>
          <cell r="X504" t="str">
            <v>OnOff1</v>
          </cell>
        </row>
        <row r="505">
          <cell r="M505" t="str">
            <v>AirFragCh3Type</v>
          </cell>
          <cell r="N505">
            <v>8</v>
          </cell>
          <cell r="O505" t="str">
            <v>16</v>
          </cell>
          <cell r="P505"/>
          <cell r="Q505"/>
          <cell r="R505" t="str">
            <v>Unsigned</v>
          </cell>
          <cell r="S505"/>
          <cell r="T505"/>
          <cell r="U505"/>
          <cell r="V505"/>
          <cell r="W505"/>
          <cell r="X505"/>
        </row>
        <row r="506">
          <cell r="M506" t="str">
            <v>AirFragCh4</v>
          </cell>
          <cell r="N506">
            <v>1</v>
          </cell>
          <cell r="O506" t="str">
            <v>43</v>
          </cell>
          <cell r="P506"/>
          <cell r="Q506"/>
          <cell r="R506" t="str">
            <v>Unsigned</v>
          </cell>
          <cell r="S506"/>
          <cell r="T506"/>
          <cell r="U506"/>
          <cell r="V506"/>
          <cell r="W506"/>
          <cell r="X506" t="str">
            <v>OnOff1</v>
          </cell>
        </row>
        <row r="507">
          <cell r="M507" t="str">
            <v>AirFragCh4AvlTi</v>
          </cell>
          <cell r="N507">
            <v>9</v>
          </cell>
          <cell r="O507" t="str">
            <v>27</v>
          </cell>
          <cell r="P507"/>
          <cell r="Q507"/>
          <cell r="R507" t="str">
            <v>Unsigned</v>
          </cell>
          <cell r="S507">
            <v>0</v>
          </cell>
          <cell r="T507">
            <v>360</v>
          </cell>
          <cell r="U507">
            <v>1</v>
          </cell>
          <cell r="V507">
            <v>0</v>
          </cell>
          <cell r="W507" t="str">
            <v>hours</v>
          </cell>
          <cell r="X507"/>
        </row>
        <row r="508">
          <cell r="M508" t="str">
            <v>AirFragCh4RunngSts</v>
          </cell>
          <cell r="N508">
            <v>1</v>
          </cell>
          <cell r="O508" t="str">
            <v>56</v>
          </cell>
          <cell r="P508"/>
          <cell r="Q508"/>
          <cell r="R508" t="str">
            <v>Unsigned</v>
          </cell>
          <cell r="S508"/>
          <cell r="T508"/>
          <cell r="U508"/>
          <cell r="V508"/>
          <cell r="W508"/>
          <cell r="X508" t="str">
            <v>OnOff1</v>
          </cell>
        </row>
        <row r="509">
          <cell r="M509" t="str">
            <v>AirFragCh4Type</v>
          </cell>
          <cell r="N509">
            <v>8</v>
          </cell>
          <cell r="O509" t="str">
            <v>24</v>
          </cell>
          <cell r="P509"/>
          <cell r="Q509"/>
          <cell r="R509" t="str">
            <v>Unsigned</v>
          </cell>
          <cell r="S509"/>
          <cell r="T509"/>
          <cell r="U509"/>
          <cell r="V509"/>
          <cell r="W509"/>
          <cell r="X509"/>
        </row>
        <row r="510">
          <cell r="M510" t="str">
            <v>AirFragCh5</v>
          </cell>
          <cell r="N510">
            <v>1</v>
          </cell>
          <cell r="O510" t="str">
            <v>44</v>
          </cell>
          <cell r="P510"/>
          <cell r="Q510"/>
          <cell r="R510" t="str">
            <v>Unsigned</v>
          </cell>
          <cell r="S510"/>
          <cell r="T510"/>
          <cell r="U510"/>
          <cell r="V510"/>
          <cell r="W510"/>
          <cell r="X510" t="str">
            <v>OnOff1</v>
          </cell>
        </row>
        <row r="511">
          <cell r="M511" t="str">
            <v>AirFragCh5AvlTi</v>
          </cell>
          <cell r="N511">
            <v>9</v>
          </cell>
          <cell r="O511" t="str">
            <v>36</v>
          </cell>
          <cell r="P511"/>
          <cell r="Q511"/>
          <cell r="R511" t="str">
            <v>Unsigned</v>
          </cell>
          <cell r="S511">
            <v>0</v>
          </cell>
          <cell r="T511">
            <v>360</v>
          </cell>
          <cell r="U511">
            <v>1</v>
          </cell>
          <cell r="V511">
            <v>0</v>
          </cell>
          <cell r="W511" t="str">
            <v>hours</v>
          </cell>
          <cell r="X511"/>
        </row>
        <row r="512">
          <cell r="M512" t="str">
            <v>AirFragCh5RunngSts</v>
          </cell>
          <cell r="N512">
            <v>1</v>
          </cell>
          <cell r="O512" t="str">
            <v>60</v>
          </cell>
          <cell r="P512"/>
          <cell r="Q512"/>
          <cell r="R512" t="str">
            <v>Unsigned</v>
          </cell>
          <cell r="S512"/>
          <cell r="T512"/>
          <cell r="U512"/>
          <cell r="V512"/>
          <cell r="W512"/>
          <cell r="X512" t="str">
            <v>OnOff1</v>
          </cell>
        </row>
        <row r="513">
          <cell r="M513" t="str">
            <v>AirFragCh5Type</v>
          </cell>
          <cell r="N513">
            <v>8</v>
          </cell>
          <cell r="O513" t="str">
            <v>32</v>
          </cell>
          <cell r="P513"/>
          <cell r="Q513"/>
          <cell r="R513" t="str">
            <v>Unsigned</v>
          </cell>
          <cell r="S513"/>
          <cell r="T513"/>
          <cell r="U513"/>
          <cell r="V513"/>
          <cell r="W513"/>
          <cell r="X513"/>
        </row>
        <row r="514">
          <cell r="M514" t="str">
            <v>AirFragChgSts</v>
          </cell>
          <cell r="N514">
            <v>2</v>
          </cell>
          <cell r="O514" t="str">
            <v>45</v>
          </cell>
          <cell r="P514"/>
          <cell r="Q514"/>
          <cell r="R514" t="str">
            <v>Unsigned</v>
          </cell>
          <cell r="S514"/>
          <cell r="T514"/>
          <cell r="U514"/>
          <cell r="V514"/>
          <cell r="W514"/>
          <cell r="X514" t="str">
            <v>ChagSts</v>
          </cell>
        </row>
        <row r="515">
          <cell r="M515" t="str">
            <v>AirFragConcReq</v>
          </cell>
          <cell r="N515">
            <v>2</v>
          </cell>
          <cell r="O515" t="str">
            <v>62</v>
          </cell>
          <cell r="P515"/>
          <cell r="Q515"/>
          <cell r="R515" t="str">
            <v>Unsigned</v>
          </cell>
          <cell r="S515"/>
          <cell r="T515"/>
          <cell r="U515"/>
          <cell r="V515"/>
          <cell r="W515"/>
          <cell r="X515" t="str">
            <v>ReqFragLvlTelm</v>
          </cell>
        </row>
        <row r="516">
          <cell r="M516" t="str">
            <v>AirFragFanErr</v>
          </cell>
          <cell r="N516">
            <v>1</v>
          </cell>
          <cell r="O516" t="str">
            <v>40</v>
          </cell>
          <cell r="P516"/>
          <cell r="Q516"/>
          <cell r="R516" t="str">
            <v>Unsigned</v>
          </cell>
          <cell r="S516"/>
          <cell r="T516"/>
          <cell r="U516"/>
          <cell r="V516"/>
          <cell r="W516"/>
          <cell r="X516" t="str">
            <v>Err1</v>
          </cell>
        </row>
        <row r="517">
          <cell r="M517" t="str">
            <v>AirFragInitSts</v>
          </cell>
          <cell r="N517">
            <v>2</v>
          </cell>
          <cell r="O517" t="str">
            <v>41</v>
          </cell>
          <cell r="P517"/>
          <cell r="Q517"/>
          <cell r="R517" t="str">
            <v>Unsigned</v>
          </cell>
          <cell r="S517"/>
          <cell r="T517"/>
          <cell r="U517"/>
          <cell r="V517"/>
          <cell r="W517"/>
          <cell r="X517" t="str">
            <v>InitSts</v>
          </cell>
        </row>
        <row r="518">
          <cell r="M518" t="str">
            <v>AirFragLvlRspn</v>
          </cell>
          <cell r="N518">
            <v>2</v>
          </cell>
          <cell r="O518" t="str">
            <v>48</v>
          </cell>
          <cell r="P518"/>
          <cell r="Q518"/>
          <cell r="R518" t="str">
            <v>Unsigned</v>
          </cell>
          <cell r="S518"/>
          <cell r="T518"/>
          <cell r="U518"/>
          <cell r="V518"/>
          <cell r="W518"/>
          <cell r="X518" t="str">
            <v>RatUse</v>
          </cell>
        </row>
        <row r="519">
          <cell r="M519" t="str">
            <v>AirFragMot1Err</v>
          </cell>
          <cell r="N519">
            <v>1</v>
          </cell>
          <cell r="O519" t="str">
            <v>43</v>
          </cell>
          <cell r="P519"/>
          <cell r="Q519"/>
          <cell r="R519" t="str">
            <v>Unsigned</v>
          </cell>
          <cell r="S519"/>
          <cell r="T519"/>
          <cell r="U519"/>
          <cell r="V519"/>
          <cell r="W519"/>
          <cell r="X519" t="str">
            <v>Err1</v>
          </cell>
        </row>
        <row r="520">
          <cell r="M520" t="str">
            <v>AirFragMot2Err</v>
          </cell>
          <cell r="N520">
            <v>1</v>
          </cell>
          <cell r="O520" t="str">
            <v>56</v>
          </cell>
          <cell r="P520"/>
          <cell r="Q520"/>
          <cell r="R520" t="str">
            <v>Unsigned</v>
          </cell>
          <cell r="S520"/>
          <cell r="T520"/>
          <cell r="U520"/>
          <cell r="V520"/>
          <cell r="W520"/>
          <cell r="X520" t="str">
            <v>Err1</v>
          </cell>
        </row>
        <row r="521">
          <cell r="M521" t="str">
            <v>AirFragMot3Err</v>
          </cell>
          <cell r="N521">
            <v>1</v>
          </cell>
          <cell r="O521" t="str">
            <v>57</v>
          </cell>
          <cell r="P521"/>
          <cell r="Q521"/>
          <cell r="R521" t="str">
            <v>Unsigned</v>
          </cell>
          <cell r="S521"/>
          <cell r="T521"/>
          <cell r="U521"/>
          <cell r="V521"/>
          <cell r="W521"/>
          <cell r="X521" t="str">
            <v>Err1</v>
          </cell>
        </row>
        <row r="522">
          <cell r="M522" t="str">
            <v>AirFragMot4Err</v>
          </cell>
          <cell r="N522">
            <v>1</v>
          </cell>
          <cell r="O522" t="str">
            <v>58</v>
          </cell>
          <cell r="P522"/>
          <cell r="Q522"/>
          <cell r="R522" t="str">
            <v>Unsigned</v>
          </cell>
          <cell r="S522"/>
          <cell r="T522"/>
          <cell r="U522"/>
          <cell r="V522"/>
          <cell r="W522"/>
          <cell r="X522" t="str">
            <v>Err1</v>
          </cell>
        </row>
        <row r="523">
          <cell r="M523" t="str">
            <v>AirFragMot5Err</v>
          </cell>
          <cell r="N523">
            <v>1</v>
          </cell>
          <cell r="O523" t="str">
            <v>59</v>
          </cell>
          <cell r="P523"/>
          <cell r="Q523"/>
          <cell r="R523" t="str">
            <v>Unsigned</v>
          </cell>
          <cell r="S523"/>
          <cell r="T523"/>
          <cell r="U523"/>
          <cell r="V523"/>
          <cell r="W523"/>
          <cell r="X523" t="str">
            <v>Err1</v>
          </cell>
        </row>
        <row r="524">
          <cell r="M524" t="str">
            <v>AirFragOvrVoltErr</v>
          </cell>
          <cell r="N524">
            <v>1</v>
          </cell>
          <cell r="O524" t="str">
            <v>52</v>
          </cell>
          <cell r="P524"/>
          <cell r="Q524"/>
          <cell r="R524" t="str">
            <v>Unsigned</v>
          </cell>
          <cell r="S524"/>
          <cell r="T524"/>
          <cell r="U524"/>
          <cell r="V524"/>
          <cell r="W524"/>
          <cell r="X524" t="str">
            <v>Err1</v>
          </cell>
        </row>
        <row r="525">
          <cell r="M525" t="str">
            <v>AirFragTempErr</v>
          </cell>
          <cell r="N525">
            <v>2</v>
          </cell>
          <cell r="O525" t="str">
            <v>60</v>
          </cell>
          <cell r="P525"/>
          <cell r="Q525"/>
          <cell r="R525" t="str">
            <v>Unsigned</v>
          </cell>
          <cell r="S525"/>
          <cell r="T525"/>
          <cell r="U525"/>
          <cell r="V525"/>
          <cell r="W525"/>
          <cell r="X525" t="str">
            <v>TempErr</v>
          </cell>
        </row>
        <row r="526">
          <cell r="M526" t="str">
            <v>AirFragUndVoltErr</v>
          </cell>
          <cell r="N526">
            <v>1</v>
          </cell>
          <cell r="O526" t="str">
            <v>63</v>
          </cell>
          <cell r="P526"/>
          <cell r="Q526"/>
          <cell r="R526" t="str">
            <v>Unsigned</v>
          </cell>
          <cell r="S526"/>
          <cell r="T526"/>
          <cell r="U526"/>
          <cell r="V526"/>
          <cell r="W526"/>
          <cell r="X526" t="str">
            <v>Err1</v>
          </cell>
        </row>
        <row r="527">
          <cell r="M527" t="str">
            <v>CmpmtInAirPmAQI</v>
          </cell>
          <cell r="N527">
            <v>3</v>
          </cell>
          <cell r="O527" t="str">
            <v>11</v>
          </cell>
          <cell r="P527"/>
          <cell r="Q527"/>
          <cell r="R527" t="str">
            <v>Unsigned</v>
          </cell>
          <cell r="S527"/>
          <cell r="T527"/>
          <cell r="U527"/>
          <cell r="V527"/>
          <cell r="W527"/>
          <cell r="X527" t="str">
            <v>CmpmtAirPmLvl</v>
          </cell>
        </row>
        <row r="528">
          <cell r="M528" t="str">
            <v>CmpmtInAirPmDnsty</v>
          </cell>
          <cell r="N528">
            <v>10</v>
          </cell>
          <cell r="O528" t="str">
            <v>0</v>
          </cell>
          <cell r="P528"/>
          <cell r="Q528"/>
          <cell r="R528" t="str">
            <v>Unsigned</v>
          </cell>
          <cell r="S528"/>
          <cell r="T528"/>
          <cell r="U528"/>
          <cell r="V528"/>
          <cell r="W528"/>
          <cell r="X528"/>
        </row>
        <row r="529">
          <cell r="M529" t="str">
            <v>HvacAirMFlowVent</v>
          </cell>
          <cell r="N529">
            <v>10</v>
          </cell>
          <cell r="O529" t="str">
            <v>0</v>
          </cell>
          <cell r="P529"/>
          <cell r="Q529"/>
          <cell r="R529" t="str">
            <v>Unsigned</v>
          </cell>
          <cell r="S529">
            <v>0</v>
          </cell>
          <cell r="T529">
            <v>1000</v>
          </cell>
          <cell r="U529">
            <v>1</v>
          </cell>
          <cell r="V529">
            <v>0</v>
          </cell>
          <cell r="W529" t="str">
            <v>Kg / h</v>
          </cell>
          <cell r="X529"/>
        </row>
        <row r="530">
          <cell r="M530" t="str">
            <v>HvacRecircAct</v>
          </cell>
          <cell r="N530">
            <v>7</v>
          </cell>
          <cell r="O530" t="str">
            <v>16</v>
          </cell>
          <cell r="P530"/>
          <cell r="Q530"/>
          <cell r="R530" t="str">
            <v>Unsigned</v>
          </cell>
          <cell r="S530"/>
          <cell r="T530"/>
          <cell r="U530"/>
          <cell r="V530"/>
          <cell r="W530"/>
          <cell r="X530"/>
        </row>
        <row r="531">
          <cell r="M531" t="str">
            <v>InPm25FanErr</v>
          </cell>
          <cell r="N531">
            <v>2</v>
          </cell>
          <cell r="O531" t="str">
            <v>26</v>
          </cell>
          <cell r="P531"/>
          <cell r="Q531"/>
          <cell r="R531" t="str">
            <v>Unsigned</v>
          </cell>
          <cell r="S531"/>
          <cell r="T531"/>
          <cell r="U531"/>
          <cell r="V531"/>
          <cell r="W531"/>
          <cell r="X531" t="str">
            <v>FanErr</v>
          </cell>
        </row>
        <row r="532">
          <cell r="M532" t="str">
            <v>InPm25SensrIntErr</v>
          </cell>
          <cell r="N532">
            <v>2</v>
          </cell>
          <cell r="O532" t="str">
            <v>24</v>
          </cell>
          <cell r="P532"/>
          <cell r="Q532"/>
          <cell r="R532" t="str">
            <v>Unsigned</v>
          </cell>
          <cell r="S532"/>
          <cell r="T532"/>
          <cell r="U532"/>
          <cell r="V532"/>
          <cell r="W532"/>
          <cell r="X532" t="str">
            <v>VentnActr01UrgcExist</v>
          </cell>
        </row>
        <row r="533">
          <cell r="M533" t="str">
            <v>InPm25SnrTempErr</v>
          </cell>
          <cell r="N533">
            <v>2</v>
          </cell>
          <cell r="O533" t="str">
            <v>20</v>
          </cell>
          <cell r="P533"/>
          <cell r="Q533"/>
          <cell r="R533" t="str">
            <v>Unsigned</v>
          </cell>
          <cell r="S533"/>
          <cell r="T533"/>
          <cell r="U533"/>
          <cell r="V533"/>
          <cell r="W533"/>
          <cell r="X533" t="str">
            <v>TempErr</v>
          </cell>
        </row>
        <row r="534">
          <cell r="M534" t="str">
            <v>InPm25SnrVoltgRangErr</v>
          </cell>
          <cell r="N534">
            <v>2</v>
          </cell>
          <cell r="O534" t="str">
            <v>14</v>
          </cell>
          <cell r="P534"/>
          <cell r="Q534"/>
          <cell r="R534" t="str">
            <v>Unsigned</v>
          </cell>
          <cell r="S534"/>
          <cell r="T534"/>
          <cell r="U534"/>
          <cell r="V534"/>
          <cell r="W534"/>
          <cell r="X534" t="str">
            <v>PmSnrVoltgRangErr</v>
          </cell>
        </row>
        <row r="535">
          <cell r="M535" t="str">
            <v>InPm25SnsrActnReq</v>
          </cell>
          <cell r="N535">
            <v>1</v>
          </cell>
          <cell r="O535" t="str">
            <v>60</v>
          </cell>
          <cell r="P535"/>
          <cell r="Q535"/>
          <cell r="R535" t="str">
            <v>Unsigned</v>
          </cell>
          <cell r="S535"/>
          <cell r="T535"/>
          <cell r="U535"/>
          <cell r="V535"/>
          <cell r="W535"/>
          <cell r="X535" t="str">
            <v>OnOff1</v>
          </cell>
        </row>
        <row r="536">
          <cell r="M536" t="str">
            <v>InPm25SnsrElecErr</v>
          </cell>
          <cell r="N536">
            <v>2</v>
          </cell>
          <cell r="O536" t="str">
            <v>16</v>
          </cell>
          <cell r="P536"/>
          <cell r="Q536"/>
          <cell r="R536" t="str">
            <v>Unsigned</v>
          </cell>
          <cell r="S536"/>
          <cell r="T536"/>
          <cell r="U536"/>
          <cell r="V536"/>
          <cell r="W536"/>
          <cell r="X536" t="str">
            <v>PmSnsrErrSts</v>
          </cell>
        </row>
        <row r="537">
          <cell r="M537" t="str">
            <v>InPm25SnsrSts</v>
          </cell>
          <cell r="N537">
            <v>2</v>
          </cell>
          <cell r="O537" t="str">
            <v>18</v>
          </cell>
          <cell r="P537"/>
          <cell r="Q537"/>
          <cell r="R537" t="str">
            <v>Unsigned</v>
          </cell>
          <cell r="S537"/>
          <cell r="T537"/>
          <cell r="U537"/>
          <cell r="V537"/>
          <cell r="W537"/>
          <cell r="X537" t="str">
            <v>PmSnsrSts</v>
          </cell>
        </row>
        <row r="538">
          <cell r="M538" t="str">
            <v>CmptmtAirTEstimdExtdComptmtT</v>
          </cell>
          <cell r="N538">
            <v>11</v>
          </cell>
          <cell r="O538" t="str">
            <v>0</v>
          </cell>
          <cell r="P538"/>
          <cell r="Q538"/>
          <cell r="R538" t="str">
            <v>Unsigned</v>
          </cell>
          <cell r="S538">
            <v>-60</v>
          </cell>
          <cell r="T538">
            <v>125</v>
          </cell>
          <cell r="U538">
            <v>0.1</v>
          </cell>
          <cell r="V538">
            <v>-60</v>
          </cell>
          <cell r="W538" t="str">
            <v>degC</v>
          </cell>
          <cell r="X538"/>
        </row>
        <row r="539">
          <cell r="M539" t="str">
            <v>CmptmtAirTEstimdExtdQlyFlg</v>
          </cell>
          <cell r="N539">
            <v>2</v>
          </cell>
          <cell r="O539" t="str">
            <v>11</v>
          </cell>
          <cell r="P539"/>
          <cell r="Q539"/>
          <cell r="R539" t="str">
            <v>Unsigned</v>
          </cell>
          <cell r="S539"/>
          <cell r="T539"/>
          <cell r="U539"/>
          <cell r="V539"/>
          <cell r="W539"/>
          <cell r="X539" t="str">
            <v>GenQf1</v>
          </cell>
        </row>
        <row r="540">
          <cell r="M540" t="str">
            <v>VehMktForPmSnsrAirMtrlSnsrReq</v>
          </cell>
          <cell r="N540">
            <v>2</v>
          </cell>
          <cell r="O540" t="str">
            <v>53</v>
          </cell>
          <cell r="P540"/>
          <cell r="Q540"/>
          <cell r="R540" t="str">
            <v>Unsigned</v>
          </cell>
          <cell r="S540"/>
          <cell r="T540"/>
          <cell r="U540"/>
          <cell r="V540"/>
          <cell r="W540"/>
          <cell r="X540" t="str">
            <v>AirMtrlSnsrReq</v>
          </cell>
        </row>
        <row r="541">
          <cell r="M541" t="str">
            <v>VehMktForPmSnsrVehMktGlb</v>
          </cell>
          <cell r="N541">
            <v>5</v>
          </cell>
          <cell r="O541" t="str">
            <v>48</v>
          </cell>
          <cell r="P541"/>
          <cell r="Q541"/>
          <cell r="R541" t="str">
            <v>Unsigned</v>
          </cell>
          <cell r="S541"/>
          <cell r="T541"/>
          <cell r="U541"/>
          <cell r="V541"/>
          <cell r="W541"/>
          <cell r="X541" t="str">
            <v>VehGlb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14C1-49A2-4E77-B7A0-06A98CC5D4ED}">
  <dimension ref="A1:D22"/>
  <sheetViews>
    <sheetView topLeftCell="A16" workbookViewId="0">
      <selection activeCell="C20" sqref="C20"/>
    </sheetView>
  </sheetViews>
  <sheetFormatPr defaultRowHeight="15" customHeight="1"/>
  <cols>
    <col min="1" max="1" width="10.88671875" bestFit="1" customWidth="1"/>
    <col min="2" max="2" width="13.33203125" customWidth="1"/>
    <col min="3" max="3" width="90.33203125" customWidth="1"/>
    <col min="4" max="4" width="16" bestFit="1" customWidth="1"/>
  </cols>
  <sheetData>
    <row r="1" spans="1:4" ht="13.8">
      <c r="A1" s="107" t="s">
        <v>0</v>
      </c>
      <c r="B1" s="107"/>
      <c r="C1" s="107"/>
      <c r="D1" s="107"/>
    </row>
    <row r="2" spans="1:4" ht="13.8">
      <c r="A2" s="107" t="s">
        <v>1</v>
      </c>
      <c r="B2" s="107" t="s">
        <v>2</v>
      </c>
      <c r="C2" s="107" t="s">
        <v>3</v>
      </c>
      <c r="D2" s="107" t="s">
        <v>4</v>
      </c>
    </row>
    <row r="3" spans="1:4" ht="69">
      <c r="A3" s="21" t="s">
        <v>5</v>
      </c>
      <c r="B3" s="108" t="s">
        <v>6</v>
      </c>
      <c r="C3" s="109" t="s">
        <v>7</v>
      </c>
      <c r="D3" s="110" t="s">
        <v>8</v>
      </c>
    </row>
    <row r="4" spans="1:4" ht="27.6">
      <c r="A4" s="21" t="s">
        <v>9</v>
      </c>
      <c r="B4" s="108" t="s">
        <v>10</v>
      </c>
      <c r="C4" s="109" t="s">
        <v>11</v>
      </c>
      <c r="D4" s="110" t="s">
        <v>8</v>
      </c>
    </row>
    <row r="5" spans="1:4" ht="13.8">
      <c r="A5" s="21" t="s">
        <v>12</v>
      </c>
      <c r="B5" s="21" t="s">
        <v>13</v>
      </c>
      <c r="C5" s="111" t="s">
        <v>14</v>
      </c>
      <c r="D5" s="110" t="s">
        <v>8</v>
      </c>
    </row>
    <row r="6" spans="1:4" ht="13.8">
      <c r="A6" s="21" t="s">
        <v>15</v>
      </c>
      <c r="B6" s="21" t="s">
        <v>13</v>
      </c>
      <c r="C6" s="111" t="s">
        <v>16</v>
      </c>
      <c r="D6" s="110" t="s">
        <v>17</v>
      </c>
    </row>
    <row r="7" spans="1:4" ht="82.8">
      <c r="A7" s="21" t="s">
        <v>18</v>
      </c>
      <c r="B7" s="21" t="s">
        <v>13</v>
      </c>
      <c r="C7" s="111" t="s">
        <v>19</v>
      </c>
      <c r="D7" s="110" t="s">
        <v>17</v>
      </c>
    </row>
    <row r="8" spans="1:4" ht="82.8">
      <c r="A8" s="21" t="s">
        <v>18</v>
      </c>
      <c r="B8" s="21" t="s">
        <v>13</v>
      </c>
      <c r="C8" s="111" t="s">
        <v>20</v>
      </c>
      <c r="D8" s="110" t="s">
        <v>17</v>
      </c>
    </row>
    <row r="9" spans="1:4" ht="41.4">
      <c r="A9" s="21" t="s">
        <v>18</v>
      </c>
      <c r="B9" s="21" t="s">
        <v>13</v>
      </c>
      <c r="C9" s="111" t="s">
        <v>21</v>
      </c>
      <c r="D9" s="110" t="s">
        <v>17</v>
      </c>
    </row>
    <row r="10" spans="1:4" ht="27.6">
      <c r="A10" s="21" t="s">
        <v>22</v>
      </c>
      <c r="B10" s="21" t="s">
        <v>23</v>
      </c>
      <c r="C10" s="111" t="s">
        <v>24</v>
      </c>
      <c r="D10" s="110" t="s">
        <v>8</v>
      </c>
    </row>
    <row r="11" spans="1:4" ht="96.6">
      <c r="A11" s="21" t="s">
        <v>22</v>
      </c>
      <c r="B11" s="21" t="s">
        <v>25</v>
      </c>
      <c r="C11" s="111" t="s">
        <v>26</v>
      </c>
      <c r="D11" s="110" t="s">
        <v>17</v>
      </c>
    </row>
    <row r="12" spans="1:4" ht="13.8">
      <c r="A12" s="21" t="s">
        <v>27</v>
      </c>
      <c r="B12" s="21" t="s">
        <v>28</v>
      </c>
      <c r="C12" t="s">
        <v>29</v>
      </c>
      <c r="D12" t="s">
        <v>8</v>
      </c>
    </row>
    <row r="13" spans="1:4" ht="41.4">
      <c r="A13" s="21" t="s">
        <v>30</v>
      </c>
      <c r="B13" s="108" t="s">
        <v>31</v>
      </c>
      <c r="C13" s="109" t="s">
        <v>32</v>
      </c>
      <c r="D13" s="112" t="s">
        <v>8</v>
      </c>
    </row>
    <row r="14" spans="1:4" ht="13.8">
      <c r="A14" s="21" t="s">
        <v>30</v>
      </c>
      <c r="B14" s="108" t="s">
        <v>23</v>
      </c>
      <c r="C14" s="109" t="s">
        <v>33</v>
      </c>
      <c r="D14" s="112" t="s">
        <v>8</v>
      </c>
    </row>
    <row r="15" spans="1:4" ht="41.4">
      <c r="A15" s="21" t="s">
        <v>30</v>
      </c>
      <c r="B15" s="108" t="s">
        <v>34</v>
      </c>
      <c r="C15" s="109" t="s">
        <v>35</v>
      </c>
      <c r="D15" s="112" t="s">
        <v>8</v>
      </c>
    </row>
    <row r="16" spans="1:4" ht="41.4">
      <c r="A16" s="21" t="s">
        <v>30</v>
      </c>
      <c r="B16" s="21" t="s">
        <v>36</v>
      </c>
      <c r="C16" s="111" t="s">
        <v>37</v>
      </c>
      <c r="D16" s="112" t="s">
        <v>17</v>
      </c>
    </row>
    <row r="17" spans="1:4" ht="27.6">
      <c r="A17" s="21" t="s">
        <v>38</v>
      </c>
      <c r="B17" s="108" t="s">
        <v>39</v>
      </c>
      <c r="C17" s="109" t="s">
        <v>40</v>
      </c>
      <c r="D17" s="112" t="s">
        <v>17</v>
      </c>
    </row>
    <row r="18" spans="1:4" ht="13.8">
      <c r="A18" s="21" t="s">
        <v>41</v>
      </c>
      <c r="B18" s="108" t="s">
        <v>36</v>
      </c>
      <c r="C18" s="109" t="s">
        <v>42</v>
      </c>
      <c r="D18" s="112" t="s">
        <v>8</v>
      </c>
    </row>
    <row r="19" spans="1:4" ht="96.6">
      <c r="A19" s="21" t="s">
        <v>43</v>
      </c>
      <c r="B19" s="108" t="s">
        <v>13</v>
      </c>
      <c r="C19" s="111" t="s">
        <v>44</v>
      </c>
      <c r="D19" s="112" t="s">
        <v>17</v>
      </c>
    </row>
    <row r="20" spans="1:4" ht="41.4">
      <c r="A20" t="s">
        <v>43</v>
      </c>
      <c r="B20" s="108" t="s">
        <v>13</v>
      </c>
      <c r="C20" s="111" t="s">
        <v>6389</v>
      </c>
      <c r="D20" t="s">
        <v>45</v>
      </c>
    </row>
    <row r="21" spans="1:4" ht="15" customHeight="1">
      <c r="A21" t="s">
        <v>43</v>
      </c>
      <c r="B21" s="108" t="s">
        <v>13</v>
      </c>
      <c r="C21" s="111" t="s">
        <v>46</v>
      </c>
      <c r="D21" t="s">
        <v>45</v>
      </c>
    </row>
    <row r="22" spans="1:4" ht="96.6">
      <c r="A22" t="s">
        <v>47</v>
      </c>
      <c r="B22" s="108" t="s">
        <v>36</v>
      </c>
      <c r="C22" s="111" t="s">
        <v>44</v>
      </c>
      <c r="D22" t="s">
        <v>45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93C6-D9E5-4C28-BED1-D46F5E6708B6}">
  <sheetPr codeName="Sheet1"/>
  <dimension ref="A1:AC1095"/>
  <sheetViews>
    <sheetView tabSelected="1" zoomScale="85" zoomScaleNormal="85" workbookViewId="0">
      <pane ySplit="1" topLeftCell="A510" activePane="bottomLeft" state="frozen"/>
      <selection pane="bottomLeft" activeCell="F530" sqref="F530"/>
    </sheetView>
  </sheetViews>
  <sheetFormatPr defaultRowHeight="13.8"/>
  <cols>
    <col min="1" max="1" width="11" customWidth="1"/>
    <col min="2" max="2" width="14.33203125" customWidth="1"/>
    <col min="3" max="3" width="11.5546875" customWidth="1"/>
    <col min="5" max="5" width="18.5546875" hidden="1" customWidth="1"/>
    <col min="6" max="6" width="53" style="8" bestFit="1" customWidth="1"/>
    <col min="7" max="7" width="59" customWidth="1"/>
    <col min="8" max="8" width="22.109375" customWidth="1"/>
    <col min="9" max="9" width="24.88671875" style="25" customWidth="1"/>
    <col min="10" max="10" width="11.44140625" customWidth="1"/>
    <col min="11" max="11" width="28.88671875" customWidth="1"/>
    <col min="12" max="12" width="21.33203125" customWidth="1"/>
    <col min="13" max="13" width="23.6640625" customWidth="1"/>
    <col min="14" max="14" width="36.5546875" customWidth="1"/>
    <col min="15" max="15" width="21.109375" customWidth="1"/>
    <col min="16" max="16" width="24.44140625" customWidth="1"/>
    <col min="17" max="18" width="14.88671875" customWidth="1"/>
    <col min="19" max="19" width="9.6640625" customWidth="1"/>
    <col min="20" max="20" width="11.109375" customWidth="1"/>
    <col min="21" max="21" width="13.44140625" customWidth="1"/>
    <col min="22" max="22" width="11.6640625" customWidth="1"/>
    <col min="23" max="23" width="23.33203125" customWidth="1"/>
    <col min="24" max="24" width="53.6640625" customWidth="1"/>
    <col min="25" max="25" width="8.109375" bestFit="1" customWidth="1"/>
    <col min="26" max="26" width="20.6640625" customWidth="1"/>
    <col min="27" max="27" width="23.6640625" bestFit="1" customWidth="1"/>
    <col min="28" max="28" width="18.5546875" customWidth="1"/>
  </cols>
  <sheetData>
    <row r="1" spans="1:29" ht="15">
      <c r="A1" s="98" t="s">
        <v>48</v>
      </c>
      <c r="B1" s="98" t="s">
        <v>49</v>
      </c>
      <c r="C1" s="98" t="s">
        <v>50</v>
      </c>
      <c r="D1" s="98" t="s">
        <v>51</v>
      </c>
      <c r="E1" s="98" t="s">
        <v>52</v>
      </c>
      <c r="F1" s="98" t="s">
        <v>53</v>
      </c>
      <c r="G1" s="98" t="s">
        <v>54</v>
      </c>
      <c r="H1" s="98" t="s">
        <v>55</v>
      </c>
      <c r="I1" s="53" t="s">
        <v>56</v>
      </c>
      <c r="J1" s="98" t="s">
        <v>57</v>
      </c>
      <c r="K1" s="98" t="s">
        <v>58</v>
      </c>
      <c r="L1" s="98" t="s">
        <v>59</v>
      </c>
      <c r="M1" s="98" t="s">
        <v>60</v>
      </c>
      <c r="N1" s="98" t="s">
        <v>61</v>
      </c>
      <c r="O1" s="98" t="s">
        <v>62</v>
      </c>
      <c r="P1" s="98" t="s">
        <v>63</v>
      </c>
      <c r="Q1" s="98" t="s">
        <v>64</v>
      </c>
      <c r="R1" s="98" t="s">
        <v>65</v>
      </c>
      <c r="S1" s="98" t="s">
        <v>66</v>
      </c>
      <c r="T1" s="98" t="s">
        <v>67</v>
      </c>
      <c r="U1" s="98" t="s">
        <v>68</v>
      </c>
      <c r="V1" s="98" t="s">
        <v>69</v>
      </c>
      <c r="W1" s="98" t="s">
        <v>70</v>
      </c>
      <c r="X1" s="98" t="s">
        <v>71</v>
      </c>
      <c r="Y1" s="98" t="s">
        <v>72</v>
      </c>
      <c r="Z1" s="98" t="s">
        <v>73</v>
      </c>
      <c r="AA1" s="98" t="s">
        <v>74</v>
      </c>
      <c r="AB1" s="4"/>
      <c r="AC1" s="4"/>
    </row>
    <row r="2" spans="1:29" ht="150">
      <c r="A2" s="98"/>
      <c r="B2" s="98"/>
      <c r="C2" s="98"/>
      <c r="D2" s="98" t="s">
        <v>75</v>
      </c>
      <c r="E2" s="98"/>
      <c r="F2" s="98" t="s">
        <v>471</v>
      </c>
      <c r="G2" s="98" t="s">
        <v>471</v>
      </c>
      <c r="H2" s="98"/>
      <c r="I2" s="99">
        <f>VLOOKUP(F2, '[1]Can Matrix'!$M:$X, 2, FALSE)</f>
        <v>8</v>
      </c>
      <c r="J2" s="43" t="str">
        <f t="shared" ref="J2:J64" si="0">IF(I2&lt;=8,"uint8",IF(I2&lt;=16,"uint16","uint32"))</f>
        <v>uint8</v>
      </c>
      <c r="K2" s="98"/>
      <c r="L2" s="98"/>
      <c r="M2" s="100" t="str">
        <f>'[1]Can Matrix'!$R$2</f>
        <v>Unsigned</v>
      </c>
      <c r="N2" s="101" t="str">
        <f>IFERROR(IF(VLOOKUP(F2, '[1]Can Matrix'!$M:$X, 12, FALSE) = 0, "", VLOOKUP(F2, '[1]Can Matrix'!$M:$X, 12, FALSE)), "")</f>
        <v/>
      </c>
      <c r="O2" s="98"/>
      <c r="P2" s="101"/>
      <c r="Q2" s="98"/>
      <c r="R2" s="98"/>
      <c r="S2" s="98"/>
      <c r="T2" s="98"/>
      <c r="U2" s="98"/>
      <c r="V2" s="98"/>
      <c r="W2" s="98"/>
      <c r="X2" s="102" t="s">
        <v>76</v>
      </c>
      <c r="Y2" s="98"/>
      <c r="Z2" s="101" t="str">
        <f>IF(N2="", "", IF(ISNUMBER(MATCH(N2, TextTables!A:A, 0)), "Y", "N"))</f>
        <v/>
      </c>
      <c r="AA2" s="101" t="str">
        <f>IF(ISNUMBER(MATCH(F2, '[1]Can Matrix'!M:M, 0)), "Y", "N")</f>
        <v>Y</v>
      </c>
      <c r="AB2" s="4"/>
      <c r="AC2" s="4"/>
    </row>
    <row r="3" spans="1:29" ht="150">
      <c r="A3" s="98"/>
      <c r="B3" s="98"/>
      <c r="C3" s="98"/>
      <c r="D3" s="98" t="s">
        <v>77</v>
      </c>
      <c r="E3" s="98"/>
      <c r="F3" s="98" t="s">
        <v>78</v>
      </c>
      <c r="G3" s="98" t="s">
        <v>78</v>
      </c>
      <c r="H3" s="98"/>
      <c r="I3" s="99">
        <f>VLOOKUP(F3, '[1]Can Matrix'!$M:$X, 2, FALSE)</f>
        <v>8</v>
      </c>
      <c r="J3" s="43" t="str">
        <f t="shared" si="0"/>
        <v>uint8</v>
      </c>
      <c r="K3" s="98"/>
      <c r="L3" s="98"/>
      <c r="M3" s="100" t="str">
        <f>'[1]Can Matrix'!$R$2</f>
        <v>Unsigned</v>
      </c>
      <c r="N3" s="101" t="str">
        <f>IFERROR(IF(VLOOKUP(F3, '[1]Can Matrix'!$M:$X, 12, FALSE)=0, "", "TMS_Enum_" &amp; VLOOKUP(F3, '[1]Can Matrix'!$M:$X, 12, FALSE)), "")</f>
        <v/>
      </c>
      <c r="O3" s="98"/>
      <c r="P3" s="98"/>
      <c r="Q3" s="98"/>
      <c r="R3" s="98"/>
      <c r="S3" s="98"/>
      <c r="T3" s="98"/>
      <c r="U3" s="98"/>
      <c r="V3" s="98"/>
      <c r="W3" s="98"/>
      <c r="X3" s="102" t="s">
        <v>76</v>
      </c>
      <c r="Y3" s="98"/>
      <c r="Z3" s="101" t="str">
        <f>IF(N3="", "", IF(ISNUMBER(MATCH(N3, TextTables!A:A, 0)), "Y", "N"))</f>
        <v/>
      </c>
      <c r="AA3" s="101" t="str">
        <f>IF(ISNUMBER(MATCH(F3, '[1]Can Matrix'!M:M, 0)), "Y", "N")</f>
        <v>Y</v>
      </c>
      <c r="AB3" s="4"/>
      <c r="AC3" s="4"/>
    </row>
    <row r="4" spans="1:29" ht="30">
      <c r="A4" s="98"/>
      <c r="B4" s="98"/>
      <c r="C4" s="98"/>
      <c r="D4" s="98" t="s">
        <v>77</v>
      </c>
      <c r="E4" s="98"/>
      <c r="F4" s="98" t="s">
        <v>79</v>
      </c>
      <c r="G4" s="98" t="s">
        <v>79</v>
      </c>
      <c r="H4" s="98"/>
      <c r="I4" s="99">
        <f>VLOOKUP(F4, '[1]Can Matrix'!$M:$X, 2, FALSE)</f>
        <v>1</v>
      </c>
      <c r="J4" s="43" t="str">
        <f t="shared" si="0"/>
        <v>uint8</v>
      </c>
      <c r="K4" s="98"/>
      <c r="L4" s="98"/>
      <c r="M4" s="100" t="str">
        <f>'[1]Can Matrix'!$R$2</f>
        <v>Unsigned</v>
      </c>
      <c r="N4" s="101" t="str">
        <f>IFERROR(IF(VLOOKUP(F4, '[1]Can Matrix'!$M:$X, 12, FALSE)=0, "", "TMS_Enum_" &amp; VLOOKUP(F4, '[1]Can Matrix'!$M:$X, 12, FALSE)), "")</f>
        <v/>
      </c>
      <c r="O4" s="98"/>
      <c r="P4" s="98"/>
      <c r="Q4" s="98"/>
      <c r="R4" s="98"/>
      <c r="S4" s="98"/>
      <c r="T4" s="98"/>
      <c r="U4" s="98"/>
      <c r="V4" s="98"/>
      <c r="W4" s="98"/>
      <c r="X4" s="102" t="s">
        <v>80</v>
      </c>
      <c r="Y4" s="98"/>
      <c r="Z4" s="101" t="str">
        <f>IF(N4="", "", IF(ISNUMBER(MATCH(N4, TextTables!A:A, 0)), "Y", "N"))</f>
        <v/>
      </c>
      <c r="AA4" s="101" t="str">
        <f>IF(ISNUMBER(MATCH(F4, '[1]Can Matrix'!M:M, 0)), "Y", "N")</f>
        <v>Y</v>
      </c>
      <c r="AB4" s="4"/>
      <c r="AC4" s="4"/>
    </row>
    <row r="5" spans="1:29" ht="30">
      <c r="A5" s="98"/>
      <c r="B5" s="98"/>
      <c r="C5" s="98"/>
      <c r="D5" s="98" t="s">
        <v>77</v>
      </c>
      <c r="E5" s="98"/>
      <c r="F5" s="98" t="s">
        <v>81</v>
      </c>
      <c r="G5" s="98" t="s">
        <v>81</v>
      </c>
      <c r="H5" s="98"/>
      <c r="I5" s="99">
        <f>VLOOKUP(F5, '[1]Can Matrix'!$M:$X, 2, FALSE)</f>
        <v>1</v>
      </c>
      <c r="J5" s="43" t="str">
        <f t="shared" si="0"/>
        <v>uint8</v>
      </c>
      <c r="K5" s="98"/>
      <c r="L5" s="98"/>
      <c r="M5" s="100" t="str">
        <f>'[1]Can Matrix'!$R$2</f>
        <v>Unsigned</v>
      </c>
      <c r="N5" s="101" t="str">
        <f>IFERROR(IF(VLOOKUP(F5, '[1]Can Matrix'!$M:$X, 12, FALSE)=0, "", "TMS_Enum_" &amp; VLOOKUP(F5, '[1]Can Matrix'!$M:$X, 12, FALSE)), "")</f>
        <v/>
      </c>
      <c r="O5" s="98"/>
      <c r="P5" s="98"/>
      <c r="Q5" s="98"/>
      <c r="R5" s="98"/>
      <c r="S5" s="98"/>
      <c r="T5" s="98"/>
      <c r="U5" s="98"/>
      <c r="V5" s="98"/>
      <c r="W5" s="98"/>
      <c r="X5" s="102" t="s">
        <v>80</v>
      </c>
      <c r="Y5" s="98"/>
      <c r="Z5" s="101" t="str">
        <f>IF(N5="", "", IF(ISNUMBER(MATCH(N5, TextTables!A:A, 0)), "Y", "N"))</f>
        <v/>
      </c>
      <c r="AA5" s="101" t="str">
        <f>IF(ISNUMBER(MATCH(F5, '[1]Can Matrix'!M:M, 0)), "Y", "N")</f>
        <v>Y</v>
      </c>
      <c r="AB5" s="4"/>
      <c r="AC5" s="4"/>
    </row>
    <row r="6" spans="1:29" ht="30">
      <c r="A6" s="98"/>
      <c r="B6" s="98"/>
      <c r="C6" s="98"/>
      <c r="D6" s="98" t="s">
        <v>77</v>
      </c>
      <c r="E6" s="98"/>
      <c r="F6" s="98" t="s">
        <v>82</v>
      </c>
      <c r="G6" s="98" t="s">
        <v>82</v>
      </c>
      <c r="H6" s="98"/>
      <c r="I6" s="99">
        <f>VLOOKUP(F6, '[1]Can Matrix'!$M:$X, 2, FALSE)</f>
        <v>8</v>
      </c>
      <c r="J6" s="43" t="str">
        <f t="shared" si="0"/>
        <v>uint8</v>
      </c>
      <c r="K6" s="98"/>
      <c r="L6" s="98"/>
      <c r="M6" s="100" t="str">
        <f>'[1]Can Matrix'!$R$2</f>
        <v>Unsigned</v>
      </c>
      <c r="N6" s="101" t="str">
        <f>IFERROR(IF(VLOOKUP(F6, '[1]Can Matrix'!$M:$X, 12, FALSE)=0, "", "TMS_Enum_" &amp; VLOOKUP(F6, '[1]Can Matrix'!$M:$X, 12, FALSE)), "")</f>
        <v/>
      </c>
      <c r="O6" s="98"/>
      <c r="P6" s="98"/>
      <c r="Q6" s="98"/>
      <c r="R6" s="98"/>
      <c r="S6" s="98"/>
      <c r="T6" s="98"/>
      <c r="U6" s="98"/>
      <c r="V6" s="98"/>
      <c r="W6" s="98"/>
      <c r="X6" s="102" t="s">
        <v>80</v>
      </c>
      <c r="Y6" s="98"/>
      <c r="Z6" s="101" t="str">
        <f>IF(N6="", "", IF(ISNUMBER(MATCH(N6, TextTables!A:A, 0)), "Y", "N"))</f>
        <v/>
      </c>
      <c r="AA6" s="101" t="str">
        <f>IF(ISNUMBER(MATCH(F6, '[1]Can Matrix'!M:M, 0)), "Y", "N")</f>
        <v>Y</v>
      </c>
      <c r="AB6" s="4"/>
      <c r="AC6" s="4"/>
    </row>
    <row r="7" spans="1:29" ht="30">
      <c r="A7" s="98"/>
      <c r="B7" s="98"/>
      <c r="C7" s="98"/>
      <c r="D7" s="98" t="s">
        <v>77</v>
      </c>
      <c r="E7" s="98"/>
      <c r="F7" s="98" t="s">
        <v>83</v>
      </c>
      <c r="G7" s="98" t="s">
        <v>83</v>
      </c>
      <c r="H7" s="98"/>
      <c r="I7" s="99">
        <f>VLOOKUP(F7, '[1]Can Matrix'!$M:$X, 2, FALSE)</f>
        <v>8</v>
      </c>
      <c r="J7" s="43" t="str">
        <f t="shared" si="0"/>
        <v>uint8</v>
      </c>
      <c r="K7" s="98"/>
      <c r="L7" s="98"/>
      <c r="M7" s="100" t="str">
        <f>'[1]Can Matrix'!$R$2</f>
        <v>Unsigned</v>
      </c>
      <c r="N7" s="101" t="str">
        <f>IFERROR(IF(VLOOKUP(F7, '[1]Can Matrix'!$M:$X, 12, FALSE)=0, "", "TMS_Enum_" &amp; VLOOKUP(F7, '[1]Can Matrix'!$M:$X, 12, FALSE)), "")</f>
        <v/>
      </c>
      <c r="O7" s="98"/>
      <c r="P7" s="98"/>
      <c r="Q7" s="98"/>
      <c r="R7" s="98"/>
      <c r="S7" s="98"/>
      <c r="T7" s="98"/>
      <c r="U7" s="98"/>
      <c r="V7" s="98"/>
      <c r="W7" s="98"/>
      <c r="X7" s="102" t="s">
        <v>80</v>
      </c>
      <c r="Y7" s="98"/>
      <c r="Z7" s="101" t="str">
        <f>IF(N7="", "", IF(ISNUMBER(MATCH(N7, TextTables!A:A, 0)), "Y", "N"))</f>
        <v/>
      </c>
      <c r="AA7" s="101" t="str">
        <f>IF(ISNUMBER(MATCH(F7, '[1]Can Matrix'!M:M, 0)), "Y", "N")</f>
        <v>Y</v>
      </c>
      <c r="AB7" s="4"/>
      <c r="AC7" s="4"/>
    </row>
    <row r="8" spans="1:29" ht="30">
      <c r="A8" s="98"/>
      <c r="B8" s="98"/>
      <c r="C8" s="98"/>
      <c r="D8" s="98" t="s">
        <v>77</v>
      </c>
      <c r="E8" s="98"/>
      <c r="F8" s="98" t="s">
        <v>84</v>
      </c>
      <c r="G8" s="98" t="s">
        <v>84</v>
      </c>
      <c r="H8" s="98"/>
      <c r="I8" s="99">
        <f>VLOOKUP(F8, '[1]Can Matrix'!$M:$X, 2, FALSE)</f>
        <v>8</v>
      </c>
      <c r="J8" s="43" t="str">
        <f t="shared" si="0"/>
        <v>uint8</v>
      </c>
      <c r="K8" s="98"/>
      <c r="L8" s="98"/>
      <c r="M8" s="100" t="str">
        <f>'[1]Can Matrix'!$R$2</f>
        <v>Unsigned</v>
      </c>
      <c r="N8" s="101" t="str">
        <f>IFERROR(IF(VLOOKUP(F8, '[1]Can Matrix'!$M:$X, 12, FALSE)=0, "", "TMS_Enum_" &amp; VLOOKUP(F8, '[1]Can Matrix'!$M:$X, 12, FALSE)), "")</f>
        <v/>
      </c>
      <c r="O8" s="98"/>
      <c r="P8" s="98"/>
      <c r="Q8" s="98"/>
      <c r="R8" s="98"/>
      <c r="S8" s="98"/>
      <c r="T8" s="98"/>
      <c r="U8" s="98"/>
      <c r="V8" s="98"/>
      <c r="W8" s="98"/>
      <c r="X8" s="102" t="s">
        <v>85</v>
      </c>
      <c r="Y8" s="98"/>
      <c r="Z8" s="101" t="str">
        <f>IF(N8="", "", IF(ISNUMBER(MATCH(N8, TextTables!A:A, 0)), "Y", "N"))</f>
        <v/>
      </c>
      <c r="AA8" s="101" t="str">
        <f>IF(ISNUMBER(MATCH(F8, '[1]Can Matrix'!M:M, 0)), "Y", "N")</f>
        <v>Y</v>
      </c>
      <c r="AB8" s="4"/>
      <c r="AC8" s="4"/>
    </row>
    <row r="9" spans="1:29" ht="30">
      <c r="A9" s="98"/>
      <c r="B9" s="98"/>
      <c r="C9" s="98"/>
      <c r="D9" s="98" t="s">
        <v>77</v>
      </c>
      <c r="E9" s="98"/>
      <c r="F9" s="98" t="s">
        <v>86</v>
      </c>
      <c r="G9" s="98" t="s">
        <v>86</v>
      </c>
      <c r="H9" s="98"/>
      <c r="I9" s="99">
        <f>VLOOKUP(F9, '[1]Can Matrix'!$M:$X, 2, FALSE)</f>
        <v>8</v>
      </c>
      <c r="J9" s="43" t="str">
        <f t="shared" si="0"/>
        <v>uint8</v>
      </c>
      <c r="K9" s="98"/>
      <c r="L9" s="98"/>
      <c r="M9" s="100" t="str">
        <f>'[1]Can Matrix'!$R$2</f>
        <v>Unsigned</v>
      </c>
      <c r="N9" s="101" t="str">
        <f>IFERROR(IF(VLOOKUP(F9, '[1]Can Matrix'!$M:$X, 12, FALSE)=0, "", "TMS_Enum_" &amp; VLOOKUP(F9, '[1]Can Matrix'!$M:$X, 12, FALSE)), "")</f>
        <v/>
      </c>
      <c r="O9" s="98"/>
      <c r="P9" s="98"/>
      <c r="Q9" s="98"/>
      <c r="R9" s="98"/>
      <c r="S9" s="98"/>
      <c r="T9" s="98"/>
      <c r="U9" s="98"/>
      <c r="V9" s="98"/>
      <c r="W9" s="98"/>
      <c r="X9" s="102" t="s">
        <v>85</v>
      </c>
      <c r="Y9" s="98"/>
      <c r="Z9" s="101" t="str">
        <f>IF(N9="", "", IF(ISNUMBER(MATCH(N9, TextTables!A:A, 0)), "Y", "N"))</f>
        <v/>
      </c>
      <c r="AA9" s="101" t="str">
        <f>IF(ISNUMBER(MATCH(F9, '[1]Can Matrix'!M:M, 0)), "Y", "N")</f>
        <v>Y</v>
      </c>
      <c r="AB9" s="4"/>
      <c r="AC9" s="4"/>
    </row>
    <row r="10" spans="1:29" ht="30">
      <c r="A10" s="98"/>
      <c r="B10" s="98"/>
      <c r="C10" s="98"/>
      <c r="D10" s="98" t="s">
        <v>77</v>
      </c>
      <c r="E10" s="98"/>
      <c r="F10" s="98" t="s">
        <v>87</v>
      </c>
      <c r="G10" s="98" t="s">
        <v>87</v>
      </c>
      <c r="H10" s="98"/>
      <c r="I10" s="99">
        <f>VLOOKUP(F10, '[1]Can Matrix'!$M:$X, 2, FALSE)</f>
        <v>8</v>
      </c>
      <c r="J10" s="43" t="str">
        <f t="shared" si="0"/>
        <v>uint8</v>
      </c>
      <c r="K10" s="98"/>
      <c r="L10" s="98"/>
      <c r="M10" s="100" t="str">
        <f>'[1]Can Matrix'!$R$2</f>
        <v>Unsigned</v>
      </c>
      <c r="N10" s="101" t="str">
        <f>IFERROR(IF(VLOOKUP(F10, '[1]Can Matrix'!$M:$X, 12, FALSE)=0, "", "TMS_Enum_" &amp; VLOOKUP(F10, '[1]Can Matrix'!$M:$X, 12, FALSE)), "")</f>
        <v/>
      </c>
      <c r="O10" s="98"/>
      <c r="P10" s="98"/>
      <c r="Q10" s="98"/>
      <c r="R10" s="98"/>
      <c r="S10" s="98"/>
      <c r="T10" s="98"/>
      <c r="U10" s="98"/>
      <c r="V10" s="98"/>
      <c r="W10" s="98"/>
      <c r="X10" s="102" t="s">
        <v>80</v>
      </c>
      <c r="Y10" s="98"/>
      <c r="Z10" s="101" t="str">
        <f>IF(N10="", "", IF(ISNUMBER(MATCH(N10, TextTables!A:A, 0)), "Y", "N"))</f>
        <v/>
      </c>
      <c r="AA10" s="101" t="str">
        <f>IF(ISNUMBER(MATCH(F10, '[1]Can Matrix'!M:M, 0)), "Y", "N")</f>
        <v>Y</v>
      </c>
      <c r="AB10" s="4"/>
      <c r="AC10" s="4"/>
    </row>
    <row r="11" spans="1:29" ht="30">
      <c r="A11" s="98"/>
      <c r="B11" s="98"/>
      <c r="C11" s="98"/>
      <c r="D11" s="98" t="s">
        <v>77</v>
      </c>
      <c r="E11" s="98"/>
      <c r="F11" s="98" t="s">
        <v>88</v>
      </c>
      <c r="G11" s="98" t="s">
        <v>88</v>
      </c>
      <c r="H11" s="98"/>
      <c r="I11" s="99">
        <f>VLOOKUP(F11, '[1]Can Matrix'!$M:$X, 2, FALSE)</f>
        <v>8</v>
      </c>
      <c r="J11" s="43" t="str">
        <f t="shared" si="0"/>
        <v>uint8</v>
      </c>
      <c r="K11" s="98"/>
      <c r="L11" s="98"/>
      <c r="M11" s="100" t="str">
        <f>'[1]Can Matrix'!$R$2</f>
        <v>Unsigned</v>
      </c>
      <c r="N11" s="101" t="str">
        <f>IFERROR(IF(VLOOKUP(F11, '[1]Can Matrix'!$M:$X, 12, FALSE)=0, "", "TMS_Enum_" &amp; VLOOKUP(F11, '[1]Can Matrix'!$M:$X, 12, FALSE)), "")</f>
        <v/>
      </c>
      <c r="O11" s="98"/>
      <c r="P11" s="98"/>
      <c r="Q11" s="98"/>
      <c r="R11" s="98"/>
      <c r="S11" s="98"/>
      <c r="T11" s="98"/>
      <c r="U11" s="98"/>
      <c r="V11" s="98"/>
      <c r="W11" s="98"/>
      <c r="X11" s="102" t="s">
        <v>80</v>
      </c>
      <c r="Y11" s="98"/>
      <c r="Z11" s="101" t="str">
        <f>IF(N11="", "", IF(ISNUMBER(MATCH(N11, TextTables!A:A, 0)), "Y", "N"))</f>
        <v/>
      </c>
      <c r="AA11" s="101" t="str">
        <f>IF(ISNUMBER(MATCH(F11, '[1]Can Matrix'!M:M, 0)), "Y", "N")</f>
        <v>Y</v>
      </c>
      <c r="AB11" s="4"/>
      <c r="AC11" s="4"/>
    </row>
    <row r="12" spans="1:29" ht="30">
      <c r="A12" s="98"/>
      <c r="B12" s="98"/>
      <c r="C12" s="98"/>
      <c r="D12" s="98" t="s">
        <v>77</v>
      </c>
      <c r="E12" s="98"/>
      <c r="F12" s="98" t="s">
        <v>89</v>
      </c>
      <c r="G12" s="98" t="s">
        <v>89</v>
      </c>
      <c r="H12" s="98"/>
      <c r="I12" s="99">
        <f>VLOOKUP(F12, '[1]Can Matrix'!$M:$X, 2, FALSE)</f>
        <v>8</v>
      </c>
      <c r="J12" s="43" t="str">
        <f t="shared" si="0"/>
        <v>uint8</v>
      </c>
      <c r="K12" s="98"/>
      <c r="L12" s="98"/>
      <c r="M12" s="100" t="str">
        <f>'[1]Can Matrix'!$R$2</f>
        <v>Unsigned</v>
      </c>
      <c r="N12" s="101" t="str">
        <f>IFERROR(IF(VLOOKUP(F12, '[1]Can Matrix'!$M:$X, 12, FALSE)=0, "", "TMS_Enum_" &amp; VLOOKUP(F12, '[1]Can Matrix'!$M:$X, 12, FALSE)), "")</f>
        <v/>
      </c>
      <c r="O12" s="98"/>
      <c r="P12" s="98"/>
      <c r="Q12" s="98"/>
      <c r="R12" s="98"/>
      <c r="S12" s="98"/>
      <c r="T12" s="98"/>
      <c r="U12" s="98"/>
      <c r="V12" s="98"/>
      <c r="W12" s="98"/>
      <c r="X12" s="102" t="s">
        <v>80</v>
      </c>
      <c r="Y12" s="98"/>
      <c r="Z12" s="101" t="str">
        <f>IF(N12="", "", IF(ISNUMBER(MATCH(N12, TextTables!A:A, 0)), "Y", "N"))</f>
        <v/>
      </c>
      <c r="AA12" s="101" t="str">
        <f>IF(ISNUMBER(MATCH(F12, '[1]Can Matrix'!M:M, 0)), "Y", "N")</f>
        <v>Y</v>
      </c>
      <c r="AB12" s="4"/>
      <c r="AC12" s="4"/>
    </row>
    <row r="13" spans="1:29" ht="30">
      <c r="A13" s="98"/>
      <c r="B13" s="98"/>
      <c r="C13" s="98"/>
      <c r="D13" s="98" t="s">
        <v>77</v>
      </c>
      <c r="E13" s="98"/>
      <c r="F13" s="98" t="s">
        <v>90</v>
      </c>
      <c r="G13" s="98" t="s">
        <v>90</v>
      </c>
      <c r="H13" s="98"/>
      <c r="I13" s="99">
        <f>VLOOKUP(F13, '[1]Can Matrix'!$M:$X, 2, FALSE)</f>
        <v>8</v>
      </c>
      <c r="J13" s="43" t="str">
        <f t="shared" si="0"/>
        <v>uint8</v>
      </c>
      <c r="K13" s="98"/>
      <c r="L13" s="98"/>
      <c r="M13" s="100" t="str">
        <f>'[1]Can Matrix'!$R$2</f>
        <v>Unsigned</v>
      </c>
      <c r="N13" s="101" t="str">
        <f>IFERROR(IF(VLOOKUP(F13, '[1]Can Matrix'!$M:$X, 12, FALSE)=0, "", "TMS_Enum_" &amp; VLOOKUP(F13, '[1]Can Matrix'!$M:$X, 12, FALSE)), "")</f>
        <v/>
      </c>
      <c r="O13" s="98"/>
      <c r="P13" s="98"/>
      <c r="Q13" s="98"/>
      <c r="R13" s="98"/>
      <c r="S13" s="98"/>
      <c r="T13" s="98"/>
      <c r="U13" s="98"/>
      <c r="V13" s="98"/>
      <c r="W13" s="98"/>
      <c r="X13" s="102" t="s">
        <v>80</v>
      </c>
      <c r="Y13" s="98"/>
      <c r="Z13" s="101" t="str">
        <f>IF(N13="", "", IF(ISNUMBER(MATCH(N13, TextTables!A:A, 0)), "Y", "N"))</f>
        <v/>
      </c>
      <c r="AA13" s="101" t="str">
        <f>IF(ISNUMBER(MATCH(F13, '[1]Can Matrix'!M:M, 0)), "Y", "N")</f>
        <v>Y</v>
      </c>
      <c r="AB13" s="4"/>
      <c r="AC13" s="4"/>
    </row>
    <row r="14" spans="1:29" ht="30">
      <c r="A14" s="98"/>
      <c r="B14" s="98"/>
      <c r="C14" s="98"/>
      <c r="D14" s="98" t="s">
        <v>77</v>
      </c>
      <c r="E14" s="98"/>
      <c r="F14" s="98" t="s">
        <v>91</v>
      </c>
      <c r="G14" s="98" t="s">
        <v>91</v>
      </c>
      <c r="H14" s="98"/>
      <c r="I14" s="99">
        <f>VLOOKUP(F14, '[1]Can Matrix'!$M:$X, 2, FALSE)</f>
        <v>8</v>
      </c>
      <c r="J14" s="43" t="str">
        <f t="shared" si="0"/>
        <v>uint8</v>
      </c>
      <c r="K14" s="98"/>
      <c r="L14" s="98"/>
      <c r="M14" s="100" t="str">
        <f>'[1]Can Matrix'!$R$2</f>
        <v>Unsigned</v>
      </c>
      <c r="N14" s="101" t="str">
        <f>IFERROR(IF(VLOOKUP(F14, '[1]Can Matrix'!$M:$X, 12, FALSE)=0, "", "TMS_Enum_" &amp; VLOOKUP(F14, '[1]Can Matrix'!$M:$X, 12, FALSE)), "")</f>
        <v/>
      </c>
      <c r="O14" s="98"/>
      <c r="P14" s="98"/>
      <c r="Q14" s="98"/>
      <c r="R14" s="98"/>
      <c r="S14" s="98"/>
      <c r="T14" s="98"/>
      <c r="U14" s="98"/>
      <c r="V14" s="98"/>
      <c r="W14" s="98"/>
      <c r="X14" s="102" t="s">
        <v>80</v>
      </c>
      <c r="Y14" s="98"/>
      <c r="Z14" s="101" t="str">
        <f>IF(N14="", "", IF(ISNUMBER(MATCH(N14, TextTables!A:A, 0)), "Y", "N"))</f>
        <v/>
      </c>
      <c r="AA14" s="101" t="str">
        <f>IF(ISNUMBER(MATCH(F14, '[1]Can Matrix'!M:M, 0)), "Y", "N")</f>
        <v>Y</v>
      </c>
      <c r="AB14" s="4"/>
      <c r="AC14" s="4"/>
    </row>
    <row r="15" spans="1:29" ht="30">
      <c r="A15" s="98"/>
      <c r="B15" s="98"/>
      <c r="C15" s="98"/>
      <c r="D15" s="98" t="s">
        <v>77</v>
      </c>
      <c r="E15" s="98"/>
      <c r="F15" s="98" t="s">
        <v>92</v>
      </c>
      <c r="G15" s="98" t="s">
        <v>92</v>
      </c>
      <c r="H15" s="98"/>
      <c r="I15" s="99">
        <f>VLOOKUP(F15, '[1]Can Matrix'!$M:$X, 2, FALSE)</f>
        <v>8</v>
      </c>
      <c r="J15" s="43" t="str">
        <f t="shared" si="0"/>
        <v>uint8</v>
      </c>
      <c r="K15" s="98"/>
      <c r="L15" s="98"/>
      <c r="M15" s="100" t="str">
        <f>'[1]Can Matrix'!$R$2</f>
        <v>Unsigned</v>
      </c>
      <c r="N15" s="101" t="str">
        <f>IFERROR(IF(VLOOKUP(F15, '[1]Can Matrix'!$M:$X, 12, FALSE)=0, "", "TMS_Enum_" &amp; VLOOKUP(F15, '[1]Can Matrix'!$M:$X, 12, FALSE)), "")</f>
        <v/>
      </c>
      <c r="O15" s="98"/>
      <c r="P15" s="98"/>
      <c r="Q15" s="98"/>
      <c r="R15" s="98"/>
      <c r="S15" s="98"/>
      <c r="T15" s="98"/>
      <c r="U15" s="98"/>
      <c r="V15" s="98"/>
      <c r="W15" s="98"/>
      <c r="X15" s="102" t="s">
        <v>80</v>
      </c>
      <c r="Y15" s="98"/>
      <c r="Z15" s="101" t="str">
        <f>IF(N15="", "", IF(ISNUMBER(MATCH(N15, TextTables!A:A, 0)), "Y", "N"))</f>
        <v/>
      </c>
      <c r="AA15" s="101" t="str">
        <f>IF(ISNUMBER(MATCH(F15, '[1]Can Matrix'!M:M, 0)), "Y", "N")</f>
        <v>Y</v>
      </c>
      <c r="AB15" s="4"/>
      <c r="AC15" s="4"/>
    </row>
    <row r="16" spans="1:29" ht="30">
      <c r="A16" s="98"/>
      <c r="B16" s="98"/>
      <c r="C16" s="98"/>
      <c r="D16" s="98" t="s">
        <v>77</v>
      </c>
      <c r="E16" s="98"/>
      <c r="F16" s="98" t="s">
        <v>93</v>
      </c>
      <c r="G16" s="98" t="s">
        <v>93</v>
      </c>
      <c r="H16" s="98"/>
      <c r="I16" s="99">
        <f>VLOOKUP(F16, '[1]Can Matrix'!$M:$X, 2, FALSE)</f>
        <v>8</v>
      </c>
      <c r="J16" s="43" t="str">
        <f t="shared" si="0"/>
        <v>uint8</v>
      </c>
      <c r="K16" s="98"/>
      <c r="L16" s="98"/>
      <c r="M16" s="100" t="str">
        <f>'[1]Can Matrix'!$R$2</f>
        <v>Unsigned</v>
      </c>
      <c r="N16" s="101" t="str">
        <f>IFERROR(IF(VLOOKUP(F16, '[1]Can Matrix'!$M:$X, 12, FALSE)=0, "", "TMS_Enum_" &amp; VLOOKUP(F16, '[1]Can Matrix'!$M:$X, 12, FALSE)), "")</f>
        <v/>
      </c>
      <c r="O16" s="98"/>
      <c r="P16" s="98"/>
      <c r="Q16" s="98"/>
      <c r="R16" s="98"/>
      <c r="S16" s="98"/>
      <c r="T16" s="98"/>
      <c r="U16" s="98"/>
      <c r="V16" s="98"/>
      <c r="W16" s="98"/>
      <c r="X16" s="102" t="s">
        <v>80</v>
      </c>
      <c r="Y16" s="98"/>
      <c r="Z16" s="101" t="str">
        <f>IF(N16="", "", IF(ISNUMBER(MATCH(N16, TextTables!A:A, 0)), "Y", "N"))</f>
        <v/>
      </c>
      <c r="AA16" s="101" t="str">
        <f>IF(ISNUMBER(MATCH(F16, '[1]Can Matrix'!M:M, 0)), "Y", "N")</f>
        <v>Y</v>
      </c>
      <c r="AB16" s="4"/>
      <c r="AC16" s="4"/>
    </row>
    <row r="17" spans="1:29" ht="30">
      <c r="A17" s="98"/>
      <c r="B17" s="98"/>
      <c r="C17" s="98"/>
      <c r="D17" s="98" t="s">
        <v>77</v>
      </c>
      <c r="E17" s="98"/>
      <c r="F17" s="98" t="s">
        <v>94</v>
      </c>
      <c r="G17" s="98" t="s">
        <v>94</v>
      </c>
      <c r="H17" s="98"/>
      <c r="I17" s="99">
        <f>VLOOKUP(F17, '[1]Can Matrix'!$M:$X, 2, FALSE)</f>
        <v>8</v>
      </c>
      <c r="J17" s="43" t="str">
        <f t="shared" si="0"/>
        <v>uint8</v>
      </c>
      <c r="K17" s="98"/>
      <c r="L17" s="98"/>
      <c r="M17" s="100" t="str">
        <f>'[1]Can Matrix'!$R$2</f>
        <v>Unsigned</v>
      </c>
      <c r="N17" s="101" t="str">
        <f>IFERROR(IF(VLOOKUP(F17, '[1]Can Matrix'!$M:$X, 12, FALSE)=0, "", "TMS_Enum_" &amp; VLOOKUP(F17, '[1]Can Matrix'!$M:$X, 12, FALSE)), "")</f>
        <v/>
      </c>
      <c r="O17" s="98"/>
      <c r="P17" s="98"/>
      <c r="Q17" s="98"/>
      <c r="R17" s="98"/>
      <c r="S17" s="98"/>
      <c r="T17" s="98"/>
      <c r="U17" s="98"/>
      <c r="V17" s="98"/>
      <c r="W17" s="98"/>
      <c r="X17" s="102" t="s">
        <v>80</v>
      </c>
      <c r="Y17" s="98"/>
      <c r="Z17" s="101" t="str">
        <f>IF(N17="", "", IF(ISNUMBER(MATCH(N17, TextTables!A:A, 0)), "Y", "N"))</f>
        <v/>
      </c>
      <c r="AA17" s="101" t="str">
        <f>IF(ISNUMBER(MATCH(F17, '[1]Can Matrix'!M:M, 0)), "Y", "N")</f>
        <v>Y</v>
      </c>
      <c r="AB17" s="4"/>
      <c r="AC17" s="4"/>
    </row>
    <row r="18" spans="1:29" ht="30">
      <c r="A18" s="98"/>
      <c r="B18" s="98"/>
      <c r="C18" s="98"/>
      <c r="D18" s="98" t="s">
        <v>77</v>
      </c>
      <c r="E18" s="98"/>
      <c r="F18" s="98" t="s">
        <v>95</v>
      </c>
      <c r="G18" s="98" t="s">
        <v>95</v>
      </c>
      <c r="H18" s="98"/>
      <c r="I18" s="99">
        <f>VLOOKUP(F18, '[1]Can Matrix'!$M:$X, 2, FALSE)</f>
        <v>8</v>
      </c>
      <c r="J18" s="43" t="str">
        <f t="shared" si="0"/>
        <v>uint8</v>
      </c>
      <c r="K18" s="98"/>
      <c r="L18" s="98"/>
      <c r="M18" s="100" t="str">
        <f>'[1]Can Matrix'!$R$2</f>
        <v>Unsigned</v>
      </c>
      <c r="N18" s="101" t="str">
        <f>IFERROR(IF(VLOOKUP(F18, '[1]Can Matrix'!$M:$X, 12, FALSE)=0, "", "TMS_Enum_" &amp; VLOOKUP(F18, '[1]Can Matrix'!$M:$X, 12, FALSE)), "")</f>
        <v/>
      </c>
      <c r="O18" s="98"/>
      <c r="P18" s="98"/>
      <c r="Q18" s="98"/>
      <c r="R18" s="98"/>
      <c r="S18" s="98"/>
      <c r="T18" s="98"/>
      <c r="U18" s="98"/>
      <c r="V18" s="98"/>
      <c r="W18" s="98"/>
      <c r="X18" s="102" t="s">
        <v>80</v>
      </c>
      <c r="Y18" s="98"/>
      <c r="Z18" s="101" t="str">
        <f>IF(N18="", "", IF(ISNUMBER(MATCH(N18, TextTables!A:A, 0)), "Y", "N"))</f>
        <v/>
      </c>
      <c r="AA18" s="101" t="str">
        <f>IF(ISNUMBER(MATCH(F18, '[1]Can Matrix'!M:M, 0)), "Y", "N")</f>
        <v>Y</v>
      </c>
      <c r="AB18" s="4"/>
      <c r="AC18" s="4"/>
    </row>
    <row r="19" spans="1:29" ht="30">
      <c r="A19" s="98"/>
      <c r="B19" s="98"/>
      <c r="C19" s="98"/>
      <c r="D19" s="98" t="s">
        <v>77</v>
      </c>
      <c r="E19" s="98"/>
      <c r="F19" s="98" t="s">
        <v>96</v>
      </c>
      <c r="G19" s="98" t="s">
        <v>96</v>
      </c>
      <c r="H19" s="98"/>
      <c r="I19" s="99">
        <f>VLOOKUP(F19, '[1]Can Matrix'!$M:$X, 2, FALSE)</f>
        <v>8</v>
      </c>
      <c r="J19" s="43" t="str">
        <f t="shared" si="0"/>
        <v>uint8</v>
      </c>
      <c r="K19" s="98"/>
      <c r="L19" s="98"/>
      <c r="M19" s="100" t="str">
        <f>'[1]Can Matrix'!$R$2</f>
        <v>Unsigned</v>
      </c>
      <c r="N19" s="101" t="str">
        <f>IFERROR(IF(VLOOKUP(F19, '[1]Can Matrix'!$M:$X, 12, FALSE)=0, "", "TMS_Enum_" &amp; VLOOKUP(F19, '[1]Can Matrix'!$M:$X, 12, FALSE)), "")</f>
        <v/>
      </c>
      <c r="O19" s="98"/>
      <c r="P19" s="98"/>
      <c r="Q19" s="98"/>
      <c r="R19" s="98"/>
      <c r="S19" s="98"/>
      <c r="T19" s="98"/>
      <c r="U19" s="98"/>
      <c r="V19" s="98"/>
      <c r="W19" s="98"/>
      <c r="X19" s="102" t="s">
        <v>80</v>
      </c>
      <c r="Y19" s="98"/>
      <c r="Z19" s="101" t="str">
        <f>IF(N19="", "", IF(ISNUMBER(MATCH(N19, TextTables!A:A, 0)), "Y", "N"))</f>
        <v/>
      </c>
      <c r="AA19" s="101" t="str">
        <f>IF(ISNUMBER(MATCH(F19, '[1]Can Matrix'!M:M, 0)), "Y", "N")</f>
        <v>Y</v>
      </c>
      <c r="AB19" s="4"/>
      <c r="AC19" s="4"/>
    </row>
    <row r="20" spans="1:29" ht="30">
      <c r="A20" s="98"/>
      <c r="B20" s="98"/>
      <c r="C20" s="98"/>
      <c r="D20" s="98" t="s">
        <v>77</v>
      </c>
      <c r="E20" s="98"/>
      <c r="F20" s="98" t="s">
        <v>97</v>
      </c>
      <c r="G20" s="98" t="s">
        <v>97</v>
      </c>
      <c r="H20" s="98"/>
      <c r="I20" s="99">
        <f>VLOOKUP(F20, '[1]Can Matrix'!$M:$X, 2, FALSE)</f>
        <v>8</v>
      </c>
      <c r="J20" s="43" t="str">
        <f t="shared" si="0"/>
        <v>uint8</v>
      </c>
      <c r="K20" s="98"/>
      <c r="L20" s="98"/>
      <c r="M20" s="100" t="str">
        <f>'[1]Can Matrix'!$R$2</f>
        <v>Unsigned</v>
      </c>
      <c r="N20" s="101" t="str">
        <f>IFERROR(IF(VLOOKUP(F20, '[1]Can Matrix'!$M:$X, 12, FALSE)=0, "", "TMS_Enum_" &amp; VLOOKUP(F20, '[1]Can Matrix'!$M:$X, 12, FALSE)), "")</f>
        <v/>
      </c>
      <c r="O20" s="98"/>
      <c r="P20" s="98"/>
      <c r="Q20" s="98"/>
      <c r="R20" s="98"/>
      <c r="S20" s="98"/>
      <c r="T20" s="98"/>
      <c r="U20" s="98"/>
      <c r="V20" s="98"/>
      <c r="W20" s="98"/>
      <c r="X20" s="102" t="s">
        <v>80</v>
      </c>
      <c r="Y20" s="98"/>
      <c r="Z20" s="101" t="str">
        <f>IF(N20="", "", IF(ISNUMBER(MATCH(N20, TextTables!A:A, 0)), "Y", "N"))</f>
        <v/>
      </c>
      <c r="AA20" s="101" t="str">
        <f>IF(ISNUMBER(MATCH(F20, '[1]Can Matrix'!M:M, 0)), "Y", "N")</f>
        <v>Y</v>
      </c>
      <c r="AB20" s="4"/>
      <c r="AC20" s="4"/>
    </row>
    <row r="21" spans="1:29" ht="30">
      <c r="A21" s="98"/>
      <c r="B21" s="98"/>
      <c r="C21" s="98"/>
      <c r="D21" s="98" t="s">
        <v>77</v>
      </c>
      <c r="E21" s="98"/>
      <c r="F21" s="98" t="s">
        <v>98</v>
      </c>
      <c r="G21" s="98" t="s">
        <v>98</v>
      </c>
      <c r="H21" s="98"/>
      <c r="I21" s="99">
        <f>VLOOKUP(F21, '[1]Can Matrix'!$M:$X, 2, FALSE)</f>
        <v>8</v>
      </c>
      <c r="J21" s="43" t="str">
        <f t="shared" si="0"/>
        <v>uint8</v>
      </c>
      <c r="K21" s="98"/>
      <c r="L21" s="98"/>
      <c r="M21" s="100" t="str">
        <f>'[1]Can Matrix'!$R$2</f>
        <v>Unsigned</v>
      </c>
      <c r="N21" s="101" t="str">
        <f>IFERROR(IF(VLOOKUP(F21, '[1]Can Matrix'!$M:$X, 12, FALSE)=0, "", "TMS_Enum_" &amp; VLOOKUP(F21, '[1]Can Matrix'!$M:$X, 12, FALSE)), "")</f>
        <v/>
      </c>
      <c r="O21" s="98"/>
      <c r="P21" s="98"/>
      <c r="Q21" s="98"/>
      <c r="R21" s="98"/>
      <c r="S21" s="98"/>
      <c r="T21" s="98"/>
      <c r="U21" s="98"/>
      <c r="V21" s="98"/>
      <c r="W21" s="98"/>
      <c r="X21" s="102" t="s">
        <v>80</v>
      </c>
      <c r="Y21" s="98"/>
      <c r="Z21" s="101" t="str">
        <f>IF(N21="", "", IF(ISNUMBER(MATCH(N21, TextTables!A:A, 0)), "Y", "N"))</f>
        <v/>
      </c>
      <c r="AA21" s="101" t="str">
        <f>IF(ISNUMBER(MATCH(F21, '[1]Can Matrix'!M:M, 0)), "Y", "N")</f>
        <v>Y</v>
      </c>
      <c r="AB21" s="4"/>
      <c r="AC21" s="4"/>
    </row>
    <row r="22" spans="1:29" ht="30">
      <c r="A22" s="98"/>
      <c r="B22" s="98"/>
      <c r="C22" s="98"/>
      <c r="D22" s="98" t="s">
        <v>77</v>
      </c>
      <c r="E22" s="98"/>
      <c r="F22" s="98" t="s">
        <v>99</v>
      </c>
      <c r="G22" s="98" t="s">
        <v>99</v>
      </c>
      <c r="H22" s="98"/>
      <c r="I22" s="99">
        <f>VLOOKUP(F22, '[1]Can Matrix'!$M:$X, 2, FALSE)</f>
        <v>8</v>
      </c>
      <c r="J22" s="43" t="str">
        <f t="shared" si="0"/>
        <v>uint8</v>
      </c>
      <c r="K22" s="98"/>
      <c r="L22" s="98"/>
      <c r="M22" s="100" t="str">
        <f>'[1]Can Matrix'!$R$2</f>
        <v>Unsigned</v>
      </c>
      <c r="N22" s="101" t="str">
        <f>IFERROR(IF(VLOOKUP(F22, '[1]Can Matrix'!$M:$X, 12, FALSE)=0, "", "TMS_Enum_" &amp; VLOOKUP(F22, '[1]Can Matrix'!$M:$X, 12, FALSE)), "")</f>
        <v/>
      </c>
      <c r="O22" s="98"/>
      <c r="P22" s="98"/>
      <c r="Q22" s="98"/>
      <c r="R22" s="98"/>
      <c r="S22" s="98"/>
      <c r="T22" s="98"/>
      <c r="U22" s="98"/>
      <c r="V22" s="98"/>
      <c r="W22" s="98"/>
      <c r="X22" s="102" t="s">
        <v>80</v>
      </c>
      <c r="Y22" s="98"/>
      <c r="Z22" s="101" t="str">
        <f>IF(N22="", "", IF(ISNUMBER(MATCH(N22, TextTables!A:A, 0)), "Y", "N"))</f>
        <v/>
      </c>
      <c r="AA22" s="101" t="str">
        <f>IF(ISNUMBER(MATCH(F22, '[1]Can Matrix'!M:M, 0)), "Y", "N")</f>
        <v>Y</v>
      </c>
      <c r="AB22" s="4"/>
      <c r="AC22" s="4"/>
    </row>
    <row r="23" spans="1:29" ht="30">
      <c r="A23" s="98"/>
      <c r="B23" s="98"/>
      <c r="C23" s="98"/>
      <c r="D23" s="98" t="s">
        <v>77</v>
      </c>
      <c r="E23" s="98"/>
      <c r="F23" s="98" t="s">
        <v>100</v>
      </c>
      <c r="G23" s="98" t="s">
        <v>100</v>
      </c>
      <c r="H23" s="98"/>
      <c r="I23" s="99">
        <f>VLOOKUP(F23, '[1]Can Matrix'!$M:$X, 2, FALSE)</f>
        <v>8</v>
      </c>
      <c r="J23" s="43" t="str">
        <f t="shared" si="0"/>
        <v>uint8</v>
      </c>
      <c r="K23" s="98"/>
      <c r="L23" s="98"/>
      <c r="M23" s="100" t="str">
        <f>'[1]Can Matrix'!$R$2</f>
        <v>Unsigned</v>
      </c>
      <c r="N23" s="101" t="str">
        <f>IFERROR(IF(VLOOKUP(F23, '[1]Can Matrix'!$M:$X, 12, FALSE)=0, "", "TMS_Enum_" &amp; VLOOKUP(F23, '[1]Can Matrix'!$M:$X, 12, FALSE)), "")</f>
        <v/>
      </c>
      <c r="O23" s="98"/>
      <c r="P23" s="98"/>
      <c r="Q23" s="98"/>
      <c r="R23" s="98"/>
      <c r="S23" s="98"/>
      <c r="T23" s="98"/>
      <c r="U23" s="98"/>
      <c r="V23" s="98"/>
      <c r="W23" s="98"/>
      <c r="X23" s="102" t="s">
        <v>80</v>
      </c>
      <c r="Y23" s="98"/>
      <c r="Z23" s="101" t="str">
        <f>IF(N23="", "", IF(ISNUMBER(MATCH(N23, TextTables!A:A, 0)), "Y", "N"))</f>
        <v/>
      </c>
      <c r="AA23" s="101" t="str">
        <f>IF(ISNUMBER(MATCH(F23, '[1]Can Matrix'!M:M, 0)), "Y", "N")</f>
        <v>Y</v>
      </c>
      <c r="AB23" s="4"/>
      <c r="AC23" s="4"/>
    </row>
    <row r="24" spans="1:29" ht="30">
      <c r="A24" s="98"/>
      <c r="B24" s="98"/>
      <c r="C24" s="98"/>
      <c r="D24" s="98" t="s">
        <v>77</v>
      </c>
      <c r="E24" s="98"/>
      <c r="F24" s="98" t="s">
        <v>101</v>
      </c>
      <c r="G24" s="98" t="s">
        <v>101</v>
      </c>
      <c r="H24" s="98"/>
      <c r="I24" s="99">
        <f>VLOOKUP(F24, '[1]Can Matrix'!$M:$X, 2, FALSE)</f>
        <v>8</v>
      </c>
      <c r="J24" s="43" t="str">
        <f t="shared" si="0"/>
        <v>uint8</v>
      </c>
      <c r="K24" s="98"/>
      <c r="L24" s="98"/>
      <c r="M24" s="100" t="str">
        <f>'[1]Can Matrix'!$R$2</f>
        <v>Unsigned</v>
      </c>
      <c r="N24" s="101" t="str">
        <f>IFERROR(IF(VLOOKUP(F24, '[1]Can Matrix'!$M:$X, 12, FALSE)=0, "", "TMS_Enum_" &amp; VLOOKUP(F24, '[1]Can Matrix'!$M:$X, 12, FALSE)), "")</f>
        <v/>
      </c>
      <c r="O24" s="98"/>
      <c r="P24" s="98"/>
      <c r="Q24" s="98"/>
      <c r="R24" s="98"/>
      <c r="S24" s="98"/>
      <c r="T24" s="98"/>
      <c r="U24" s="98"/>
      <c r="V24" s="98"/>
      <c r="W24" s="98"/>
      <c r="X24" s="102" t="s">
        <v>80</v>
      </c>
      <c r="Y24" s="98"/>
      <c r="Z24" s="101" t="str">
        <f>IF(N24="", "", IF(ISNUMBER(MATCH(N24, TextTables!A:A, 0)), "Y", "N"))</f>
        <v/>
      </c>
      <c r="AA24" s="101" t="str">
        <f>IF(ISNUMBER(MATCH(F24, '[1]Can Matrix'!M:M, 0)), "Y", "N")</f>
        <v>Y</v>
      </c>
      <c r="AB24" s="4"/>
      <c r="AC24" s="4"/>
    </row>
    <row r="25" spans="1:29" ht="30">
      <c r="A25" s="98"/>
      <c r="B25" s="98"/>
      <c r="C25" s="98"/>
      <c r="D25" s="98" t="s">
        <v>77</v>
      </c>
      <c r="E25" s="98"/>
      <c r="F25" s="98" t="s">
        <v>102</v>
      </c>
      <c r="G25" s="98" t="s">
        <v>102</v>
      </c>
      <c r="H25" s="98"/>
      <c r="I25" s="99">
        <f>VLOOKUP(F25, '[1]Can Matrix'!$M:$X, 2, FALSE)</f>
        <v>8</v>
      </c>
      <c r="J25" s="43" t="str">
        <f t="shared" si="0"/>
        <v>uint8</v>
      </c>
      <c r="K25" s="98"/>
      <c r="L25" s="98"/>
      <c r="M25" s="100" t="str">
        <f>'[1]Can Matrix'!$R$2</f>
        <v>Unsigned</v>
      </c>
      <c r="N25" s="101" t="str">
        <f>IFERROR(IF(VLOOKUP(F25, '[1]Can Matrix'!$M:$X, 12, FALSE)=0, "", "TMS_Enum_" &amp; VLOOKUP(F25, '[1]Can Matrix'!$M:$X, 12, FALSE)), "")</f>
        <v/>
      </c>
      <c r="O25" s="98"/>
      <c r="P25" s="98"/>
      <c r="Q25" s="98"/>
      <c r="R25" s="98"/>
      <c r="S25" s="98"/>
      <c r="T25" s="98"/>
      <c r="U25" s="98"/>
      <c r="V25" s="98"/>
      <c r="W25" s="98"/>
      <c r="X25" s="102" t="s">
        <v>80</v>
      </c>
      <c r="Y25" s="98"/>
      <c r="Z25" s="101" t="str">
        <f>IF(N25="", "", IF(ISNUMBER(MATCH(N25, TextTables!A:A, 0)), "Y", "N"))</f>
        <v/>
      </c>
      <c r="AA25" s="101" t="str">
        <f>IF(ISNUMBER(MATCH(F25, '[1]Can Matrix'!M:M, 0)), "Y", "N")</f>
        <v>Y</v>
      </c>
      <c r="AB25" s="4"/>
      <c r="AC25" s="4"/>
    </row>
    <row r="26" spans="1:29" ht="30">
      <c r="A26" s="98"/>
      <c r="B26" s="98"/>
      <c r="C26" s="98"/>
      <c r="D26" s="98" t="s">
        <v>77</v>
      </c>
      <c r="E26" s="98"/>
      <c r="F26" s="98" t="s">
        <v>103</v>
      </c>
      <c r="G26" s="98" t="s">
        <v>103</v>
      </c>
      <c r="H26" s="98"/>
      <c r="I26" s="99">
        <f>VLOOKUP(F26, '[1]Can Matrix'!$M:$X, 2, FALSE)</f>
        <v>8</v>
      </c>
      <c r="J26" s="43" t="str">
        <f t="shared" si="0"/>
        <v>uint8</v>
      </c>
      <c r="K26" s="98"/>
      <c r="L26" s="98"/>
      <c r="M26" s="100" t="str">
        <f>'[1]Can Matrix'!$R$2</f>
        <v>Unsigned</v>
      </c>
      <c r="N26" s="101" t="str">
        <f>IFERROR(IF(VLOOKUP(F26, '[1]Can Matrix'!$M:$X, 12, FALSE)=0, "", "TMS_Enum_" &amp; VLOOKUP(F26, '[1]Can Matrix'!$M:$X, 12, FALSE)), "")</f>
        <v/>
      </c>
      <c r="O26" s="98"/>
      <c r="P26" s="98"/>
      <c r="Q26" s="98"/>
      <c r="R26" s="98"/>
      <c r="S26" s="98"/>
      <c r="T26" s="98"/>
      <c r="U26" s="98"/>
      <c r="V26" s="98"/>
      <c r="W26" s="98"/>
      <c r="X26" s="102" t="s">
        <v>80</v>
      </c>
      <c r="Y26" s="98"/>
      <c r="Z26" s="101" t="str">
        <f>IF(N26="", "", IF(ISNUMBER(MATCH(N26, TextTables!A:A, 0)), "Y", "N"))</f>
        <v/>
      </c>
      <c r="AA26" s="101" t="str">
        <f>IF(ISNUMBER(MATCH(F26, '[1]Can Matrix'!M:M, 0)), "Y", "N")</f>
        <v>Y</v>
      </c>
      <c r="AB26" s="4"/>
      <c r="AC26" s="4"/>
    </row>
    <row r="27" spans="1:29" ht="30">
      <c r="A27" s="98"/>
      <c r="B27" s="98"/>
      <c r="C27" s="98"/>
      <c r="D27" s="98" t="s">
        <v>77</v>
      </c>
      <c r="E27" s="98"/>
      <c r="F27" s="98" t="s">
        <v>104</v>
      </c>
      <c r="G27" s="98" t="s">
        <v>104</v>
      </c>
      <c r="H27" s="98"/>
      <c r="I27" s="99">
        <f>VLOOKUP(F27, '[1]Can Matrix'!$M:$X, 2, FALSE)</f>
        <v>8</v>
      </c>
      <c r="J27" s="43" t="str">
        <f t="shared" si="0"/>
        <v>uint8</v>
      </c>
      <c r="K27" s="98"/>
      <c r="L27" s="98"/>
      <c r="M27" s="100" t="str">
        <f>'[1]Can Matrix'!$R$2</f>
        <v>Unsigned</v>
      </c>
      <c r="N27" s="101" t="str">
        <f>IFERROR(IF(VLOOKUP(F27, '[1]Can Matrix'!$M:$X, 12, FALSE)=0, "", "TMS_Enum_" &amp; VLOOKUP(F27, '[1]Can Matrix'!$M:$X, 12, FALSE)), "")</f>
        <v/>
      </c>
      <c r="O27" s="98"/>
      <c r="P27" s="98"/>
      <c r="Q27" s="98"/>
      <c r="R27" s="98"/>
      <c r="S27" s="98"/>
      <c r="T27" s="98"/>
      <c r="U27" s="98"/>
      <c r="V27" s="98"/>
      <c r="W27" s="98"/>
      <c r="X27" s="102" t="s">
        <v>80</v>
      </c>
      <c r="Y27" s="98"/>
      <c r="Z27" s="101" t="str">
        <f>IF(N27="", "", IF(ISNUMBER(MATCH(N27, TextTables!A:A, 0)), "Y", "N"))</f>
        <v/>
      </c>
      <c r="AA27" s="101" t="str">
        <f>IF(ISNUMBER(MATCH(F27, '[1]Can Matrix'!M:M, 0)), "Y", "N")</f>
        <v>Y</v>
      </c>
      <c r="AB27" s="4"/>
      <c r="AC27" s="4"/>
    </row>
    <row r="28" spans="1:29" ht="16.8">
      <c r="A28" s="98"/>
      <c r="B28" s="98"/>
      <c r="C28" s="98"/>
      <c r="D28" s="98" t="s">
        <v>77</v>
      </c>
      <c r="E28" s="98"/>
      <c r="F28" s="98" t="s">
        <v>105</v>
      </c>
      <c r="G28" s="98" t="s">
        <v>105</v>
      </c>
      <c r="H28" s="98"/>
      <c r="I28" s="99">
        <f>VLOOKUP(F28, '[1]Can Matrix'!$M:$X, 2, FALSE)</f>
        <v>16</v>
      </c>
      <c r="J28" s="43" t="str">
        <f t="shared" si="0"/>
        <v>uint16</v>
      </c>
      <c r="K28" s="98"/>
      <c r="L28" s="98"/>
      <c r="M28" s="100" t="str">
        <f>'[1]Can Matrix'!$R$2</f>
        <v>Unsigned</v>
      </c>
      <c r="N28" s="101" t="str">
        <f>IFERROR(IF(VLOOKUP(F28, '[1]Can Matrix'!$M:$X, 12, FALSE)=0, "", "TMS_Enum_" &amp; VLOOKUP(F28, '[1]Can Matrix'!$M:$X, 12, FALSE)), "")</f>
        <v/>
      </c>
      <c r="O28" s="98"/>
      <c r="P28" s="98"/>
      <c r="Q28" s="98"/>
      <c r="R28" s="98"/>
      <c r="S28" s="98"/>
      <c r="T28" s="98"/>
      <c r="U28" s="98"/>
      <c r="V28" s="98"/>
      <c r="W28" s="98"/>
      <c r="X28" s="102"/>
      <c r="Y28" s="98"/>
      <c r="Z28" s="101" t="str">
        <f>IF(N28="", "", IF(ISNUMBER(MATCH(N28, TextTables!A:A, 0)), "Y", "N"))</f>
        <v/>
      </c>
      <c r="AA28" s="101" t="str">
        <f>IF(ISNUMBER(MATCH(F28, '[1]Can Matrix'!M:M, 0)), "Y", "N")</f>
        <v>Y</v>
      </c>
      <c r="AB28" s="4"/>
      <c r="AC28" s="4"/>
    </row>
    <row r="29" spans="1:29" ht="16.8">
      <c r="A29" s="98"/>
      <c r="B29" s="98"/>
      <c r="C29" s="98"/>
      <c r="D29" s="98" t="s">
        <v>77</v>
      </c>
      <c r="E29" s="98"/>
      <c r="F29" s="98" t="s">
        <v>106</v>
      </c>
      <c r="G29" s="98" t="s">
        <v>106</v>
      </c>
      <c r="H29" s="98"/>
      <c r="I29" s="99">
        <f>VLOOKUP(F29, '[1]Can Matrix'!$M:$X, 2, FALSE)</f>
        <v>16</v>
      </c>
      <c r="J29" s="43" t="str">
        <f t="shared" si="0"/>
        <v>uint16</v>
      </c>
      <c r="K29" s="98"/>
      <c r="L29" s="98"/>
      <c r="M29" s="100" t="str">
        <f>'[1]Can Matrix'!$R$2</f>
        <v>Unsigned</v>
      </c>
      <c r="N29" s="101" t="str">
        <f>IFERROR(IF(VLOOKUP(F29, '[1]Can Matrix'!$M:$X, 12, FALSE)=0, "", "TMS_Enum_" &amp; VLOOKUP(F29, '[1]Can Matrix'!$M:$X, 12, FALSE)), "")</f>
        <v/>
      </c>
      <c r="O29" s="98"/>
      <c r="P29" s="98"/>
      <c r="Q29" s="98"/>
      <c r="R29" s="98"/>
      <c r="S29" s="98"/>
      <c r="T29" s="98"/>
      <c r="U29" s="98"/>
      <c r="V29" s="98"/>
      <c r="W29" s="98"/>
      <c r="X29" s="102"/>
      <c r="Y29" s="98"/>
      <c r="Z29" s="101" t="str">
        <f>IF(N29="", "", IF(ISNUMBER(MATCH(N29, TextTables!A:A, 0)), "Y", "N"))</f>
        <v/>
      </c>
      <c r="AA29" s="101" t="str">
        <f>IF(ISNUMBER(MATCH(F29, '[1]Can Matrix'!M:M, 0)), "Y", "N")</f>
        <v>Y</v>
      </c>
      <c r="AB29" s="4"/>
      <c r="AC29" s="4"/>
    </row>
    <row r="30" spans="1:29" ht="16.8">
      <c r="A30" s="98"/>
      <c r="B30" s="98"/>
      <c r="C30" s="98"/>
      <c r="D30" s="98" t="s">
        <v>77</v>
      </c>
      <c r="E30" s="98"/>
      <c r="F30" s="98" t="s">
        <v>107</v>
      </c>
      <c r="G30" s="98" t="s">
        <v>107</v>
      </c>
      <c r="H30" s="98"/>
      <c r="I30" s="99">
        <f>VLOOKUP(F30, '[1]Can Matrix'!$M:$X, 2, FALSE)</f>
        <v>16</v>
      </c>
      <c r="J30" s="43" t="str">
        <f t="shared" si="0"/>
        <v>uint16</v>
      </c>
      <c r="K30" s="98"/>
      <c r="L30" s="98"/>
      <c r="M30" s="100" t="str">
        <f>'[1]Can Matrix'!$R$2</f>
        <v>Unsigned</v>
      </c>
      <c r="N30" s="101" t="str">
        <f>IFERROR(IF(VLOOKUP(F30, '[1]Can Matrix'!$M:$X, 12, FALSE)=0, "", "TMS_Enum_" &amp; VLOOKUP(F30, '[1]Can Matrix'!$M:$X, 12, FALSE)), "")</f>
        <v/>
      </c>
      <c r="O30" s="98"/>
      <c r="P30" s="98"/>
      <c r="Q30" s="98"/>
      <c r="R30" s="98"/>
      <c r="S30" s="98"/>
      <c r="T30" s="98"/>
      <c r="U30" s="98"/>
      <c r="V30" s="98"/>
      <c r="W30" s="98"/>
      <c r="X30" s="102"/>
      <c r="Y30" s="98"/>
      <c r="Z30" s="101" t="str">
        <f>IF(N30="", "", IF(ISNUMBER(MATCH(N30, TextTables!A:A, 0)), "Y", "N"))</f>
        <v/>
      </c>
      <c r="AA30" s="101" t="str">
        <f>IF(ISNUMBER(MATCH(F30, '[1]Can Matrix'!M:M, 0)), "Y", "N")</f>
        <v>Y</v>
      </c>
      <c r="AB30" s="4"/>
      <c r="AC30" s="4"/>
    </row>
    <row r="31" spans="1:29" ht="16.8">
      <c r="A31" s="98"/>
      <c r="B31" s="98"/>
      <c r="C31" s="98"/>
      <c r="D31" s="98" t="s">
        <v>77</v>
      </c>
      <c r="E31" s="98"/>
      <c r="F31" s="98" t="s">
        <v>108</v>
      </c>
      <c r="G31" s="98" t="s">
        <v>108</v>
      </c>
      <c r="H31" s="98"/>
      <c r="I31" s="99">
        <f>VLOOKUP(F31, '[1]Can Matrix'!$M:$X, 2, FALSE)</f>
        <v>16</v>
      </c>
      <c r="J31" s="43" t="str">
        <f t="shared" si="0"/>
        <v>uint16</v>
      </c>
      <c r="K31" s="98"/>
      <c r="L31" s="98"/>
      <c r="M31" s="100" t="str">
        <f>'[1]Can Matrix'!$R$2</f>
        <v>Unsigned</v>
      </c>
      <c r="N31" s="101" t="str">
        <f>IFERROR(IF(VLOOKUP(F31, '[1]Can Matrix'!$M:$X, 12, FALSE)=0, "", "TMS_Enum_" &amp; VLOOKUP(F31, '[1]Can Matrix'!$M:$X, 12, FALSE)), "")</f>
        <v/>
      </c>
      <c r="O31" s="98"/>
      <c r="P31" s="98"/>
      <c r="Q31" s="98"/>
      <c r="R31" s="98"/>
      <c r="S31" s="98"/>
      <c r="T31" s="98"/>
      <c r="U31" s="98"/>
      <c r="V31" s="98"/>
      <c r="W31" s="98"/>
      <c r="X31" s="102"/>
      <c r="Y31" s="98"/>
      <c r="Z31" s="101" t="str">
        <f>IF(N31="", "", IF(ISNUMBER(MATCH(N31, TextTables!A:A, 0)), "Y", "N"))</f>
        <v/>
      </c>
      <c r="AA31" s="101" t="str">
        <f>IF(ISNUMBER(MATCH(F31, '[1]Can Matrix'!M:M, 0)), "Y", "N")</f>
        <v>Y</v>
      </c>
      <c r="AB31" s="4"/>
      <c r="AC31" s="4"/>
    </row>
    <row r="32" spans="1:29" ht="16.8">
      <c r="A32" s="98"/>
      <c r="B32" s="98"/>
      <c r="C32" s="98"/>
      <c r="D32" s="98" t="s">
        <v>77</v>
      </c>
      <c r="E32" s="98"/>
      <c r="F32" s="98" t="s">
        <v>109</v>
      </c>
      <c r="G32" s="98" t="s">
        <v>109</v>
      </c>
      <c r="H32" s="98"/>
      <c r="I32" s="99">
        <f>VLOOKUP(F32, '[1]Can Matrix'!$M:$X, 2, FALSE)</f>
        <v>16</v>
      </c>
      <c r="J32" s="43" t="str">
        <f t="shared" si="0"/>
        <v>uint16</v>
      </c>
      <c r="K32" s="98"/>
      <c r="L32" s="98"/>
      <c r="M32" s="100" t="str">
        <f>'[1]Can Matrix'!$R$2</f>
        <v>Unsigned</v>
      </c>
      <c r="N32" s="101" t="str">
        <f>IFERROR(IF(VLOOKUP(F32, '[1]Can Matrix'!$M:$X, 12, FALSE)=0, "", "TMS_Enum_" &amp; VLOOKUP(F32, '[1]Can Matrix'!$M:$X, 12, FALSE)), "")</f>
        <v/>
      </c>
      <c r="O32" s="98"/>
      <c r="P32" s="98"/>
      <c r="Q32" s="98"/>
      <c r="R32" s="98"/>
      <c r="S32" s="98"/>
      <c r="T32" s="98"/>
      <c r="U32" s="98"/>
      <c r="V32" s="98"/>
      <c r="W32" s="98"/>
      <c r="X32" s="102"/>
      <c r="Y32" s="98"/>
      <c r="Z32" s="101" t="str">
        <f>IF(N32="", "", IF(ISNUMBER(MATCH(N32, TextTables!A:A, 0)), "Y", "N"))</f>
        <v/>
      </c>
      <c r="AA32" s="101" t="str">
        <f>IF(ISNUMBER(MATCH(F32, '[1]Can Matrix'!M:M, 0)), "Y", "N")</f>
        <v>Y</v>
      </c>
      <c r="AB32" s="4"/>
      <c r="AC32" s="4"/>
    </row>
    <row r="33" spans="1:29" ht="16.8">
      <c r="A33" s="98"/>
      <c r="B33" s="98"/>
      <c r="C33" s="98"/>
      <c r="D33" s="98" t="s">
        <v>77</v>
      </c>
      <c r="E33" s="98"/>
      <c r="F33" s="98" t="s">
        <v>110</v>
      </c>
      <c r="G33" s="98" t="s">
        <v>110</v>
      </c>
      <c r="H33" s="98"/>
      <c r="I33" s="99">
        <f>VLOOKUP(F33, '[1]Can Matrix'!$M:$X, 2, FALSE)</f>
        <v>16</v>
      </c>
      <c r="J33" s="43" t="str">
        <f t="shared" si="0"/>
        <v>uint16</v>
      </c>
      <c r="K33" s="98"/>
      <c r="L33" s="98"/>
      <c r="M33" s="100" t="str">
        <f>'[1]Can Matrix'!$R$2</f>
        <v>Unsigned</v>
      </c>
      <c r="N33" s="101" t="str">
        <f>IFERROR(IF(VLOOKUP(F33, '[1]Can Matrix'!$M:$X, 12, FALSE)=0, "", "TMS_Enum_" &amp; VLOOKUP(F33, '[1]Can Matrix'!$M:$X, 12, FALSE)), "")</f>
        <v/>
      </c>
      <c r="O33" s="98"/>
      <c r="P33" s="98"/>
      <c r="Q33" s="98"/>
      <c r="R33" s="98"/>
      <c r="S33" s="98"/>
      <c r="T33" s="98"/>
      <c r="U33" s="98"/>
      <c r="V33" s="98"/>
      <c r="W33" s="98"/>
      <c r="X33" s="102"/>
      <c r="Y33" s="98"/>
      <c r="Z33" s="101" t="str">
        <f>IF(N33="", "", IF(ISNUMBER(MATCH(N33, TextTables!A:A, 0)), "Y", "N"))</f>
        <v/>
      </c>
      <c r="AA33" s="101" t="str">
        <f>IF(ISNUMBER(MATCH(F33, '[1]Can Matrix'!M:M, 0)), "Y", "N")</f>
        <v>Y</v>
      </c>
      <c r="AB33" s="4"/>
      <c r="AC33" s="4"/>
    </row>
    <row r="34" spans="1:29" ht="150">
      <c r="A34" s="98"/>
      <c r="B34" s="98"/>
      <c r="C34" s="98"/>
      <c r="D34" s="98" t="s">
        <v>77</v>
      </c>
      <c r="E34" s="98"/>
      <c r="F34" s="98" t="s">
        <v>111</v>
      </c>
      <c r="G34" s="98" t="s">
        <v>111</v>
      </c>
      <c r="H34" s="98"/>
      <c r="I34" s="99">
        <f>VLOOKUP(F34, '[1]Can Matrix'!$M:$X, 2, FALSE)</f>
        <v>8</v>
      </c>
      <c r="J34" s="43" t="str">
        <f t="shared" si="0"/>
        <v>uint8</v>
      </c>
      <c r="K34" s="98"/>
      <c r="L34" s="98"/>
      <c r="M34" s="100" t="str">
        <f>'[1]Can Matrix'!$R$2</f>
        <v>Unsigned</v>
      </c>
      <c r="N34" s="101" t="str">
        <f>IFERROR(IF(VLOOKUP(F34, '[1]Can Matrix'!$M:$X, 12, FALSE)=0, "", "TMS_Enum_" &amp; VLOOKUP(F34, '[1]Can Matrix'!$M:$X, 12, FALSE)), "")</f>
        <v/>
      </c>
      <c r="O34" s="98"/>
      <c r="P34" s="98"/>
      <c r="Q34" s="98"/>
      <c r="R34" s="98"/>
      <c r="S34" s="98"/>
      <c r="T34" s="98"/>
      <c r="U34" s="98"/>
      <c r="V34" s="98"/>
      <c r="W34" s="98"/>
      <c r="X34" s="102" t="s">
        <v>112</v>
      </c>
      <c r="Y34" s="98"/>
      <c r="Z34" s="101" t="str">
        <f>IF(N34="", "", IF(ISNUMBER(MATCH(N34, TextTables!A:A, 0)), "Y", "N"))</f>
        <v/>
      </c>
      <c r="AA34" s="101" t="str">
        <f>IF(ISNUMBER(MATCH(F34, '[1]Can Matrix'!M:M, 0)), "Y", "N")</f>
        <v>Y</v>
      </c>
      <c r="AB34" s="4"/>
      <c r="AC34" s="4"/>
    </row>
    <row r="35" spans="1:29" ht="150">
      <c r="A35" s="98"/>
      <c r="B35" s="98"/>
      <c r="C35" s="98"/>
      <c r="D35" s="98" t="s">
        <v>77</v>
      </c>
      <c r="E35" s="98"/>
      <c r="F35" s="98" t="s">
        <v>113</v>
      </c>
      <c r="G35" s="98" t="s">
        <v>113</v>
      </c>
      <c r="H35" s="98"/>
      <c r="I35" s="99">
        <f>VLOOKUP(F35, '[1]Can Matrix'!$M:$X, 2, FALSE)</f>
        <v>8</v>
      </c>
      <c r="J35" s="43" t="str">
        <f t="shared" si="0"/>
        <v>uint8</v>
      </c>
      <c r="K35" s="98"/>
      <c r="L35" s="98"/>
      <c r="M35" s="100" t="str">
        <f>'[1]Can Matrix'!$R$2</f>
        <v>Unsigned</v>
      </c>
      <c r="N35" s="101" t="str">
        <f>IFERROR(IF(VLOOKUP(F35, '[1]Can Matrix'!$M:$X, 12, FALSE)=0, "", "TMS_Enum_" &amp; VLOOKUP(F35, '[1]Can Matrix'!$M:$X, 12, FALSE)), "")</f>
        <v/>
      </c>
      <c r="O35" s="98"/>
      <c r="P35" s="98"/>
      <c r="Q35" s="98"/>
      <c r="R35" s="98"/>
      <c r="S35" s="98"/>
      <c r="T35" s="98"/>
      <c r="U35" s="98"/>
      <c r="V35" s="98"/>
      <c r="W35" s="98"/>
      <c r="X35" s="102" t="s">
        <v>112</v>
      </c>
      <c r="Y35" s="98"/>
      <c r="Z35" s="101" t="str">
        <f>IF(N35="", "", IF(ISNUMBER(MATCH(N35, TextTables!A:A, 0)), "Y", "N"))</f>
        <v/>
      </c>
      <c r="AA35" s="101" t="str">
        <f>IF(ISNUMBER(MATCH(F35, '[1]Can Matrix'!M:M, 0)), "Y", "N")</f>
        <v>Y</v>
      </c>
      <c r="AB35" s="4"/>
      <c r="AC35" s="4"/>
    </row>
    <row r="36" spans="1:29" ht="150">
      <c r="A36" s="98"/>
      <c r="B36" s="98"/>
      <c r="C36" s="98"/>
      <c r="D36" s="98" t="s">
        <v>77</v>
      </c>
      <c r="E36" s="98"/>
      <c r="F36" s="98" t="s">
        <v>114</v>
      </c>
      <c r="G36" s="98" t="s">
        <v>114</v>
      </c>
      <c r="H36" s="98"/>
      <c r="I36" s="99">
        <f>VLOOKUP(F36, '[1]Can Matrix'!$M:$X, 2, FALSE)</f>
        <v>8</v>
      </c>
      <c r="J36" s="43" t="str">
        <f t="shared" si="0"/>
        <v>uint8</v>
      </c>
      <c r="K36" s="98"/>
      <c r="L36" s="98"/>
      <c r="M36" s="100" t="str">
        <f>'[1]Can Matrix'!$R$2</f>
        <v>Unsigned</v>
      </c>
      <c r="N36" s="101" t="str">
        <f>IFERROR(IF(VLOOKUP(F36, '[1]Can Matrix'!$M:$X, 12, FALSE)=0, "", "TMS_Enum_" &amp; VLOOKUP(F36, '[1]Can Matrix'!$M:$X, 12, FALSE)), "")</f>
        <v/>
      </c>
      <c r="O36" s="98"/>
      <c r="P36" s="98"/>
      <c r="Q36" s="98"/>
      <c r="R36" s="98"/>
      <c r="S36" s="98"/>
      <c r="T36" s="98"/>
      <c r="U36" s="98"/>
      <c r="V36" s="98"/>
      <c r="W36" s="98"/>
      <c r="X36" s="102" t="s">
        <v>112</v>
      </c>
      <c r="Y36" s="98"/>
      <c r="Z36" s="101" t="str">
        <f>IF(N36="", "", IF(ISNUMBER(MATCH(N36, TextTables!A:A, 0)), "Y", "N"))</f>
        <v/>
      </c>
      <c r="AA36" s="101" t="str">
        <f>IF(ISNUMBER(MATCH(F36, '[1]Can Matrix'!M:M, 0)), "Y", "N")</f>
        <v>Y</v>
      </c>
      <c r="AB36" s="4"/>
      <c r="AC36" s="4"/>
    </row>
    <row r="37" spans="1:29" ht="120">
      <c r="A37" s="98"/>
      <c r="B37" s="98"/>
      <c r="C37" s="98"/>
      <c r="D37" s="98" t="s">
        <v>77</v>
      </c>
      <c r="E37" s="98"/>
      <c r="F37" s="98" t="s">
        <v>115</v>
      </c>
      <c r="G37" s="98" t="s">
        <v>115</v>
      </c>
      <c r="H37" s="98"/>
      <c r="I37" s="99">
        <f>VLOOKUP(F37, '[1]Can Matrix'!$M:$X, 2, FALSE)</f>
        <v>8</v>
      </c>
      <c r="J37" s="43" t="str">
        <f t="shared" si="0"/>
        <v>uint8</v>
      </c>
      <c r="K37" s="98"/>
      <c r="L37" s="98"/>
      <c r="M37" s="100" t="str">
        <f>'[1]Can Matrix'!$R$2</f>
        <v>Unsigned</v>
      </c>
      <c r="N37" s="101" t="str">
        <f>IFERROR(IF(VLOOKUP(F37, '[1]Can Matrix'!$M:$X, 12, FALSE)=0, "", "TMS_Enum_" &amp; VLOOKUP(F37, '[1]Can Matrix'!$M:$X, 12, FALSE)), "")</f>
        <v/>
      </c>
      <c r="O37" s="98"/>
      <c r="P37" s="98"/>
      <c r="Q37" s="98"/>
      <c r="R37" s="98"/>
      <c r="S37" s="98"/>
      <c r="T37" s="98"/>
      <c r="U37" s="98"/>
      <c r="V37" s="98"/>
      <c r="W37" s="98"/>
      <c r="X37" s="102" t="s">
        <v>116</v>
      </c>
      <c r="Y37" s="98"/>
      <c r="Z37" s="101" t="str">
        <f>IF(N37="", "", IF(ISNUMBER(MATCH(N37, TextTables!A:A, 0)), "Y", "N"))</f>
        <v/>
      </c>
      <c r="AA37" s="101" t="str">
        <f>IF(ISNUMBER(MATCH(F37, '[1]Can Matrix'!M:M, 0)), "Y", "N")</f>
        <v>Y</v>
      </c>
      <c r="AB37" s="4"/>
      <c r="AC37" s="4"/>
    </row>
    <row r="38" spans="1:29" ht="120">
      <c r="A38" s="98"/>
      <c r="B38" s="98"/>
      <c r="C38" s="98"/>
      <c r="D38" s="98" t="s">
        <v>77</v>
      </c>
      <c r="E38" s="98"/>
      <c r="F38" s="98" t="s">
        <v>117</v>
      </c>
      <c r="G38" s="98" t="s">
        <v>117</v>
      </c>
      <c r="H38" s="98"/>
      <c r="I38" s="99">
        <f>VLOOKUP(F38, '[1]Can Matrix'!$M:$X, 2, FALSE)</f>
        <v>8</v>
      </c>
      <c r="J38" s="43" t="str">
        <f t="shared" si="0"/>
        <v>uint8</v>
      </c>
      <c r="K38" s="98"/>
      <c r="L38" s="98"/>
      <c r="M38" s="100" t="str">
        <f>'[1]Can Matrix'!$R$2</f>
        <v>Unsigned</v>
      </c>
      <c r="N38" s="101" t="str">
        <f>IFERROR(IF(VLOOKUP(F38, '[1]Can Matrix'!$M:$X, 12, FALSE)=0, "", "TMS_Enum_" &amp; VLOOKUP(F38, '[1]Can Matrix'!$M:$X, 12, FALSE)), "")</f>
        <v/>
      </c>
      <c r="O38" s="98"/>
      <c r="P38" s="98"/>
      <c r="Q38" s="98"/>
      <c r="R38" s="98"/>
      <c r="S38" s="98"/>
      <c r="T38" s="98"/>
      <c r="U38" s="98"/>
      <c r="V38" s="98"/>
      <c r="W38" s="98"/>
      <c r="X38" s="102" t="s">
        <v>116</v>
      </c>
      <c r="Y38" s="98"/>
      <c r="Z38" s="101" t="str">
        <f>IF(N38="", "", IF(ISNUMBER(MATCH(N38, TextTables!A:A, 0)), "Y", "N"))</f>
        <v/>
      </c>
      <c r="AA38" s="101" t="str">
        <f>IF(ISNUMBER(MATCH(F38, '[1]Can Matrix'!M:M, 0)), "Y", "N")</f>
        <v>Y</v>
      </c>
      <c r="AB38" s="4"/>
      <c r="AC38" s="4"/>
    </row>
    <row r="39" spans="1:29" ht="120">
      <c r="A39" s="98"/>
      <c r="B39" s="98"/>
      <c r="C39" s="98"/>
      <c r="D39" s="98" t="s">
        <v>77</v>
      </c>
      <c r="E39" s="98"/>
      <c r="F39" s="98" t="s">
        <v>118</v>
      </c>
      <c r="G39" s="98" t="s">
        <v>118</v>
      </c>
      <c r="H39" s="98"/>
      <c r="I39" s="99">
        <f>VLOOKUP(F39, '[1]Can Matrix'!$M:$X, 2, FALSE)</f>
        <v>8</v>
      </c>
      <c r="J39" s="43" t="str">
        <f t="shared" si="0"/>
        <v>uint8</v>
      </c>
      <c r="K39" s="98"/>
      <c r="L39" s="98"/>
      <c r="M39" s="100" t="str">
        <f>'[1]Can Matrix'!$R$2</f>
        <v>Unsigned</v>
      </c>
      <c r="N39" s="101" t="str">
        <f>IFERROR(IF(VLOOKUP(F39, '[1]Can Matrix'!$M:$X, 12, FALSE)=0, "", "TMS_Enum_" &amp; VLOOKUP(F39, '[1]Can Matrix'!$M:$X, 12, FALSE)), "")</f>
        <v/>
      </c>
      <c r="O39" s="98"/>
      <c r="P39" s="98"/>
      <c r="Q39" s="98"/>
      <c r="R39" s="98"/>
      <c r="S39" s="98"/>
      <c r="T39" s="98"/>
      <c r="U39" s="98"/>
      <c r="V39" s="98"/>
      <c r="W39" s="98"/>
      <c r="X39" s="102" t="s">
        <v>116</v>
      </c>
      <c r="Y39" s="98"/>
      <c r="Z39" s="101" t="str">
        <f>IF(N39="", "", IF(ISNUMBER(MATCH(N39, TextTables!A:A, 0)), "Y", "N"))</f>
        <v/>
      </c>
      <c r="AA39" s="101" t="str">
        <f>IF(ISNUMBER(MATCH(F39, '[1]Can Matrix'!M:M, 0)), "Y", "N")</f>
        <v>Y</v>
      </c>
      <c r="AB39" s="4"/>
      <c r="AC39" s="4"/>
    </row>
    <row r="40" spans="1:29" ht="135">
      <c r="A40" s="98"/>
      <c r="B40" s="98"/>
      <c r="C40" s="98"/>
      <c r="D40" s="98" t="s">
        <v>77</v>
      </c>
      <c r="E40" s="98"/>
      <c r="F40" s="98" t="s">
        <v>119</v>
      </c>
      <c r="G40" s="98" t="s">
        <v>119</v>
      </c>
      <c r="H40" s="98"/>
      <c r="I40" s="99">
        <f>VLOOKUP(F40, '[1]Can Matrix'!$M:$X, 2, FALSE)</f>
        <v>8</v>
      </c>
      <c r="J40" s="43" t="str">
        <f t="shared" si="0"/>
        <v>uint8</v>
      </c>
      <c r="K40" s="98"/>
      <c r="L40" s="98"/>
      <c r="M40" s="100" t="str">
        <f>'[1]Can Matrix'!$R$2</f>
        <v>Unsigned</v>
      </c>
      <c r="N40" s="101" t="str">
        <f>IFERROR(IF(VLOOKUP(F40, '[1]Can Matrix'!$M:$X, 12, FALSE)=0, "", "TMS_Enum_" &amp; VLOOKUP(F40, '[1]Can Matrix'!$M:$X, 12, FALSE)), "")</f>
        <v/>
      </c>
      <c r="O40" s="98"/>
      <c r="P40" s="98"/>
      <c r="Q40" s="98"/>
      <c r="R40" s="98"/>
      <c r="S40" s="98"/>
      <c r="T40" s="98"/>
      <c r="U40" s="98"/>
      <c r="V40" s="98"/>
      <c r="W40" s="98"/>
      <c r="X40" s="102" t="s">
        <v>120</v>
      </c>
      <c r="Y40" s="98"/>
      <c r="Z40" s="101" t="str">
        <f>IF(N40="", "", IF(ISNUMBER(MATCH(N40, TextTables!A:A, 0)), "Y", "N"))</f>
        <v/>
      </c>
      <c r="AA40" s="101" t="str">
        <f>IF(ISNUMBER(MATCH(F40, '[1]Can Matrix'!M:M, 0)), "Y", "N")</f>
        <v>Y</v>
      </c>
      <c r="AB40" s="4"/>
      <c r="AC40" s="4"/>
    </row>
    <row r="41" spans="1:29" ht="75">
      <c r="A41" s="98"/>
      <c r="B41" s="98"/>
      <c r="C41" s="98"/>
      <c r="D41" s="98" t="s">
        <v>77</v>
      </c>
      <c r="E41" s="98"/>
      <c r="F41" s="98" t="s">
        <v>121</v>
      </c>
      <c r="G41" s="98" t="s">
        <v>121</v>
      </c>
      <c r="H41" s="98"/>
      <c r="I41" s="99">
        <f>VLOOKUP(F41, '[1]Can Matrix'!$M:$X, 2, FALSE)</f>
        <v>8</v>
      </c>
      <c r="J41" s="43" t="str">
        <f t="shared" si="0"/>
        <v>uint8</v>
      </c>
      <c r="K41" s="98"/>
      <c r="L41" s="98"/>
      <c r="M41" s="100" t="str">
        <f>'[1]Can Matrix'!$R$2</f>
        <v>Unsigned</v>
      </c>
      <c r="N41" s="101" t="str">
        <f>IFERROR(IF(VLOOKUP(F41, '[1]Can Matrix'!$M:$X, 12, FALSE)=0, "", "TMS_Enum_" &amp; VLOOKUP(F41, '[1]Can Matrix'!$M:$X, 12, FALSE)), "")</f>
        <v/>
      </c>
      <c r="O41" s="98"/>
      <c r="P41" s="98"/>
      <c r="Q41" s="98"/>
      <c r="R41" s="98"/>
      <c r="S41" s="98"/>
      <c r="T41" s="98"/>
      <c r="U41" s="98"/>
      <c r="V41" s="98"/>
      <c r="W41" s="98"/>
      <c r="X41" s="102" t="s">
        <v>122</v>
      </c>
      <c r="Y41" s="98"/>
      <c r="Z41" s="101" t="str">
        <f>IF(N41="", "", IF(ISNUMBER(MATCH(N41, TextTables!A:A, 0)), "Y", "N"))</f>
        <v/>
      </c>
      <c r="AA41" s="101" t="str">
        <f>IF(ISNUMBER(MATCH(F41, '[1]Can Matrix'!M:M, 0)), "Y", "N")</f>
        <v>Y</v>
      </c>
      <c r="AB41" s="4"/>
      <c r="AC41" s="4"/>
    </row>
    <row r="42" spans="1:29" ht="120">
      <c r="A42" s="98"/>
      <c r="B42" s="98"/>
      <c r="C42" s="98"/>
      <c r="D42" s="98" t="s">
        <v>77</v>
      </c>
      <c r="E42" s="98"/>
      <c r="F42" s="98" t="s">
        <v>123</v>
      </c>
      <c r="G42" s="98" t="s">
        <v>123</v>
      </c>
      <c r="H42" s="98"/>
      <c r="I42" s="99">
        <f>VLOOKUP(F42, '[1]Can Matrix'!$M:$X, 2, FALSE)</f>
        <v>8</v>
      </c>
      <c r="J42" s="43" t="str">
        <f t="shared" si="0"/>
        <v>uint8</v>
      </c>
      <c r="K42" s="98"/>
      <c r="L42" s="98"/>
      <c r="M42" s="100" t="str">
        <f>'[1]Can Matrix'!$R$2</f>
        <v>Unsigned</v>
      </c>
      <c r="N42" s="101" t="str">
        <f>IFERROR(IF(VLOOKUP(F42, '[1]Can Matrix'!$M:$X, 12, FALSE)=0, "", "TMS_Enum_" &amp; VLOOKUP(F42, '[1]Can Matrix'!$M:$X, 12, FALSE)), "")</f>
        <v/>
      </c>
      <c r="O42" s="98"/>
      <c r="P42" s="98"/>
      <c r="Q42" s="98"/>
      <c r="R42" s="98"/>
      <c r="S42" s="98"/>
      <c r="T42" s="98"/>
      <c r="U42" s="98"/>
      <c r="V42" s="98"/>
      <c r="W42" s="98"/>
      <c r="X42" s="102" t="s">
        <v>124</v>
      </c>
      <c r="Y42" s="98"/>
      <c r="Z42" s="101" t="str">
        <f>IF(N42="", "", IF(ISNUMBER(MATCH(N42, TextTables!A:A, 0)), "Y", "N"))</f>
        <v/>
      </c>
      <c r="AA42" s="101" t="str">
        <f>IF(ISNUMBER(MATCH(F42, '[1]Can Matrix'!M:M, 0)), "Y", "N")</f>
        <v>Y</v>
      </c>
      <c r="AB42" s="4"/>
      <c r="AC42" s="4"/>
    </row>
    <row r="43" spans="1:29" ht="60">
      <c r="A43" s="98"/>
      <c r="B43" s="98"/>
      <c r="C43" s="98"/>
      <c r="D43" s="98" t="s">
        <v>77</v>
      </c>
      <c r="E43" s="98"/>
      <c r="F43" s="98" t="s">
        <v>125</v>
      </c>
      <c r="G43" s="98" t="s">
        <v>125</v>
      </c>
      <c r="H43" s="98"/>
      <c r="I43" s="99">
        <f>VLOOKUP(F43, '[1]Can Matrix'!$M:$X, 2, FALSE)</f>
        <v>8</v>
      </c>
      <c r="J43" s="43" t="str">
        <f t="shared" si="0"/>
        <v>uint8</v>
      </c>
      <c r="K43" s="98"/>
      <c r="L43" s="98"/>
      <c r="M43" s="100" t="str">
        <f>'[1]Can Matrix'!$R$2</f>
        <v>Unsigned</v>
      </c>
      <c r="N43" s="101" t="str">
        <f>IFERROR(IF(VLOOKUP(F43, '[1]Can Matrix'!$M:$X, 12, FALSE)=0, "", "TMS_Enum_" &amp; VLOOKUP(F43, '[1]Can Matrix'!$M:$X, 12, FALSE)), "")</f>
        <v/>
      </c>
      <c r="O43" s="98"/>
      <c r="P43" s="98"/>
      <c r="Q43" s="98"/>
      <c r="R43" s="98"/>
      <c r="S43" s="98"/>
      <c r="T43" s="98"/>
      <c r="U43" s="98"/>
      <c r="V43" s="98"/>
      <c r="W43" s="98"/>
      <c r="X43" s="102" t="s">
        <v>126</v>
      </c>
      <c r="Y43" s="98"/>
      <c r="Z43" s="101" t="str">
        <f>IF(N43="", "", IF(ISNUMBER(MATCH(N43, TextTables!A:A, 0)), "Y", "N"))</f>
        <v/>
      </c>
      <c r="AA43" s="101" t="str">
        <f>IF(ISNUMBER(MATCH(F43, '[1]Can Matrix'!M:M, 0)), "Y", "N")</f>
        <v>Y</v>
      </c>
      <c r="AB43" s="4"/>
      <c r="AC43" s="4"/>
    </row>
    <row r="44" spans="1:29" ht="30">
      <c r="A44" s="98"/>
      <c r="B44" s="98"/>
      <c r="C44" s="98"/>
      <c r="D44" s="98" t="s">
        <v>77</v>
      </c>
      <c r="E44" s="98"/>
      <c r="F44" s="98" t="s">
        <v>127</v>
      </c>
      <c r="G44" s="98" t="s">
        <v>127</v>
      </c>
      <c r="H44" s="98"/>
      <c r="I44" s="99">
        <f>VLOOKUP(F44, '[1]Can Matrix'!$M:$X, 2, FALSE)</f>
        <v>8</v>
      </c>
      <c r="J44" s="43" t="str">
        <f t="shared" si="0"/>
        <v>uint8</v>
      </c>
      <c r="K44" s="98"/>
      <c r="L44" s="98"/>
      <c r="M44" s="100" t="str">
        <f>'[1]Can Matrix'!$R$2</f>
        <v>Unsigned</v>
      </c>
      <c r="N44" s="101" t="str">
        <f>IFERROR(IF(VLOOKUP(F44, '[1]Can Matrix'!$M:$X, 12, FALSE)=0, "", "TMS_Enum_" &amp; VLOOKUP(F44, '[1]Can Matrix'!$M:$X, 12, FALSE)), "")</f>
        <v/>
      </c>
      <c r="O44" s="98"/>
      <c r="P44" s="98"/>
      <c r="Q44" s="98"/>
      <c r="R44" s="98"/>
      <c r="S44" s="98"/>
      <c r="T44" s="98"/>
      <c r="U44" s="98"/>
      <c r="V44" s="98"/>
      <c r="W44" s="98"/>
      <c r="X44" s="102" t="s">
        <v>80</v>
      </c>
      <c r="Y44" s="98"/>
      <c r="Z44" s="101" t="str">
        <f>IF(N44="", "", IF(ISNUMBER(MATCH(N44, TextTables!A:A, 0)), "Y", "N"))</f>
        <v/>
      </c>
      <c r="AA44" s="101" t="str">
        <f>IF(ISNUMBER(MATCH(F44, '[1]Can Matrix'!M:M, 0)), "Y", "N")</f>
        <v>Y</v>
      </c>
      <c r="AB44" s="4"/>
      <c r="AC44" s="4"/>
    </row>
    <row r="45" spans="1:29" ht="30">
      <c r="A45" s="98"/>
      <c r="B45" s="98"/>
      <c r="C45" s="98"/>
      <c r="D45" s="98" t="s">
        <v>77</v>
      </c>
      <c r="E45" s="98"/>
      <c r="F45" s="98" t="s">
        <v>128</v>
      </c>
      <c r="G45" s="98" t="s">
        <v>128</v>
      </c>
      <c r="H45" s="98"/>
      <c r="I45" s="99">
        <f>VLOOKUP(F45, '[1]Can Matrix'!$M:$X, 2, FALSE)</f>
        <v>8</v>
      </c>
      <c r="J45" s="43" t="str">
        <f t="shared" si="0"/>
        <v>uint8</v>
      </c>
      <c r="K45" s="98"/>
      <c r="L45" s="98"/>
      <c r="M45" s="100" t="str">
        <f>'[1]Can Matrix'!$R$2</f>
        <v>Unsigned</v>
      </c>
      <c r="N45" s="101" t="str">
        <f>IFERROR(IF(VLOOKUP(F45, '[1]Can Matrix'!$M:$X, 12, FALSE)=0, "", "TMS_Enum_" &amp; VLOOKUP(F45, '[1]Can Matrix'!$M:$X, 12, FALSE)), "")</f>
        <v/>
      </c>
      <c r="O45" s="98"/>
      <c r="P45" s="98"/>
      <c r="Q45" s="98"/>
      <c r="R45" s="98"/>
      <c r="S45" s="98"/>
      <c r="T45" s="98"/>
      <c r="U45" s="98"/>
      <c r="V45" s="98"/>
      <c r="W45" s="98"/>
      <c r="X45" s="102" t="s">
        <v>80</v>
      </c>
      <c r="Y45" s="98"/>
      <c r="Z45" s="101" t="str">
        <f>IF(N45="", "", IF(ISNUMBER(MATCH(N45, TextTables!A:A, 0)), "Y", "N"))</f>
        <v/>
      </c>
      <c r="AA45" s="101" t="str">
        <f>IF(ISNUMBER(MATCH(F45, '[1]Can Matrix'!M:M, 0)), "Y", "N")</f>
        <v>Y</v>
      </c>
      <c r="AB45" s="4"/>
      <c r="AC45" s="4"/>
    </row>
    <row r="46" spans="1:29" ht="60">
      <c r="A46" s="98"/>
      <c r="B46" s="98"/>
      <c r="C46" s="98"/>
      <c r="D46" s="98" t="s">
        <v>77</v>
      </c>
      <c r="E46" s="98"/>
      <c r="F46" s="98" t="s">
        <v>129</v>
      </c>
      <c r="G46" s="98" t="s">
        <v>129</v>
      </c>
      <c r="H46" s="98"/>
      <c r="I46" s="99">
        <f>VLOOKUP(F46, '[1]Can Matrix'!$M:$X, 2, FALSE)</f>
        <v>8</v>
      </c>
      <c r="J46" s="43" t="str">
        <f t="shared" si="0"/>
        <v>uint8</v>
      </c>
      <c r="K46" s="98"/>
      <c r="L46" s="98"/>
      <c r="M46" s="100" t="str">
        <f>'[1]Can Matrix'!$R$2</f>
        <v>Unsigned</v>
      </c>
      <c r="N46" s="101" t="str">
        <f>IFERROR(IF(VLOOKUP(F46, '[1]Can Matrix'!$M:$X, 12, FALSE)=0, "", "TMS_Enum_" &amp; VLOOKUP(F46, '[1]Can Matrix'!$M:$X, 12, FALSE)), "")</f>
        <v/>
      </c>
      <c r="O46" s="98"/>
      <c r="P46" s="98"/>
      <c r="Q46" s="98"/>
      <c r="R46" s="98"/>
      <c r="S46" s="98"/>
      <c r="T46" s="98"/>
      <c r="U46" s="98"/>
      <c r="V46" s="98"/>
      <c r="W46" s="98"/>
      <c r="X46" s="102" t="s">
        <v>130</v>
      </c>
      <c r="Y46" s="98"/>
      <c r="Z46" s="101" t="str">
        <f>IF(N46="", "", IF(ISNUMBER(MATCH(N46, TextTables!A:A, 0)), "Y", "N"))</f>
        <v/>
      </c>
      <c r="AA46" s="101" t="str">
        <f>IF(ISNUMBER(MATCH(F46, '[1]Can Matrix'!M:M, 0)), "Y", "N")</f>
        <v>Y</v>
      </c>
      <c r="AB46" s="4"/>
      <c r="AC46" s="4"/>
    </row>
    <row r="47" spans="1:29" ht="60">
      <c r="A47" s="98"/>
      <c r="B47" s="98"/>
      <c r="C47" s="98"/>
      <c r="D47" s="98" t="s">
        <v>77</v>
      </c>
      <c r="E47" s="98"/>
      <c r="F47" s="98" t="s">
        <v>131</v>
      </c>
      <c r="G47" s="98" t="s">
        <v>131</v>
      </c>
      <c r="H47" s="98"/>
      <c r="I47" s="99">
        <f>VLOOKUP(F47, '[1]Can Matrix'!$M:$X, 2, FALSE)</f>
        <v>8</v>
      </c>
      <c r="J47" s="43" t="str">
        <f t="shared" si="0"/>
        <v>uint8</v>
      </c>
      <c r="K47" s="98"/>
      <c r="L47" s="98"/>
      <c r="M47" s="100" t="str">
        <f>'[1]Can Matrix'!$R$2</f>
        <v>Unsigned</v>
      </c>
      <c r="N47" s="101" t="str">
        <f>IFERROR(IF(VLOOKUP(F47, '[1]Can Matrix'!$M:$X, 12, FALSE)=0, "", "TMS_Enum_" &amp; VLOOKUP(F47, '[1]Can Matrix'!$M:$X, 12, FALSE)), "")</f>
        <v/>
      </c>
      <c r="O47" s="98"/>
      <c r="P47" s="98"/>
      <c r="Q47" s="98"/>
      <c r="R47" s="98"/>
      <c r="S47" s="98"/>
      <c r="T47" s="98"/>
      <c r="U47" s="98"/>
      <c r="V47" s="98"/>
      <c r="W47" s="98"/>
      <c r="X47" s="102" t="s">
        <v>130</v>
      </c>
      <c r="Y47" s="98"/>
      <c r="Z47" s="101" t="str">
        <f>IF(N47="", "", IF(ISNUMBER(MATCH(N47, TextTables!A:A, 0)), "Y", "N"))</f>
        <v/>
      </c>
      <c r="AA47" s="101" t="str">
        <f>IF(ISNUMBER(MATCH(F47, '[1]Can Matrix'!M:M, 0)), "Y", "N")</f>
        <v>Y</v>
      </c>
      <c r="AB47" s="4"/>
      <c r="AC47" s="4"/>
    </row>
    <row r="48" spans="1:29" ht="30">
      <c r="A48" s="98"/>
      <c r="B48" s="98"/>
      <c r="C48" s="98"/>
      <c r="D48" s="98" t="s">
        <v>77</v>
      </c>
      <c r="E48" s="98"/>
      <c r="F48" s="98" t="s">
        <v>132</v>
      </c>
      <c r="G48" s="98" t="s">
        <v>132</v>
      </c>
      <c r="H48" s="98"/>
      <c r="I48" s="99">
        <f>VLOOKUP(F48, '[1]Can Matrix'!$M:$X, 2, FALSE)</f>
        <v>8</v>
      </c>
      <c r="J48" s="43" t="str">
        <f t="shared" si="0"/>
        <v>uint8</v>
      </c>
      <c r="K48" s="98"/>
      <c r="L48" s="98"/>
      <c r="M48" s="100" t="str">
        <f>'[1]Can Matrix'!$R$2</f>
        <v>Unsigned</v>
      </c>
      <c r="N48" s="101" t="str">
        <f>IFERROR(IF(VLOOKUP(F48, '[1]Can Matrix'!$M:$X, 12, FALSE)=0, "", "TMS_Enum_" &amp; VLOOKUP(F48, '[1]Can Matrix'!$M:$X, 12, FALSE)), "")</f>
        <v/>
      </c>
      <c r="O48" s="98"/>
      <c r="P48" s="98"/>
      <c r="Q48" s="98"/>
      <c r="R48" s="98"/>
      <c r="S48" s="98"/>
      <c r="T48" s="98"/>
      <c r="U48" s="98"/>
      <c r="V48" s="98"/>
      <c r="W48" s="98"/>
      <c r="X48" s="102" t="s">
        <v>80</v>
      </c>
      <c r="Y48" s="98"/>
      <c r="Z48" s="101" t="str">
        <f>IF(N48="", "", IF(ISNUMBER(MATCH(N48, TextTables!A:A, 0)), "Y", "N"))</f>
        <v/>
      </c>
      <c r="AA48" s="101" t="str">
        <f>IF(ISNUMBER(MATCH(F48, '[1]Can Matrix'!M:M, 0)), "Y", "N")</f>
        <v>Y</v>
      </c>
      <c r="AB48" s="4"/>
      <c r="AC48" s="4"/>
    </row>
    <row r="49" spans="1:29" ht="30">
      <c r="A49" s="98"/>
      <c r="B49" s="98"/>
      <c r="C49" s="98"/>
      <c r="D49" s="98" t="s">
        <v>77</v>
      </c>
      <c r="E49" s="98"/>
      <c r="F49" s="98" t="s">
        <v>133</v>
      </c>
      <c r="G49" s="98" t="s">
        <v>133</v>
      </c>
      <c r="H49" s="98"/>
      <c r="I49" s="99">
        <f>VLOOKUP(F49, '[1]Can Matrix'!$M:$X, 2, FALSE)</f>
        <v>8</v>
      </c>
      <c r="J49" s="43" t="str">
        <f t="shared" si="0"/>
        <v>uint8</v>
      </c>
      <c r="K49" s="98"/>
      <c r="L49" s="98"/>
      <c r="M49" s="100" t="str">
        <f>'[1]Can Matrix'!$R$2</f>
        <v>Unsigned</v>
      </c>
      <c r="N49" s="101" t="str">
        <f>IFERROR(IF(VLOOKUP(F49, '[1]Can Matrix'!$M:$X, 12, FALSE)=0, "", "TMS_Enum_" &amp; VLOOKUP(F49, '[1]Can Matrix'!$M:$X, 12, FALSE)), "")</f>
        <v/>
      </c>
      <c r="O49" s="98"/>
      <c r="P49" s="98"/>
      <c r="Q49" s="98"/>
      <c r="R49" s="98"/>
      <c r="S49" s="98"/>
      <c r="T49" s="98"/>
      <c r="U49" s="98"/>
      <c r="V49" s="98"/>
      <c r="W49" s="98"/>
      <c r="X49" s="102" t="s">
        <v>80</v>
      </c>
      <c r="Y49" s="98"/>
      <c r="Z49" s="101" t="str">
        <f>IF(N49="", "", IF(ISNUMBER(MATCH(N49, TextTables!A:A, 0)), "Y", "N"))</f>
        <v/>
      </c>
      <c r="AA49" s="101" t="str">
        <f>IF(ISNUMBER(MATCH(F49, '[1]Can Matrix'!M:M, 0)), "Y", "N")</f>
        <v>Y</v>
      </c>
      <c r="AB49" s="4"/>
      <c r="AC49" s="4"/>
    </row>
    <row r="50" spans="1:29" ht="30">
      <c r="A50" s="98"/>
      <c r="B50" s="98"/>
      <c r="C50" s="98"/>
      <c r="D50" s="98" t="s">
        <v>77</v>
      </c>
      <c r="E50" s="98"/>
      <c r="F50" s="98" t="s">
        <v>134</v>
      </c>
      <c r="G50" s="98" t="s">
        <v>134</v>
      </c>
      <c r="H50" s="98"/>
      <c r="I50" s="99">
        <f>VLOOKUP(F50, '[1]Can Matrix'!$M:$X, 2, FALSE)</f>
        <v>8</v>
      </c>
      <c r="J50" s="43" t="str">
        <f t="shared" si="0"/>
        <v>uint8</v>
      </c>
      <c r="K50" s="98"/>
      <c r="L50" s="98"/>
      <c r="M50" s="100" t="str">
        <f>'[1]Can Matrix'!$R$2</f>
        <v>Unsigned</v>
      </c>
      <c r="N50" s="101" t="str">
        <f>IFERROR(IF(VLOOKUP(F50, '[1]Can Matrix'!$M:$X, 12, FALSE)=0, "", "TMS_Enum_" &amp; VLOOKUP(F50, '[1]Can Matrix'!$M:$X, 12, FALSE)), "")</f>
        <v/>
      </c>
      <c r="O50" s="98"/>
      <c r="P50" s="98"/>
      <c r="Q50" s="98"/>
      <c r="R50" s="98"/>
      <c r="S50" s="98"/>
      <c r="T50" s="98"/>
      <c r="U50" s="98"/>
      <c r="V50" s="98"/>
      <c r="W50" s="98"/>
      <c r="X50" s="102" t="s">
        <v>80</v>
      </c>
      <c r="Y50" s="98"/>
      <c r="Z50" s="101" t="str">
        <f>IF(N50="", "", IF(ISNUMBER(MATCH(N50, TextTables!A:A, 0)), "Y", "N"))</f>
        <v/>
      </c>
      <c r="AA50" s="101" t="str">
        <f>IF(ISNUMBER(MATCH(F50, '[1]Can Matrix'!M:M, 0)), "Y", "N")</f>
        <v>Y</v>
      </c>
      <c r="AB50" s="4"/>
      <c r="AC50" s="4"/>
    </row>
    <row r="51" spans="1:29" ht="30">
      <c r="A51" s="98"/>
      <c r="B51" s="98"/>
      <c r="C51" s="98"/>
      <c r="D51" s="98" t="s">
        <v>77</v>
      </c>
      <c r="E51" s="98"/>
      <c r="F51" s="98" t="s">
        <v>135</v>
      </c>
      <c r="G51" s="98" t="s">
        <v>135</v>
      </c>
      <c r="H51" s="98"/>
      <c r="I51" s="99">
        <f>VLOOKUP(F51, '[1]Can Matrix'!$M:$X, 2, FALSE)</f>
        <v>8</v>
      </c>
      <c r="J51" s="43" t="str">
        <f t="shared" si="0"/>
        <v>uint8</v>
      </c>
      <c r="K51" s="98"/>
      <c r="L51" s="98"/>
      <c r="M51" s="100" t="str">
        <f>'[1]Can Matrix'!$R$2</f>
        <v>Unsigned</v>
      </c>
      <c r="N51" s="101" t="str">
        <f>IFERROR(IF(VLOOKUP(F51, '[1]Can Matrix'!$M:$X, 12, FALSE)=0, "", "TMS_Enum_" &amp; VLOOKUP(F51, '[1]Can Matrix'!$M:$X, 12, FALSE)), "")</f>
        <v/>
      </c>
      <c r="O51" s="98"/>
      <c r="P51" s="98"/>
      <c r="Q51" s="98"/>
      <c r="R51" s="98"/>
      <c r="S51" s="98"/>
      <c r="T51" s="98"/>
      <c r="U51" s="98"/>
      <c r="V51" s="98"/>
      <c r="W51" s="98"/>
      <c r="X51" s="102" t="s">
        <v>80</v>
      </c>
      <c r="Y51" s="98"/>
      <c r="Z51" s="101" t="str">
        <f>IF(N51="", "", IF(ISNUMBER(MATCH(N51, TextTables!A:A, 0)), "Y", "N"))</f>
        <v/>
      </c>
      <c r="AA51" s="101" t="str">
        <f>IF(ISNUMBER(MATCH(F51, '[1]Can Matrix'!M:M, 0)), "Y", "N")</f>
        <v>Y</v>
      </c>
      <c r="AB51" s="4"/>
      <c r="AC51" s="4"/>
    </row>
    <row r="52" spans="1:29" ht="30">
      <c r="A52" s="98"/>
      <c r="B52" s="98"/>
      <c r="C52" s="98"/>
      <c r="D52" s="98" t="s">
        <v>77</v>
      </c>
      <c r="E52" s="98"/>
      <c r="F52" s="98" t="s">
        <v>136</v>
      </c>
      <c r="G52" s="98" t="s">
        <v>136</v>
      </c>
      <c r="H52" s="98"/>
      <c r="I52" s="99">
        <f>VLOOKUP(F52, '[1]Can Matrix'!$M:$X, 2, FALSE)</f>
        <v>8</v>
      </c>
      <c r="J52" s="43" t="str">
        <f t="shared" si="0"/>
        <v>uint8</v>
      </c>
      <c r="K52" s="98"/>
      <c r="L52" s="98"/>
      <c r="M52" s="100" t="str">
        <f>'[1]Can Matrix'!$R$2</f>
        <v>Unsigned</v>
      </c>
      <c r="N52" s="101" t="str">
        <f>IFERROR(IF(VLOOKUP(F52, '[1]Can Matrix'!$M:$X, 12, FALSE)=0, "", "TMS_Enum_" &amp; VLOOKUP(F52, '[1]Can Matrix'!$M:$X, 12, FALSE)), "")</f>
        <v/>
      </c>
      <c r="O52" s="98"/>
      <c r="P52" s="98"/>
      <c r="Q52" s="98"/>
      <c r="R52" s="98"/>
      <c r="S52" s="98"/>
      <c r="T52" s="98"/>
      <c r="U52" s="98"/>
      <c r="V52" s="98"/>
      <c r="W52" s="98"/>
      <c r="X52" s="102" t="s">
        <v>80</v>
      </c>
      <c r="Y52" s="98"/>
      <c r="Z52" s="101" t="str">
        <f>IF(N52="", "", IF(ISNUMBER(MATCH(N52, TextTables!A:A, 0)), "Y", "N"))</f>
        <v/>
      </c>
      <c r="AA52" s="101" t="str">
        <f>IF(ISNUMBER(MATCH(F52, '[1]Can Matrix'!M:M, 0)), "Y", "N")</f>
        <v>Y</v>
      </c>
      <c r="AB52" s="4"/>
      <c r="AC52" s="4"/>
    </row>
    <row r="53" spans="1:29" ht="30">
      <c r="A53" s="98"/>
      <c r="B53" s="98"/>
      <c r="C53" s="98"/>
      <c r="D53" s="98" t="s">
        <v>77</v>
      </c>
      <c r="E53" s="98"/>
      <c r="F53" s="98" t="s">
        <v>137</v>
      </c>
      <c r="G53" s="98" t="s">
        <v>137</v>
      </c>
      <c r="H53" s="98"/>
      <c r="I53" s="99">
        <f>VLOOKUP(F53, '[1]Can Matrix'!$M:$X, 2, FALSE)</f>
        <v>8</v>
      </c>
      <c r="J53" s="43" t="str">
        <f t="shared" si="0"/>
        <v>uint8</v>
      </c>
      <c r="K53" s="98"/>
      <c r="L53" s="98"/>
      <c r="M53" s="100" t="str">
        <f>'[1]Can Matrix'!$R$2</f>
        <v>Unsigned</v>
      </c>
      <c r="N53" s="101" t="str">
        <f>IFERROR(IF(VLOOKUP(F53, '[1]Can Matrix'!$M:$X, 12, FALSE)=0, "", "TMS_Enum_" &amp; VLOOKUP(F53, '[1]Can Matrix'!$M:$X, 12, FALSE)), "")</f>
        <v/>
      </c>
      <c r="O53" s="98"/>
      <c r="P53" s="98"/>
      <c r="Q53" s="98"/>
      <c r="R53" s="98"/>
      <c r="S53" s="98"/>
      <c r="T53" s="98"/>
      <c r="U53" s="98"/>
      <c r="V53" s="98"/>
      <c r="W53" s="98"/>
      <c r="X53" s="102" t="s">
        <v>80</v>
      </c>
      <c r="Y53" s="98"/>
      <c r="Z53" s="101" t="str">
        <f>IF(N53="", "", IF(ISNUMBER(MATCH(N53, TextTables!A:A, 0)), "Y", "N"))</f>
        <v/>
      </c>
      <c r="AA53" s="101" t="str">
        <f>IF(ISNUMBER(MATCH(F53, '[1]Can Matrix'!M:M, 0)), "Y", "N")</f>
        <v>Y</v>
      </c>
      <c r="AB53" s="4"/>
      <c r="AC53" s="4"/>
    </row>
    <row r="54" spans="1:29" ht="75">
      <c r="A54" s="98"/>
      <c r="B54" s="98"/>
      <c r="C54" s="98"/>
      <c r="D54" s="98" t="s">
        <v>77</v>
      </c>
      <c r="E54" s="98"/>
      <c r="F54" s="98" t="s">
        <v>138</v>
      </c>
      <c r="G54" s="98" t="s">
        <v>138</v>
      </c>
      <c r="H54" s="98"/>
      <c r="I54" s="99">
        <f>VLOOKUP(F54, '[1]Can Matrix'!$M:$X, 2, FALSE)</f>
        <v>8</v>
      </c>
      <c r="J54" s="43" t="str">
        <f t="shared" si="0"/>
        <v>uint8</v>
      </c>
      <c r="K54" s="98"/>
      <c r="L54" s="98"/>
      <c r="M54" s="100" t="str">
        <f>'[1]Can Matrix'!$R$2</f>
        <v>Unsigned</v>
      </c>
      <c r="N54" s="101" t="str">
        <f>IFERROR(IF(VLOOKUP(F54, '[1]Can Matrix'!$M:$X, 12, FALSE)=0, "", "TMS_Enum_" &amp; VLOOKUP(F54, '[1]Can Matrix'!$M:$X, 12, FALSE)), "")</f>
        <v/>
      </c>
      <c r="O54" s="98"/>
      <c r="P54" s="98"/>
      <c r="Q54" s="98"/>
      <c r="R54" s="98"/>
      <c r="S54" s="98"/>
      <c r="T54" s="98"/>
      <c r="U54" s="98"/>
      <c r="V54" s="98"/>
      <c r="W54" s="98"/>
      <c r="X54" s="102" t="s">
        <v>139</v>
      </c>
      <c r="Y54" s="98"/>
      <c r="Z54" s="101" t="str">
        <f>IF(N54="", "", IF(ISNUMBER(MATCH(N54, TextTables!A:A, 0)), "Y", "N"))</f>
        <v/>
      </c>
      <c r="AA54" s="101" t="str">
        <f>IF(ISNUMBER(MATCH(F54, '[1]Can Matrix'!M:M, 0)), "Y", "N")</f>
        <v>Y</v>
      </c>
      <c r="AB54" s="4"/>
      <c r="AC54" s="4"/>
    </row>
    <row r="55" spans="1:29" ht="75">
      <c r="A55" s="98"/>
      <c r="B55" s="98"/>
      <c r="C55" s="98"/>
      <c r="D55" s="98" t="s">
        <v>77</v>
      </c>
      <c r="E55" s="98"/>
      <c r="F55" s="98" t="s">
        <v>140</v>
      </c>
      <c r="G55" s="98" t="s">
        <v>140</v>
      </c>
      <c r="H55" s="98"/>
      <c r="I55" s="99">
        <f>VLOOKUP(F55, '[1]Can Matrix'!$M:$X, 2, FALSE)</f>
        <v>8</v>
      </c>
      <c r="J55" s="43" t="str">
        <f t="shared" si="0"/>
        <v>uint8</v>
      </c>
      <c r="K55" s="98"/>
      <c r="L55" s="98"/>
      <c r="M55" s="100" t="str">
        <f>'[1]Can Matrix'!$R$2</f>
        <v>Unsigned</v>
      </c>
      <c r="N55" s="101" t="str">
        <f>IFERROR(IF(VLOOKUP(F55, '[1]Can Matrix'!$M:$X, 12, FALSE)=0, "", "TMS_Enum_" &amp; VLOOKUP(F55, '[1]Can Matrix'!$M:$X, 12, FALSE)), "")</f>
        <v/>
      </c>
      <c r="O55" s="98"/>
      <c r="P55" s="98"/>
      <c r="Q55" s="98"/>
      <c r="R55" s="98"/>
      <c r="S55" s="98"/>
      <c r="T55" s="98"/>
      <c r="U55" s="98"/>
      <c r="V55" s="98"/>
      <c r="W55" s="98"/>
      <c r="X55" s="102" t="s">
        <v>139</v>
      </c>
      <c r="Y55" s="98"/>
      <c r="Z55" s="101" t="str">
        <f>IF(N55="", "", IF(ISNUMBER(MATCH(N55, TextTables!A:A, 0)), "Y", "N"))</f>
        <v/>
      </c>
      <c r="AA55" s="101" t="str">
        <f>IF(ISNUMBER(MATCH(F55, '[1]Can Matrix'!M:M, 0)), "Y", "N")</f>
        <v>Y</v>
      </c>
      <c r="AB55" s="4"/>
      <c r="AC55" s="4"/>
    </row>
    <row r="56" spans="1:29" ht="30">
      <c r="A56" s="98"/>
      <c r="B56" s="98"/>
      <c r="C56" s="98"/>
      <c r="D56" s="98" t="s">
        <v>77</v>
      </c>
      <c r="E56" s="98"/>
      <c r="F56" s="98" t="s">
        <v>141</v>
      </c>
      <c r="G56" s="98" t="s">
        <v>141</v>
      </c>
      <c r="H56" s="98"/>
      <c r="I56" s="99">
        <f>VLOOKUP(F56, '[1]Can Matrix'!$M:$X, 2, FALSE)</f>
        <v>8</v>
      </c>
      <c r="J56" s="43" t="str">
        <f t="shared" si="0"/>
        <v>uint8</v>
      </c>
      <c r="K56" s="98"/>
      <c r="L56" s="98"/>
      <c r="M56" s="100" t="str">
        <f>'[1]Can Matrix'!$R$2</f>
        <v>Unsigned</v>
      </c>
      <c r="N56" s="101" t="str">
        <f>IFERROR(IF(VLOOKUP(F56, '[1]Can Matrix'!$M:$X, 12, FALSE)=0, "", "TMS_Enum_" &amp; VLOOKUP(F56, '[1]Can Matrix'!$M:$X, 12, FALSE)), "")</f>
        <v/>
      </c>
      <c r="O56" s="98"/>
      <c r="P56" s="98"/>
      <c r="Q56" s="98"/>
      <c r="R56" s="98"/>
      <c r="S56" s="98"/>
      <c r="T56" s="98"/>
      <c r="U56" s="98"/>
      <c r="V56" s="98"/>
      <c r="W56" s="98"/>
      <c r="X56" s="102" t="s">
        <v>142</v>
      </c>
      <c r="Y56" s="98"/>
      <c r="Z56" s="101" t="str">
        <f>IF(N56="", "", IF(ISNUMBER(MATCH(N56, TextTables!A:A, 0)), "Y", "N"))</f>
        <v/>
      </c>
      <c r="AA56" s="101" t="str">
        <f>IF(ISNUMBER(MATCH(F56, '[1]Can Matrix'!M:M, 0)), "Y", "N")</f>
        <v>Y</v>
      </c>
      <c r="AB56" s="4"/>
      <c r="AC56" s="4"/>
    </row>
    <row r="57" spans="1:29" ht="41.4">
      <c r="A57" s="17"/>
      <c r="B57" s="17"/>
      <c r="C57" s="17"/>
      <c r="D57" s="17" t="s">
        <v>143</v>
      </c>
      <c r="E57" s="17"/>
      <c r="F57" s="17" t="s">
        <v>5899</v>
      </c>
      <c r="G57" s="17" t="s">
        <v>5899</v>
      </c>
      <c r="H57" s="17"/>
      <c r="I57" s="97">
        <f>VLOOKUP(F57, '[1]Can Matrix'!$M:$X, 2, FALSE)</f>
        <v>8</v>
      </c>
      <c r="J57" s="17" t="str">
        <f t="shared" si="0"/>
        <v>uint8</v>
      </c>
      <c r="K57" s="17"/>
      <c r="L57" s="17"/>
      <c r="M57" s="100" t="str">
        <f>'[1]Can Matrix'!$R$2</f>
        <v>Unsigned</v>
      </c>
      <c r="N57" s="101" t="str">
        <f>IFERROR(IF(VLOOKUP(F57, '[1]Can Matrix'!$M:$X, 12, FALSE)=0, "", "TMS_Enum_" &amp; VLOOKUP(F57, '[1]Can Matrix'!$M:$X, 12, FALSE)), "")</f>
        <v/>
      </c>
      <c r="O57" s="17"/>
      <c r="P57" s="17"/>
      <c r="Q57" s="17"/>
      <c r="R57" s="17"/>
      <c r="S57" s="17"/>
      <c r="T57" s="17"/>
      <c r="U57" s="17"/>
      <c r="V57" s="17"/>
      <c r="W57" s="17"/>
      <c r="X57" s="103" t="s">
        <v>144</v>
      </c>
      <c r="Y57" s="17"/>
      <c r="Z57" s="101" t="str">
        <f>IF(N57="", "", IF(ISNUMBER(MATCH(N57, TextTables!A:A, 0)), "Y", "N"))</f>
        <v/>
      </c>
      <c r="AA57" s="101" t="str">
        <f>IF(ISNUMBER(MATCH(F57, '[1]Can Matrix'!M:M, 0)), "Y", "N")</f>
        <v>Y</v>
      </c>
    </row>
    <row r="58" spans="1:29" ht="41.4">
      <c r="A58" s="17"/>
      <c r="B58" s="17"/>
      <c r="C58" s="17"/>
      <c r="D58" s="17" t="s">
        <v>143</v>
      </c>
      <c r="E58" s="17"/>
      <c r="F58" s="17" t="s">
        <v>5900</v>
      </c>
      <c r="G58" s="17" t="s">
        <v>5900</v>
      </c>
      <c r="H58" s="17"/>
      <c r="I58" s="97">
        <f>VLOOKUP(F58, '[1]Can Matrix'!$M:$X, 2, FALSE)</f>
        <v>8</v>
      </c>
      <c r="J58" s="17" t="str">
        <f t="shared" si="0"/>
        <v>uint8</v>
      </c>
      <c r="K58" s="17"/>
      <c r="L58" s="17"/>
      <c r="M58" s="100" t="str">
        <f>'[1]Can Matrix'!$R$2</f>
        <v>Unsigned</v>
      </c>
      <c r="N58" s="101" t="str">
        <f>IFERROR(IF(VLOOKUP(F58, '[1]Can Matrix'!$M:$X, 12, FALSE)=0, "", "TMS_Enum_" &amp; VLOOKUP(F58, '[1]Can Matrix'!$M:$X, 12, FALSE)), "")</f>
        <v/>
      </c>
      <c r="O58" s="17"/>
      <c r="P58" s="17"/>
      <c r="Q58" s="17"/>
      <c r="R58" s="17"/>
      <c r="S58" s="17"/>
      <c r="T58" s="17"/>
      <c r="U58" s="17"/>
      <c r="V58" s="17"/>
      <c r="W58" s="17"/>
      <c r="X58" s="103" t="s">
        <v>144</v>
      </c>
      <c r="Y58" s="17"/>
      <c r="Z58" s="101" t="str">
        <f>IF(N58="", "", IF(ISNUMBER(MATCH(N58, TextTables!A:A, 0)), "Y", "N"))</f>
        <v/>
      </c>
      <c r="AA58" s="101" t="str">
        <f>IF(ISNUMBER(MATCH(F58, '[1]Can Matrix'!M:M, 0)), "Y", "N")</f>
        <v>Y</v>
      </c>
    </row>
    <row r="59" spans="1:29" ht="41.4">
      <c r="A59" s="17"/>
      <c r="B59" s="17"/>
      <c r="C59" s="17"/>
      <c r="D59" s="17" t="s">
        <v>143</v>
      </c>
      <c r="E59" s="17"/>
      <c r="F59" s="17" t="s">
        <v>5901</v>
      </c>
      <c r="G59" s="17" t="s">
        <v>5901</v>
      </c>
      <c r="H59" s="17"/>
      <c r="I59" s="97">
        <f>VLOOKUP(F59, '[1]Can Matrix'!$M:$X, 2, FALSE)</f>
        <v>8</v>
      </c>
      <c r="J59" s="17" t="str">
        <f t="shared" si="0"/>
        <v>uint8</v>
      </c>
      <c r="K59" s="17"/>
      <c r="L59" s="17"/>
      <c r="M59" s="100" t="str">
        <f>'[1]Can Matrix'!$R$2</f>
        <v>Unsigned</v>
      </c>
      <c r="N59" s="101" t="str">
        <f>IFERROR(IF(VLOOKUP(F59, '[1]Can Matrix'!$M:$X, 12, FALSE)=0, "", "TMS_Enum_" &amp; VLOOKUP(F59, '[1]Can Matrix'!$M:$X, 12, FALSE)), "")</f>
        <v/>
      </c>
      <c r="O59" s="17"/>
      <c r="P59" s="17"/>
      <c r="Q59" s="17"/>
      <c r="R59" s="17"/>
      <c r="S59" s="17"/>
      <c r="T59" s="17"/>
      <c r="U59" s="17"/>
      <c r="V59" s="17"/>
      <c r="W59" s="17"/>
      <c r="X59" s="103" t="s">
        <v>144</v>
      </c>
      <c r="Y59" s="17"/>
      <c r="Z59" s="101" t="str">
        <f>IF(N59="", "", IF(ISNUMBER(MATCH(N59, TextTables!A:A, 0)), "Y", "N"))</f>
        <v/>
      </c>
      <c r="AA59" s="101" t="str">
        <f>IF(ISNUMBER(MATCH(F59, '[1]Can Matrix'!M:M, 0)), "Y", "N")</f>
        <v>Y</v>
      </c>
    </row>
    <row r="60" spans="1:29" ht="41.4">
      <c r="A60" s="17"/>
      <c r="B60" s="17"/>
      <c r="C60" s="17"/>
      <c r="D60" s="17" t="s">
        <v>143</v>
      </c>
      <c r="E60" s="17"/>
      <c r="F60" s="17" t="s">
        <v>5902</v>
      </c>
      <c r="G60" s="17" t="s">
        <v>5902</v>
      </c>
      <c r="H60" s="17"/>
      <c r="I60" s="97">
        <f>VLOOKUP(F60, '[1]Can Matrix'!$M:$X, 2, FALSE)</f>
        <v>8</v>
      </c>
      <c r="J60" s="17" t="str">
        <f t="shared" si="0"/>
        <v>uint8</v>
      </c>
      <c r="K60" s="17"/>
      <c r="L60" s="17"/>
      <c r="M60" s="100" t="str">
        <f>'[1]Can Matrix'!$R$2</f>
        <v>Unsigned</v>
      </c>
      <c r="N60" s="101" t="str">
        <f>IFERROR(IF(VLOOKUP(F60, '[1]Can Matrix'!$M:$X, 12, FALSE)=0, "", "TMS_Enum_" &amp; VLOOKUP(F60, '[1]Can Matrix'!$M:$X, 12, FALSE)), "")</f>
        <v/>
      </c>
      <c r="O60" s="17"/>
      <c r="P60" s="17"/>
      <c r="Q60" s="17"/>
      <c r="R60" s="17"/>
      <c r="S60" s="17"/>
      <c r="T60" s="17"/>
      <c r="U60" s="17"/>
      <c r="V60" s="17"/>
      <c r="W60" s="17"/>
      <c r="X60" s="103" t="s">
        <v>144</v>
      </c>
      <c r="Y60" s="17"/>
      <c r="Z60" s="101" t="str">
        <f>IF(N60="", "", IF(ISNUMBER(MATCH(N60, TextTables!A:A, 0)), "Y", "N"))</f>
        <v/>
      </c>
      <c r="AA60" s="101" t="str">
        <f>IF(ISNUMBER(MATCH(F60, '[1]Can Matrix'!M:M, 0)), "Y", "N")</f>
        <v>Y</v>
      </c>
    </row>
    <row r="61" spans="1:29" ht="41.4">
      <c r="A61" s="17"/>
      <c r="B61" s="17"/>
      <c r="C61" s="17"/>
      <c r="D61" s="17" t="s">
        <v>143</v>
      </c>
      <c r="E61" s="17"/>
      <c r="F61" s="17" t="s">
        <v>5903</v>
      </c>
      <c r="G61" s="17" t="s">
        <v>5903</v>
      </c>
      <c r="H61" s="17"/>
      <c r="I61" s="97">
        <f>VLOOKUP(F61, '[1]Can Matrix'!$M:$X, 2, FALSE)</f>
        <v>8</v>
      </c>
      <c r="J61" s="17" t="str">
        <f t="shared" si="0"/>
        <v>uint8</v>
      </c>
      <c r="K61" s="17"/>
      <c r="L61" s="17"/>
      <c r="M61" s="100" t="str">
        <f>'[1]Can Matrix'!$R$2</f>
        <v>Unsigned</v>
      </c>
      <c r="N61" s="101" t="str">
        <f>IFERROR(IF(VLOOKUP(F61, '[1]Can Matrix'!$M:$X, 12, FALSE)=0, "", "TMS_Enum_" &amp; VLOOKUP(F61, '[1]Can Matrix'!$M:$X, 12, FALSE)), "")</f>
        <v/>
      </c>
      <c r="O61" s="17"/>
      <c r="P61" s="17"/>
      <c r="Q61" s="17"/>
      <c r="R61" s="17"/>
      <c r="S61" s="17"/>
      <c r="T61" s="17"/>
      <c r="U61" s="17"/>
      <c r="V61" s="17"/>
      <c r="W61" s="17"/>
      <c r="X61" s="103" t="s">
        <v>144</v>
      </c>
      <c r="Y61" s="17"/>
      <c r="Z61" s="101" t="str">
        <f>IF(N61="", "", IF(ISNUMBER(MATCH(N61, TextTables!A:A, 0)), "Y", "N"))</f>
        <v/>
      </c>
      <c r="AA61" s="101" t="str">
        <f>IF(ISNUMBER(MATCH(F61, '[1]Can Matrix'!M:M, 0)), "Y", "N")</f>
        <v>Y</v>
      </c>
    </row>
    <row r="62" spans="1:29" ht="41.4">
      <c r="A62" s="17"/>
      <c r="B62" s="17"/>
      <c r="C62" s="17"/>
      <c r="D62" s="17" t="s">
        <v>143</v>
      </c>
      <c r="E62" s="17"/>
      <c r="F62" s="17" t="s">
        <v>5904</v>
      </c>
      <c r="G62" s="17" t="s">
        <v>5904</v>
      </c>
      <c r="H62" s="17"/>
      <c r="I62" s="97">
        <f>VLOOKUP(F62, '[1]Can Matrix'!$M:$X, 2, FALSE)</f>
        <v>8</v>
      </c>
      <c r="J62" s="17" t="str">
        <f t="shared" si="0"/>
        <v>uint8</v>
      </c>
      <c r="K62" s="17"/>
      <c r="L62" s="17"/>
      <c r="M62" s="100" t="str">
        <f>'[1]Can Matrix'!$R$2</f>
        <v>Unsigned</v>
      </c>
      <c r="N62" s="101" t="str">
        <f>IFERROR(IF(VLOOKUP(F62, '[1]Can Matrix'!$M:$X, 12, FALSE)=0, "", "TMS_Enum_" &amp; VLOOKUP(F62, '[1]Can Matrix'!$M:$X, 12, FALSE)), "")</f>
        <v/>
      </c>
      <c r="O62" s="17"/>
      <c r="P62" s="17"/>
      <c r="Q62" s="17"/>
      <c r="R62" s="17"/>
      <c r="S62" s="17"/>
      <c r="T62" s="17"/>
      <c r="U62" s="17"/>
      <c r="V62" s="17"/>
      <c r="W62" s="17"/>
      <c r="X62" s="103" t="s">
        <v>144</v>
      </c>
      <c r="Y62" s="17"/>
      <c r="Z62" s="101" t="str">
        <f>IF(N62="", "", IF(ISNUMBER(MATCH(N62, TextTables!A:A, 0)), "Y", "N"))</f>
        <v/>
      </c>
      <c r="AA62" s="101" t="str">
        <f>IF(ISNUMBER(MATCH(F62, '[1]Can Matrix'!M:M, 0)), "Y", "N")</f>
        <v>Y</v>
      </c>
    </row>
    <row r="63" spans="1:29" ht="41.4">
      <c r="A63" s="17"/>
      <c r="B63" s="17"/>
      <c r="C63" s="17"/>
      <c r="D63" s="17" t="s">
        <v>143</v>
      </c>
      <c r="E63" s="17"/>
      <c r="F63" s="17" t="s">
        <v>5905</v>
      </c>
      <c r="G63" s="17" t="s">
        <v>5905</v>
      </c>
      <c r="H63" s="17"/>
      <c r="I63" s="97">
        <f>VLOOKUP(F63, '[1]Can Matrix'!$M:$X, 2, FALSE)</f>
        <v>8</v>
      </c>
      <c r="J63" s="17" t="str">
        <f t="shared" si="0"/>
        <v>uint8</v>
      </c>
      <c r="K63" s="17"/>
      <c r="L63" s="17"/>
      <c r="M63" s="100" t="str">
        <f>'[1]Can Matrix'!$R$2</f>
        <v>Unsigned</v>
      </c>
      <c r="N63" s="101" t="str">
        <f>IFERROR(IF(VLOOKUP(F63, '[1]Can Matrix'!$M:$X, 12, FALSE)=0, "", "TMS_Enum_" &amp; VLOOKUP(F63, '[1]Can Matrix'!$M:$X, 12, FALSE)), "")</f>
        <v/>
      </c>
      <c r="O63" s="17"/>
      <c r="P63" s="17"/>
      <c r="Q63" s="17"/>
      <c r="R63" s="17"/>
      <c r="S63" s="17"/>
      <c r="T63" s="17"/>
      <c r="U63" s="17"/>
      <c r="V63" s="17"/>
      <c r="W63" s="17"/>
      <c r="X63" s="103" t="s">
        <v>144</v>
      </c>
      <c r="Y63" s="17"/>
      <c r="Z63" s="101" t="str">
        <f>IF(N63="", "", IF(ISNUMBER(MATCH(N63, TextTables!A:A, 0)), "Y", "N"))</f>
        <v/>
      </c>
      <c r="AA63" s="101" t="str">
        <f>IF(ISNUMBER(MATCH(F63, '[1]Can Matrix'!M:M, 0)), "Y", "N")</f>
        <v>Y</v>
      </c>
    </row>
    <row r="64" spans="1:29" ht="41.4">
      <c r="A64" s="17"/>
      <c r="B64" s="17"/>
      <c r="C64" s="17"/>
      <c r="D64" s="17" t="s">
        <v>143</v>
      </c>
      <c r="E64" s="17"/>
      <c r="F64" s="17" t="s">
        <v>5906</v>
      </c>
      <c r="G64" s="17" t="s">
        <v>5906</v>
      </c>
      <c r="H64" s="17"/>
      <c r="I64" s="97">
        <f>VLOOKUP(F64, '[1]Can Matrix'!$M:$X, 2, FALSE)</f>
        <v>8</v>
      </c>
      <c r="J64" s="17" t="str">
        <f t="shared" si="0"/>
        <v>uint8</v>
      </c>
      <c r="K64" s="17"/>
      <c r="L64" s="17"/>
      <c r="M64" s="100" t="str">
        <f>'[1]Can Matrix'!$R$2</f>
        <v>Unsigned</v>
      </c>
      <c r="N64" s="101" t="str">
        <f>IFERROR(IF(VLOOKUP(F64, '[1]Can Matrix'!$M:$X, 12, FALSE)=0, "", "TMS_Enum_" &amp; VLOOKUP(F64, '[1]Can Matrix'!$M:$X, 12, FALSE)), "")</f>
        <v/>
      </c>
      <c r="O64" s="17"/>
      <c r="P64" s="17"/>
      <c r="Q64" s="17"/>
      <c r="R64" s="17"/>
      <c r="S64" s="17"/>
      <c r="T64" s="17"/>
      <c r="U64" s="17"/>
      <c r="V64" s="17"/>
      <c r="W64" s="17"/>
      <c r="X64" s="103" t="s">
        <v>144</v>
      </c>
      <c r="Y64" s="17"/>
      <c r="Z64" s="101" t="str">
        <f>IF(N64="", "", IF(ISNUMBER(MATCH(N64, TextTables!A:A, 0)), "Y", "N"))</f>
        <v/>
      </c>
      <c r="AA64" s="101" t="str">
        <f>IF(ISNUMBER(MATCH(F64, '[1]Can Matrix'!M:M, 0)), "Y", "N")</f>
        <v>Y</v>
      </c>
    </row>
    <row r="65" spans="1:27" ht="41.4">
      <c r="A65" s="17"/>
      <c r="B65" s="17"/>
      <c r="C65" s="17"/>
      <c r="D65" s="17" t="s">
        <v>143</v>
      </c>
      <c r="E65" s="17"/>
      <c r="F65" s="17" t="s">
        <v>5907</v>
      </c>
      <c r="G65" s="17" t="s">
        <v>5907</v>
      </c>
      <c r="H65" s="17"/>
      <c r="I65" s="97">
        <f>VLOOKUP(F65, '[1]Can Matrix'!$M:$X, 2, FALSE)</f>
        <v>8</v>
      </c>
      <c r="J65" s="17" t="str">
        <f t="shared" ref="J65:J93" si="1">IF(I65&lt;=8,"uint8",IF(I65&lt;=16,"uint16","uint32"))</f>
        <v>uint8</v>
      </c>
      <c r="K65" s="17"/>
      <c r="L65" s="17"/>
      <c r="M65" s="100" t="str">
        <f>'[1]Can Matrix'!$R$2</f>
        <v>Unsigned</v>
      </c>
      <c r="N65" s="101" t="str">
        <f>IFERROR(IF(VLOOKUP(F65, '[1]Can Matrix'!$M:$X, 12, FALSE)=0, "", "TMS_Enum_" &amp; VLOOKUP(F65, '[1]Can Matrix'!$M:$X, 12, FALSE)), "")</f>
        <v/>
      </c>
      <c r="O65" s="17"/>
      <c r="P65" s="17"/>
      <c r="Q65" s="17"/>
      <c r="R65" s="17"/>
      <c r="S65" s="17"/>
      <c r="T65" s="17"/>
      <c r="U65" s="17"/>
      <c r="V65" s="17"/>
      <c r="W65" s="17"/>
      <c r="X65" s="103" t="s">
        <v>144</v>
      </c>
      <c r="Y65" s="17"/>
      <c r="Z65" s="101" t="str">
        <f>IF(N65="", "", IF(ISNUMBER(MATCH(N65, TextTables!A:A, 0)), "Y", "N"))</f>
        <v/>
      </c>
      <c r="AA65" s="101" t="str">
        <f>IF(ISNUMBER(MATCH(F65, '[1]Can Matrix'!M:M, 0)), "Y", "N")</f>
        <v>Y</v>
      </c>
    </row>
    <row r="66" spans="1:27" ht="41.4">
      <c r="A66" s="17"/>
      <c r="B66" s="17"/>
      <c r="C66" s="17"/>
      <c r="D66" s="17" t="s">
        <v>143</v>
      </c>
      <c r="E66" s="17"/>
      <c r="F66" s="17" t="s">
        <v>5908</v>
      </c>
      <c r="G66" s="17" t="s">
        <v>5908</v>
      </c>
      <c r="H66" s="17"/>
      <c r="I66" s="97">
        <f>VLOOKUP(F66, '[1]Can Matrix'!$M:$X, 2, FALSE)</f>
        <v>8</v>
      </c>
      <c r="J66" s="17" t="str">
        <f t="shared" si="1"/>
        <v>uint8</v>
      </c>
      <c r="K66" s="17"/>
      <c r="L66" s="17"/>
      <c r="M66" s="100" t="str">
        <f>'[1]Can Matrix'!$R$2</f>
        <v>Unsigned</v>
      </c>
      <c r="N66" s="101" t="str">
        <f>IFERROR(IF(VLOOKUP(F66, '[1]Can Matrix'!$M:$X, 12, FALSE)=0, "", "TMS_Enum_" &amp; VLOOKUP(F66, '[1]Can Matrix'!$M:$X, 12, FALSE)), "")</f>
        <v/>
      </c>
      <c r="O66" s="17"/>
      <c r="P66" s="17"/>
      <c r="Q66" s="17"/>
      <c r="R66" s="17"/>
      <c r="S66" s="17"/>
      <c r="T66" s="17"/>
      <c r="U66" s="17"/>
      <c r="V66" s="17"/>
      <c r="W66" s="17"/>
      <c r="X66" s="103" t="s">
        <v>144</v>
      </c>
      <c r="Y66" s="17"/>
      <c r="Z66" s="101" t="str">
        <f>IF(N66="", "", IF(ISNUMBER(MATCH(N66, TextTables!A:A, 0)), "Y", "N"))</f>
        <v/>
      </c>
      <c r="AA66" s="101" t="str">
        <f>IF(ISNUMBER(MATCH(F66, '[1]Can Matrix'!M:M, 0)), "Y", "N")</f>
        <v>Y</v>
      </c>
    </row>
    <row r="67" spans="1:27" ht="41.4">
      <c r="A67" s="17"/>
      <c r="B67" s="17"/>
      <c r="C67" s="17"/>
      <c r="D67" s="17" t="s">
        <v>143</v>
      </c>
      <c r="E67" s="17"/>
      <c r="F67" s="17" t="s">
        <v>5909</v>
      </c>
      <c r="G67" s="17" t="s">
        <v>5909</v>
      </c>
      <c r="H67" s="17"/>
      <c r="I67" s="97">
        <f>VLOOKUP(F67, '[1]Can Matrix'!$M:$X, 2, FALSE)</f>
        <v>8</v>
      </c>
      <c r="J67" s="17" t="str">
        <f t="shared" si="1"/>
        <v>uint8</v>
      </c>
      <c r="K67" s="17"/>
      <c r="L67" s="17"/>
      <c r="M67" s="100" t="str">
        <f>'[1]Can Matrix'!$R$2</f>
        <v>Unsigned</v>
      </c>
      <c r="N67" s="101" t="str">
        <f>IFERROR(IF(VLOOKUP(F67, '[1]Can Matrix'!$M:$X, 12, FALSE)=0, "", "TMS_Enum_" &amp; VLOOKUP(F67, '[1]Can Matrix'!$M:$X, 12, FALSE)), "")</f>
        <v/>
      </c>
      <c r="O67" s="17"/>
      <c r="P67" s="17"/>
      <c r="Q67" s="17"/>
      <c r="R67" s="17"/>
      <c r="S67" s="17"/>
      <c r="T67" s="17"/>
      <c r="U67" s="17"/>
      <c r="V67" s="17"/>
      <c r="W67" s="17"/>
      <c r="X67" s="103" t="s">
        <v>144</v>
      </c>
      <c r="Y67" s="17"/>
      <c r="Z67" s="101" t="str">
        <f>IF(N67="", "", IF(ISNUMBER(MATCH(N67, TextTables!A:A, 0)), "Y", "N"))</f>
        <v/>
      </c>
      <c r="AA67" s="101" t="str">
        <f>IF(ISNUMBER(MATCH(F67, '[1]Can Matrix'!M:M, 0)), "Y", "N")</f>
        <v>Y</v>
      </c>
    </row>
    <row r="68" spans="1:27" ht="41.4">
      <c r="A68" s="17"/>
      <c r="B68" s="17"/>
      <c r="C68" s="17"/>
      <c r="D68" s="17" t="s">
        <v>143</v>
      </c>
      <c r="E68" s="17"/>
      <c r="F68" s="17" t="s">
        <v>5910</v>
      </c>
      <c r="G68" s="17" t="s">
        <v>5910</v>
      </c>
      <c r="H68" s="17"/>
      <c r="I68" s="97">
        <f>VLOOKUP(F68, '[1]Can Matrix'!$M:$X, 2, FALSE)</f>
        <v>8</v>
      </c>
      <c r="J68" s="17" t="str">
        <f t="shared" si="1"/>
        <v>uint8</v>
      </c>
      <c r="K68" s="17"/>
      <c r="L68" s="17"/>
      <c r="M68" s="100" t="str">
        <f>'[1]Can Matrix'!$R$2</f>
        <v>Unsigned</v>
      </c>
      <c r="N68" s="101" t="str">
        <f>IFERROR(IF(VLOOKUP(F68, '[1]Can Matrix'!$M:$X, 12, FALSE)=0, "", "TMS_Enum_" &amp; VLOOKUP(F68, '[1]Can Matrix'!$M:$X, 12, FALSE)), "")</f>
        <v/>
      </c>
      <c r="O68" s="17"/>
      <c r="P68" s="17"/>
      <c r="Q68" s="17"/>
      <c r="R68" s="17"/>
      <c r="S68" s="17"/>
      <c r="T68" s="17"/>
      <c r="U68" s="17"/>
      <c r="V68" s="17"/>
      <c r="W68" s="17"/>
      <c r="X68" s="103" t="s">
        <v>144</v>
      </c>
      <c r="Y68" s="17"/>
      <c r="Z68" s="101" t="str">
        <f>IF(N68="", "", IF(ISNUMBER(MATCH(N68, TextTables!A:A, 0)), "Y", "N"))</f>
        <v/>
      </c>
      <c r="AA68" s="101" t="str">
        <f>IF(ISNUMBER(MATCH(F68, '[1]Can Matrix'!M:M, 0)), "Y", "N")</f>
        <v>Y</v>
      </c>
    </row>
    <row r="69" spans="1:27" ht="41.4">
      <c r="A69" s="17"/>
      <c r="B69" s="17"/>
      <c r="C69" s="17"/>
      <c r="D69" s="17" t="s">
        <v>143</v>
      </c>
      <c r="E69" s="17"/>
      <c r="F69" s="17" t="s">
        <v>5911</v>
      </c>
      <c r="G69" s="17" t="s">
        <v>5911</v>
      </c>
      <c r="H69" s="17"/>
      <c r="I69" s="97">
        <f>VLOOKUP(F69, '[1]Can Matrix'!$M:$X, 2, FALSE)</f>
        <v>8</v>
      </c>
      <c r="J69" s="17" t="str">
        <f t="shared" si="1"/>
        <v>uint8</v>
      </c>
      <c r="K69" s="17"/>
      <c r="L69" s="17"/>
      <c r="M69" s="100" t="str">
        <f>'[1]Can Matrix'!$R$2</f>
        <v>Unsigned</v>
      </c>
      <c r="N69" s="101" t="str">
        <f>IFERROR(IF(VLOOKUP(F69, '[1]Can Matrix'!$M:$X, 12, FALSE)=0, "", "TMS_Enum_" &amp; VLOOKUP(F69, '[1]Can Matrix'!$M:$X, 12, FALSE)), "")</f>
        <v/>
      </c>
      <c r="O69" s="17"/>
      <c r="P69" s="17"/>
      <c r="Q69" s="17"/>
      <c r="R69" s="17"/>
      <c r="S69" s="17"/>
      <c r="T69" s="17"/>
      <c r="U69" s="17"/>
      <c r="V69" s="17"/>
      <c r="W69" s="17"/>
      <c r="X69" s="103" t="s">
        <v>144</v>
      </c>
      <c r="Y69" s="17"/>
      <c r="Z69" s="101" t="str">
        <f>IF(N69="", "", IF(ISNUMBER(MATCH(N69, TextTables!A:A, 0)), "Y", "N"))</f>
        <v/>
      </c>
      <c r="AA69" s="101" t="str">
        <f>IF(ISNUMBER(MATCH(F69, '[1]Can Matrix'!M:M, 0)), "Y", "N")</f>
        <v>Y</v>
      </c>
    </row>
    <row r="70" spans="1:27" ht="41.4">
      <c r="A70" s="17"/>
      <c r="B70" s="17"/>
      <c r="C70" s="17"/>
      <c r="D70" s="17" t="s">
        <v>143</v>
      </c>
      <c r="E70" s="17"/>
      <c r="F70" s="17" t="s">
        <v>5912</v>
      </c>
      <c r="G70" s="17" t="s">
        <v>5912</v>
      </c>
      <c r="H70" s="17"/>
      <c r="I70" s="97">
        <f>VLOOKUP(F70, '[1]Can Matrix'!$M:$X, 2, FALSE)</f>
        <v>8</v>
      </c>
      <c r="J70" s="17" t="str">
        <f t="shared" si="1"/>
        <v>uint8</v>
      </c>
      <c r="K70" s="17"/>
      <c r="L70" s="17"/>
      <c r="M70" s="100" t="str">
        <f>'[1]Can Matrix'!$R$2</f>
        <v>Unsigned</v>
      </c>
      <c r="N70" s="101" t="str">
        <f>IFERROR(IF(VLOOKUP(F70, '[1]Can Matrix'!$M:$X, 12, FALSE)=0, "", "TMS_Enum_" &amp; VLOOKUP(F70, '[1]Can Matrix'!$M:$X, 12, FALSE)), "")</f>
        <v/>
      </c>
      <c r="O70" s="17"/>
      <c r="P70" s="17"/>
      <c r="Q70" s="17"/>
      <c r="R70" s="17"/>
      <c r="S70" s="17"/>
      <c r="T70" s="17"/>
      <c r="U70" s="17"/>
      <c r="V70" s="17"/>
      <c r="W70" s="17"/>
      <c r="X70" s="103" t="s">
        <v>144</v>
      </c>
      <c r="Y70" s="17"/>
      <c r="Z70" s="101" t="str">
        <f>IF(N70="", "", IF(ISNUMBER(MATCH(N70, TextTables!A:A, 0)), "Y", "N"))</f>
        <v/>
      </c>
      <c r="AA70" s="101" t="str">
        <f>IF(ISNUMBER(MATCH(F70, '[1]Can Matrix'!M:M, 0)), "Y", "N")</f>
        <v>Y</v>
      </c>
    </row>
    <row r="71" spans="1:27" ht="41.4">
      <c r="A71" s="17"/>
      <c r="B71" s="17"/>
      <c r="C71" s="17"/>
      <c r="D71" s="17" t="s">
        <v>143</v>
      </c>
      <c r="E71" s="17"/>
      <c r="F71" s="17" t="s">
        <v>5913</v>
      </c>
      <c r="G71" s="17" t="s">
        <v>5913</v>
      </c>
      <c r="H71" s="17"/>
      <c r="I71" s="97">
        <f>VLOOKUP(F71, '[1]Can Matrix'!$M:$X, 2, FALSE)</f>
        <v>8</v>
      </c>
      <c r="J71" s="17" t="str">
        <f t="shared" si="1"/>
        <v>uint8</v>
      </c>
      <c r="K71" s="17"/>
      <c r="L71" s="17"/>
      <c r="M71" s="100" t="str">
        <f>'[1]Can Matrix'!$R$2</f>
        <v>Unsigned</v>
      </c>
      <c r="N71" s="101" t="str">
        <f>IFERROR(IF(VLOOKUP(F71, '[1]Can Matrix'!$M:$X, 12, FALSE)=0, "", "TMS_Enum_" &amp; VLOOKUP(F71, '[1]Can Matrix'!$M:$X, 12, FALSE)), "")</f>
        <v/>
      </c>
      <c r="O71" s="17"/>
      <c r="P71" s="17"/>
      <c r="Q71" s="17"/>
      <c r="R71" s="17"/>
      <c r="S71" s="17"/>
      <c r="T71" s="17"/>
      <c r="U71" s="17"/>
      <c r="V71" s="17"/>
      <c r="W71" s="17"/>
      <c r="X71" s="103" t="s">
        <v>144</v>
      </c>
      <c r="Y71" s="17"/>
      <c r="Z71" s="101" t="str">
        <f>IF(N71="", "", IF(ISNUMBER(MATCH(N71, TextTables!A:A, 0)), "Y", "N"))</f>
        <v/>
      </c>
      <c r="AA71" s="101" t="str">
        <f>IF(ISNUMBER(MATCH(F71, '[1]Can Matrix'!M:M, 0)), "Y", "N")</f>
        <v>Y</v>
      </c>
    </row>
    <row r="72" spans="1:27" ht="41.4">
      <c r="A72" s="17"/>
      <c r="B72" s="17"/>
      <c r="C72" s="17"/>
      <c r="D72" s="17" t="s">
        <v>143</v>
      </c>
      <c r="E72" s="17"/>
      <c r="F72" s="17" t="s">
        <v>5914</v>
      </c>
      <c r="G72" s="17" t="s">
        <v>5914</v>
      </c>
      <c r="H72" s="17"/>
      <c r="I72" s="97">
        <f>VLOOKUP(F72, '[1]Can Matrix'!$M:$X, 2, FALSE)</f>
        <v>8</v>
      </c>
      <c r="J72" s="17" t="str">
        <f t="shared" si="1"/>
        <v>uint8</v>
      </c>
      <c r="K72" s="17"/>
      <c r="L72" s="17"/>
      <c r="M72" s="100" t="str">
        <f>'[1]Can Matrix'!$R$2</f>
        <v>Unsigned</v>
      </c>
      <c r="N72" s="101" t="str">
        <f>IFERROR(IF(VLOOKUP(F72, '[1]Can Matrix'!$M:$X, 12, FALSE)=0, "", "TMS_Enum_" &amp; VLOOKUP(F72, '[1]Can Matrix'!$M:$X, 12, FALSE)), "")</f>
        <v/>
      </c>
      <c r="O72" s="17"/>
      <c r="P72" s="17"/>
      <c r="Q72" s="17"/>
      <c r="R72" s="17"/>
      <c r="S72" s="17"/>
      <c r="T72" s="17"/>
      <c r="U72" s="17"/>
      <c r="V72" s="17"/>
      <c r="W72" s="17"/>
      <c r="X72" s="103" t="s">
        <v>144</v>
      </c>
      <c r="Y72" s="17"/>
      <c r="Z72" s="101" t="str">
        <f>IF(N72="", "", IF(ISNUMBER(MATCH(N72, TextTables!A:A, 0)), "Y", "N"))</f>
        <v/>
      </c>
      <c r="AA72" s="101" t="str">
        <f>IF(ISNUMBER(MATCH(F72, '[1]Can Matrix'!M:M, 0)), "Y", "N")</f>
        <v>Y</v>
      </c>
    </row>
    <row r="73" spans="1:27" ht="41.4">
      <c r="A73" s="17"/>
      <c r="B73" s="17"/>
      <c r="C73" s="17"/>
      <c r="D73" s="17" t="s">
        <v>143</v>
      </c>
      <c r="E73" s="17"/>
      <c r="F73" s="17" t="s">
        <v>5915</v>
      </c>
      <c r="G73" s="17" t="s">
        <v>5915</v>
      </c>
      <c r="H73" s="17"/>
      <c r="I73" s="97">
        <f>VLOOKUP(F73, '[1]Can Matrix'!$M:$X, 2, FALSE)</f>
        <v>8</v>
      </c>
      <c r="J73" s="17" t="str">
        <f t="shared" si="1"/>
        <v>uint8</v>
      </c>
      <c r="K73" s="17"/>
      <c r="L73" s="17"/>
      <c r="M73" s="100" t="str">
        <f>'[1]Can Matrix'!$R$2</f>
        <v>Unsigned</v>
      </c>
      <c r="N73" s="101" t="str">
        <f>IFERROR(IF(VLOOKUP(F73, '[1]Can Matrix'!$M:$X, 12, FALSE)=0, "", "TMS_Enum_" &amp; VLOOKUP(F73, '[1]Can Matrix'!$M:$X, 12, FALSE)), "")</f>
        <v/>
      </c>
      <c r="O73" s="17"/>
      <c r="P73" s="17"/>
      <c r="Q73" s="17"/>
      <c r="R73" s="17"/>
      <c r="S73" s="17"/>
      <c r="T73" s="17"/>
      <c r="U73" s="17"/>
      <c r="V73" s="17"/>
      <c r="W73" s="17"/>
      <c r="X73" s="103" t="s">
        <v>144</v>
      </c>
      <c r="Y73" s="17"/>
      <c r="Z73" s="101" t="str">
        <f>IF(N73="", "", IF(ISNUMBER(MATCH(N73, TextTables!A:A, 0)), "Y", "N"))</f>
        <v/>
      </c>
      <c r="AA73" s="101" t="str">
        <f>IF(ISNUMBER(MATCH(F73, '[1]Can Matrix'!M:M, 0)), "Y", "N")</f>
        <v>Y</v>
      </c>
    </row>
    <row r="74" spans="1:27" ht="41.4">
      <c r="A74" s="17"/>
      <c r="B74" s="17"/>
      <c r="C74" s="17"/>
      <c r="D74" s="17" t="s">
        <v>143</v>
      </c>
      <c r="E74" s="17"/>
      <c r="F74" s="17" t="s">
        <v>5916</v>
      </c>
      <c r="G74" s="17" t="s">
        <v>5916</v>
      </c>
      <c r="H74" s="17"/>
      <c r="I74" s="97">
        <f>VLOOKUP(F74, '[1]Can Matrix'!$M:$X, 2, FALSE)</f>
        <v>8</v>
      </c>
      <c r="J74" s="17" t="str">
        <f t="shared" si="1"/>
        <v>uint8</v>
      </c>
      <c r="K74" s="17"/>
      <c r="L74" s="17"/>
      <c r="M74" s="100" t="str">
        <f>'[1]Can Matrix'!$R$2</f>
        <v>Unsigned</v>
      </c>
      <c r="N74" s="101" t="str">
        <f>IFERROR(IF(VLOOKUP(F74, '[1]Can Matrix'!$M:$X, 12, FALSE)=0, "", "TMS_Enum_" &amp; VLOOKUP(F74, '[1]Can Matrix'!$M:$X, 12, FALSE)), "")</f>
        <v/>
      </c>
      <c r="O74" s="17"/>
      <c r="P74" s="17"/>
      <c r="Q74" s="17"/>
      <c r="R74" s="17"/>
      <c r="S74" s="17"/>
      <c r="T74" s="17"/>
      <c r="U74" s="17"/>
      <c r="V74" s="17"/>
      <c r="W74" s="17"/>
      <c r="X74" s="103" t="s">
        <v>144</v>
      </c>
      <c r="Y74" s="17"/>
      <c r="Z74" s="101" t="str">
        <f>IF(N74="", "", IF(ISNUMBER(MATCH(N74, TextTables!A:A, 0)), "Y", "N"))</f>
        <v/>
      </c>
      <c r="AA74" s="101" t="str">
        <f>IF(ISNUMBER(MATCH(F74, '[1]Can Matrix'!M:M, 0)), "Y", "N")</f>
        <v>Y</v>
      </c>
    </row>
    <row r="75" spans="1:27" ht="41.4">
      <c r="A75" s="17"/>
      <c r="B75" s="17"/>
      <c r="C75" s="17"/>
      <c r="D75" s="17" t="s">
        <v>143</v>
      </c>
      <c r="E75" s="17"/>
      <c r="F75" s="17" t="s">
        <v>5917</v>
      </c>
      <c r="G75" s="17" t="s">
        <v>5917</v>
      </c>
      <c r="H75" s="17"/>
      <c r="I75" s="97">
        <f>VLOOKUP(F75, '[1]Can Matrix'!$M:$X, 2, FALSE)</f>
        <v>8</v>
      </c>
      <c r="J75" s="17" t="str">
        <f t="shared" si="1"/>
        <v>uint8</v>
      </c>
      <c r="K75" s="17"/>
      <c r="L75" s="17"/>
      <c r="M75" s="100" t="str">
        <f>'[1]Can Matrix'!$R$2</f>
        <v>Unsigned</v>
      </c>
      <c r="N75" s="101" t="str">
        <f>IFERROR(IF(VLOOKUP(F75, '[1]Can Matrix'!$M:$X, 12, FALSE)=0, "", "TMS_Enum_" &amp; VLOOKUP(F75, '[1]Can Matrix'!$M:$X, 12, FALSE)), "")</f>
        <v/>
      </c>
      <c r="O75" s="17"/>
      <c r="P75" s="17"/>
      <c r="Q75" s="17"/>
      <c r="R75" s="17"/>
      <c r="S75" s="17"/>
      <c r="T75" s="17"/>
      <c r="U75" s="17"/>
      <c r="V75" s="17"/>
      <c r="W75" s="17"/>
      <c r="X75" s="103" t="s">
        <v>144</v>
      </c>
      <c r="Y75" s="17"/>
      <c r="Z75" s="101" t="str">
        <f>IF(N75="", "", IF(ISNUMBER(MATCH(N75, TextTables!A:A, 0)), "Y", "N"))</f>
        <v/>
      </c>
      <c r="AA75" s="101" t="str">
        <f>IF(ISNUMBER(MATCH(F75, '[1]Can Matrix'!M:M, 0)), "Y", "N")</f>
        <v>Y</v>
      </c>
    </row>
    <row r="76" spans="1:27" ht="41.4">
      <c r="A76" s="17"/>
      <c r="B76" s="17"/>
      <c r="C76" s="17"/>
      <c r="D76" s="17" t="s">
        <v>143</v>
      </c>
      <c r="E76" s="17"/>
      <c r="F76" s="17" t="s">
        <v>5918</v>
      </c>
      <c r="G76" s="17" t="s">
        <v>5918</v>
      </c>
      <c r="H76" s="17"/>
      <c r="I76" s="97">
        <f>VLOOKUP(F76, '[1]Can Matrix'!$M:$X, 2, FALSE)</f>
        <v>8</v>
      </c>
      <c r="J76" s="17" t="str">
        <f t="shared" si="1"/>
        <v>uint8</v>
      </c>
      <c r="K76" s="17"/>
      <c r="L76" s="17"/>
      <c r="M76" s="100" t="str">
        <f>'[1]Can Matrix'!$R$2</f>
        <v>Unsigned</v>
      </c>
      <c r="N76" s="101" t="str">
        <f>IFERROR(IF(VLOOKUP(F76, '[1]Can Matrix'!$M:$X, 12, FALSE)=0, "", "TMS_Enum_" &amp; VLOOKUP(F76, '[1]Can Matrix'!$M:$X, 12, FALSE)), "")</f>
        <v/>
      </c>
      <c r="O76" s="17"/>
      <c r="P76" s="17"/>
      <c r="Q76" s="17"/>
      <c r="R76" s="17"/>
      <c r="S76" s="17"/>
      <c r="T76" s="17"/>
      <c r="U76" s="17"/>
      <c r="V76" s="17"/>
      <c r="W76" s="17"/>
      <c r="X76" s="103" t="s">
        <v>144</v>
      </c>
      <c r="Y76" s="17"/>
      <c r="Z76" s="101" t="str">
        <f>IF(N76="", "", IF(ISNUMBER(MATCH(N76, TextTables!A:A, 0)), "Y", "N"))</f>
        <v/>
      </c>
      <c r="AA76" s="101" t="str">
        <f>IF(ISNUMBER(MATCH(F76, '[1]Can Matrix'!M:M, 0)), "Y", "N")</f>
        <v>Y</v>
      </c>
    </row>
    <row r="77" spans="1:27" ht="16.8">
      <c r="A77" s="17"/>
      <c r="B77" s="17"/>
      <c r="C77" s="17"/>
      <c r="D77" s="17" t="s">
        <v>143</v>
      </c>
      <c r="E77" s="17"/>
      <c r="F77" s="17" t="s">
        <v>5919</v>
      </c>
      <c r="G77" s="17" t="s">
        <v>5919</v>
      </c>
      <c r="H77" s="17"/>
      <c r="I77" s="97">
        <f>VLOOKUP(F77, '[1]Can Matrix'!$M:$X, 2, FALSE)</f>
        <v>16</v>
      </c>
      <c r="J77" s="17" t="str">
        <f t="shared" si="1"/>
        <v>uint16</v>
      </c>
      <c r="K77" s="17"/>
      <c r="L77" s="17"/>
      <c r="M77" s="100" t="str">
        <f>'[1]Can Matrix'!$R$2</f>
        <v>Unsigned</v>
      </c>
      <c r="N77" s="101" t="str">
        <f>IFERROR(IF(VLOOKUP(F77, '[1]Can Matrix'!$M:$X, 12, FALSE)=0, "", "TMS_Enum_" &amp; VLOOKUP(F77, '[1]Can Matrix'!$M:$X, 12, FALSE)), "")</f>
        <v/>
      </c>
      <c r="O77" s="17"/>
      <c r="P77" s="17"/>
      <c r="Q77" s="17"/>
      <c r="R77" s="17"/>
      <c r="S77" s="17"/>
      <c r="T77" s="17"/>
      <c r="U77" s="17"/>
      <c r="V77" s="17"/>
      <c r="W77" s="17"/>
      <c r="X77" s="103"/>
      <c r="Y77" s="17"/>
      <c r="Z77" s="101" t="str">
        <f>IF(N77="", "", IF(ISNUMBER(MATCH(N77, TextTables!A:A, 0)), "Y", "N"))</f>
        <v/>
      </c>
      <c r="AA77" s="101" t="str">
        <f>IF(ISNUMBER(MATCH(F77, '[1]Can Matrix'!M:M, 0)), "Y", "N")</f>
        <v>Y</v>
      </c>
    </row>
    <row r="78" spans="1:27" ht="16.8">
      <c r="A78" s="17"/>
      <c r="B78" s="17"/>
      <c r="C78" s="17"/>
      <c r="D78" s="17" t="s">
        <v>143</v>
      </c>
      <c r="E78" s="17"/>
      <c r="F78" s="17" t="s">
        <v>5920</v>
      </c>
      <c r="G78" s="17" t="s">
        <v>5920</v>
      </c>
      <c r="H78" s="17"/>
      <c r="I78" s="97">
        <f>VLOOKUP(F78, '[1]Can Matrix'!$M:$X, 2, FALSE)</f>
        <v>16</v>
      </c>
      <c r="J78" s="17" t="str">
        <f t="shared" si="1"/>
        <v>uint16</v>
      </c>
      <c r="K78" s="17"/>
      <c r="L78" s="17"/>
      <c r="M78" s="100" t="str">
        <f>'[1]Can Matrix'!$R$2</f>
        <v>Unsigned</v>
      </c>
      <c r="N78" s="101" t="str">
        <f>IFERROR(IF(VLOOKUP(F78, '[1]Can Matrix'!$M:$X, 12, FALSE)=0, "", "TMS_Enum_" &amp; VLOOKUP(F78, '[1]Can Matrix'!$M:$X, 12, FALSE)), "")</f>
        <v/>
      </c>
      <c r="O78" s="17"/>
      <c r="P78" s="17"/>
      <c r="Q78" s="17"/>
      <c r="R78" s="17"/>
      <c r="S78" s="17"/>
      <c r="T78" s="17"/>
      <c r="U78" s="17"/>
      <c r="V78" s="17"/>
      <c r="W78" s="17"/>
      <c r="X78" s="103"/>
      <c r="Y78" s="17"/>
      <c r="Z78" s="101" t="str">
        <f>IF(N78="", "", IF(ISNUMBER(MATCH(N78, TextTables!A:A, 0)), "Y", "N"))</f>
        <v/>
      </c>
      <c r="AA78" s="101" t="str">
        <f>IF(ISNUMBER(MATCH(F78, '[1]Can Matrix'!M:M, 0)), "Y", "N")</f>
        <v>Y</v>
      </c>
    </row>
    <row r="79" spans="1:27" ht="16.8">
      <c r="A79" s="17"/>
      <c r="B79" s="17"/>
      <c r="C79" s="17"/>
      <c r="D79" s="17" t="s">
        <v>143</v>
      </c>
      <c r="E79" s="17"/>
      <c r="F79" s="17" t="s">
        <v>5921</v>
      </c>
      <c r="G79" s="17" t="s">
        <v>5921</v>
      </c>
      <c r="H79" s="17"/>
      <c r="I79" s="97">
        <f>VLOOKUP(F79, '[1]Can Matrix'!$M:$X, 2, FALSE)</f>
        <v>16</v>
      </c>
      <c r="J79" s="17" t="str">
        <f t="shared" si="1"/>
        <v>uint16</v>
      </c>
      <c r="K79" s="17"/>
      <c r="L79" s="17"/>
      <c r="M79" s="100" t="str">
        <f>'[1]Can Matrix'!$R$2</f>
        <v>Unsigned</v>
      </c>
      <c r="N79" s="101" t="str">
        <f>IFERROR(IF(VLOOKUP(F79, '[1]Can Matrix'!$M:$X, 12, FALSE)=0, "", "TMS_Enum_" &amp; VLOOKUP(F79, '[1]Can Matrix'!$M:$X, 12, FALSE)), "")</f>
        <v/>
      </c>
      <c r="O79" s="17"/>
      <c r="P79" s="17"/>
      <c r="Q79" s="17"/>
      <c r="R79" s="17"/>
      <c r="S79" s="17"/>
      <c r="T79" s="17"/>
      <c r="U79" s="17"/>
      <c r="V79" s="17"/>
      <c r="W79" s="17"/>
      <c r="X79" s="103"/>
      <c r="Y79" s="17"/>
      <c r="Z79" s="101" t="str">
        <f>IF(N79="", "", IF(ISNUMBER(MATCH(N79, TextTables!A:A, 0)), "Y", "N"))</f>
        <v/>
      </c>
      <c r="AA79" s="101" t="str">
        <f>IF(ISNUMBER(MATCH(F79, '[1]Can Matrix'!M:M, 0)), "Y", "N")</f>
        <v>Y</v>
      </c>
    </row>
    <row r="80" spans="1:27" ht="120">
      <c r="A80" s="17"/>
      <c r="B80" s="17"/>
      <c r="C80" s="17"/>
      <c r="D80" s="17" t="s">
        <v>143</v>
      </c>
      <c r="E80" s="17"/>
      <c r="F80" s="17" t="s">
        <v>5922</v>
      </c>
      <c r="G80" s="17" t="s">
        <v>5922</v>
      </c>
      <c r="H80" s="17"/>
      <c r="I80" s="97">
        <f>VLOOKUP(F80, '[1]Can Matrix'!$M:$X, 2, FALSE)</f>
        <v>8</v>
      </c>
      <c r="J80" s="17" t="str">
        <f t="shared" si="1"/>
        <v>uint8</v>
      </c>
      <c r="K80" s="17"/>
      <c r="L80" s="17"/>
      <c r="M80" s="100" t="str">
        <f>'[1]Can Matrix'!$R$2</f>
        <v>Unsigned</v>
      </c>
      <c r="N80" s="101" t="str">
        <f>IFERROR(IF(VLOOKUP(F80, '[1]Can Matrix'!$M:$X, 12, FALSE)=0, "", "TMS_Enum_" &amp; VLOOKUP(F80, '[1]Can Matrix'!$M:$X, 12, FALSE)), "")</f>
        <v/>
      </c>
      <c r="O80" s="17"/>
      <c r="P80" s="17"/>
      <c r="Q80" s="17"/>
      <c r="R80" s="17"/>
      <c r="S80" s="17"/>
      <c r="T80" s="17"/>
      <c r="U80" s="17"/>
      <c r="V80" s="17"/>
      <c r="W80" s="17"/>
      <c r="X80" s="104" t="s">
        <v>145</v>
      </c>
      <c r="Y80" s="17"/>
      <c r="Z80" s="101" t="str">
        <f>IF(N80="", "", IF(ISNUMBER(MATCH(N80, TextTables!A:A, 0)), "Y", "N"))</f>
        <v/>
      </c>
      <c r="AA80" s="101" t="str">
        <f>IF(ISNUMBER(MATCH(F80, '[1]Can Matrix'!M:M, 0)), "Y", "N")</f>
        <v>Y</v>
      </c>
    </row>
    <row r="81" spans="1:27" ht="120">
      <c r="A81" s="17"/>
      <c r="B81" s="17"/>
      <c r="C81" s="17"/>
      <c r="D81" s="17" t="s">
        <v>143</v>
      </c>
      <c r="E81" s="17"/>
      <c r="F81" s="17" t="s">
        <v>5923</v>
      </c>
      <c r="G81" s="17" t="s">
        <v>5923</v>
      </c>
      <c r="H81" s="17"/>
      <c r="I81" s="97">
        <f>VLOOKUP(F81, '[1]Can Matrix'!$M:$X, 2, FALSE)</f>
        <v>8</v>
      </c>
      <c r="J81" s="17" t="str">
        <f t="shared" si="1"/>
        <v>uint8</v>
      </c>
      <c r="K81" s="17"/>
      <c r="L81" s="17"/>
      <c r="M81" s="100" t="str">
        <f>'[1]Can Matrix'!$R$2</f>
        <v>Unsigned</v>
      </c>
      <c r="N81" s="101" t="str">
        <f>IFERROR(IF(VLOOKUP(F81, '[1]Can Matrix'!$M:$X, 12, FALSE)=0, "", "TMS_Enum_" &amp; VLOOKUP(F81, '[1]Can Matrix'!$M:$X, 12, FALSE)), "")</f>
        <v/>
      </c>
      <c r="O81" s="17"/>
      <c r="P81" s="17"/>
      <c r="Q81" s="17"/>
      <c r="R81" s="17"/>
      <c r="S81" s="17"/>
      <c r="T81" s="17"/>
      <c r="U81" s="17"/>
      <c r="V81" s="17"/>
      <c r="W81" s="17"/>
      <c r="X81" s="104" t="s">
        <v>145</v>
      </c>
      <c r="Y81" s="17"/>
      <c r="Z81" s="101" t="str">
        <f>IF(N81="", "", IF(ISNUMBER(MATCH(N81, TextTables!A:A, 0)), "Y", "N"))</f>
        <v/>
      </c>
      <c r="AA81" s="101" t="str">
        <f>IF(ISNUMBER(MATCH(F81, '[1]Can Matrix'!M:M, 0)), "Y", "N")</f>
        <v>Y</v>
      </c>
    </row>
    <row r="82" spans="1:27" ht="120">
      <c r="A82" s="17"/>
      <c r="B82" s="17"/>
      <c r="C82" s="17"/>
      <c r="D82" s="17" t="s">
        <v>143</v>
      </c>
      <c r="E82" s="17"/>
      <c r="F82" s="17" t="s">
        <v>5924</v>
      </c>
      <c r="G82" s="17" t="s">
        <v>5924</v>
      </c>
      <c r="H82" s="17"/>
      <c r="I82" s="97">
        <f>VLOOKUP(F82, '[1]Can Matrix'!$M:$X, 2, FALSE)</f>
        <v>8</v>
      </c>
      <c r="J82" s="17" t="str">
        <f t="shared" si="1"/>
        <v>uint8</v>
      </c>
      <c r="K82" s="17"/>
      <c r="L82" s="17"/>
      <c r="M82" s="100" t="str">
        <f>'[1]Can Matrix'!$R$2</f>
        <v>Unsigned</v>
      </c>
      <c r="N82" s="101" t="str">
        <f>IFERROR(IF(VLOOKUP(F82, '[1]Can Matrix'!$M:$X, 12, FALSE)=0, "", "TMS_Enum_" &amp; VLOOKUP(F82, '[1]Can Matrix'!$M:$X, 12, FALSE)), "")</f>
        <v/>
      </c>
      <c r="O82" s="17"/>
      <c r="P82" s="17"/>
      <c r="Q82" s="17"/>
      <c r="R82" s="17"/>
      <c r="S82" s="17"/>
      <c r="T82" s="17"/>
      <c r="U82" s="17"/>
      <c r="V82" s="17"/>
      <c r="W82" s="17"/>
      <c r="X82" s="104" t="s">
        <v>145</v>
      </c>
      <c r="Y82" s="17"/>
      <c r="Z82" s="101" t="str">
        <f>IF(N82="", "", IF(ISNUMBER(MATCH(N82, TextTables!A:A, 0)), "Y", "N"))</f>
        <v/>
      </c>
      <c r="AA82" s="101" t="str">
        <f>IF(ISNUMBER(MATCH(F82, '[1]Can Matrix'!M:M, 0)), "Y", "N")</f>
        <v>Y</v>
      </c>
    </row>
    <row r="83" spans="1:27" ht="110.4">
      <c r="A83" s="17"/>
      <c r="B83" s="17"/>
      <c r="C83" s="17"/>
      <c r="D83" s="17" t="s">
        <v>143</v>
      </c>
      <c r="E83" s="17"/>
      <c r="F83" s="17" t="s">
        <v>5925</v>
      </c>
      <c r="G83" s="17" t="s">
        <v>5925</v>
      </c>
      <c r="H83" s="17"/>
      <c r="I83" s="97">
        <f>VLOOKUP(F83, '[1]Can Matrix'!$M:$X, 2, FALSE)</f>
        <v>8</v>
      </c>
      <c r="J83" s="17" t="str">
        <f t="shared" si="1"/>
        <v>uint8</v>
      </c>
      <c r="K83" s="17"/>
      <c r="L83" s="17"/>
      <c r="M83" s="100" t="str">
        <f>'[1]Can Matrix'!$R$2</f>
        <v>Unsigned</v>
      </c>
      <c r="N83" s="101" t="str">
        <f>IFERROR(IF(VLOOKUP(F83, '[1]Can Matrix'!$M:$X, 12, FALSE)=0, "", "TMS_Enum_" &amp; VLOOKUP(F83, '[1]Can Matrix'!$M:$X, 12, FALSE)), "")</f>
        <v/>
      </c>
      <c r="O83" s="17"/>
      <c r="P83" s="17"/>
      <c r="Q83" s="17"/>
      <c r="R83" s="17"/>
      <c r="S83" s="17"/>
      <c r="T83" s="17"/>
      <c r="U83" s="17"/>
      <c r="V83" s="17"/>
      <c r="W83" s="17"/>
      <c r="X83" s="103" t="s">
        <v>146</v>
      </c>
      <c r="Y83" s="17"/>
      <c r="Z83" s="101" t="str">
        <f>IF(N83="", "", IF(ISNUMBER(MATCH(N83, TextTables!A:A, 0)), "Y", "N"))</f>
        <v/>
      </c>
      <c r="AA83" s="101" t="str">
        <f>IF(ISNUMBER(MATCH(F83, '[1]Can Matrix'!M:M, 0)), "Y", "N")</f>
        <v>Y</v>
      </c>
    </row>
    <row r="84" spans="1:27" ht="110.4">
      <c r="A84" s="17"/>
      <c r="B84" s="17"/>
      <c r="C84" s="17"/>
      <c r="D84" s="17" t="s">
        <v>143</v>
      </c>
      <c r="E84" s="17"/>
      <c r="F84" s="17" t="s">
        <v>5926</v>
      </c>
      <c r="G84" s="17" t="s">
        <v>5926</v>
      </c>
      <c r="H84" s="17"/>
      <c r="I84" s="97">
        <f>VLOOKUP(F84, '[1]Can Matrix'!$M:$X, 2, FALSE)</f>
        <v>8</v>
      </c>
      <c r="J84" s="17" t="str">
        <f t="shared" si="1"/>
        <v>uint8</v>
      </c>
      <c r="K84" s="17"/>
      <c r="L84" s="17"/>
      <c r="M84" s="100" t="str">
        <f>'[1]Can Matrix'!$R$2</f>
        <v>Unsigned</v>
      </c>
      <c r="N84" s="101" t="str">
        <f>IFERROR(IF(VLOOKUP(F84, '[1]Can Matrix'!$M:$X, 12, FALSE)=0, "", "TMS_Enum_" &amp; VLOOKUP(F84, '[1]Can Matrix'!$M:$X, 12, FALSE)), "")</f>
        <v/>
      </c>
      <c r="O84" s="17"/>
      <c r="P84" s="17"/>
      <c r="Q84" s="17"/>
      <c r="R84" s="17"/>
      <c r="S84" s="17"/>
      <c r="T84" s="17"/>
      <c r="U84" s="17"/>
      <c r="V84" s="17"/>
      <c r="W84" s="17"/>
      <c r="X84" s="103" t="s">
        <v>146</v>
      </c>
      <c r="Y84" s="17"/>
      <c r="Z84" s="101" t="str">
        <f>IF(N84="", "", IF(ISNUMBER(MATCH(N84, TextTables!A:A, 0)), "Y", "N"))</f>
        <v/>
      </c>
      <c r="AA84" s="101" t="str">
        <f>IF(ISNUMBER(MATCH(F84, '[1]Can Matrix'!M:M, 0)), "Y", "N")</f>
        <v>Y</v>
      </c>
    </row>
    <row r="85" spans="1:27" ht="110.4">
      <c r="A85" s="17"/>
      <c r="B85" s="17"/>
      <c r="C85" s="17"/>
      <c r="D85" s="17" t="s">
        <v>143</v>
      </c>
      <c r="E85" s="17"/>
      <c r="F85" s="17" t="s">
        <v>5927</v>
      </c>
      <c r="G85" s="17" t="s">
        <v>5927</v>
      </c>
      <c r="H85" s="17"/>
      <c r="I85" s="97">
        <f>VLOOKUP(F85, '[1]Can Matrix'!$M:$X, 2, FALSE)</f>
        <v>8</v>
      </c>
      <c r="J85" s="17" t="str">
        <f t="shared" si="1"/>
        <v>uint8</v>
      </c>
      <c r="K85" s="17"/>
      <c r="L85" s="17"/>
      <c r="M85" s="100" t="str">
        <f>'[1]Can Matrix'!$R$2</f>
        <v>Unsigned</v>
      </c>
      <c r="N85" s="101" t="str">
        <f>IFERROR(IF(VLOOKUP(F85, '[1]Can Matrix'!$M:$X, 12, FALSE)=0, "", "TMS_Enum_" &amp; VLOOKUP(F85, '[1]Can Matrix'!$M:$X, 12, FALSE)), "")</f>
        <v/>
      </c>
      <c r="O85" s="17"/>
      <c r="P85" s="17"/>
      <c r="Q85" s="17"/>
      <c r="R85" s="17"/>
      <c r="S85" s="17"/>
      <c r="T85" s="17"/>
      <c r="U85" s="17"/>
      <c r="V85" s="17"/>
      <c r="W85" s="17"/>
      <c r="X85" s="103" t="s">
        <v>146</v>
      </c>
      <c r="Y85" s="17"/>
      <c r="Z85" s="101" t="str">
        <f>IF(N85="", "", IF(ISNUMBER(MATCH(N85, TextTables!A:A, 0)), "Y", "N"))</f>
        <v/>
      </c>
      <c r="AA85" s="101" t="str">
        <f>IF(ISNUMBER(MATCH(F85, '[1]Can Matrix'!M:M, 0)), "Y", "N")</f>
        <v>Y</v>
      </c>
    </row>
    <row r="86" spans="1:27" ht="41.4">
      <c r="A86" s="17"/>
      <c r="B86" s="17"/>
      <c r="C86" s="17"/>
      <c r="D86" s="17" t="s">
        <v>143</v>
      </c>
      <c r="E86" s="17"/>
      <c r="F86" s="17" t="s">
        <v>5928</v>
      </c>
      <c r="G86" s="17" t="s">
        <v>5928</v>
      </c>
      <c r="H86" s="17"/>
      <c r="I86" s="97">
        <f>VLOOKUP(F86, '[1]Can Matrix'!$M:$X, 2, FALSE)</f>
        <v>8</v>
      </c>
      <c r="J86" s="17" t="str">
        <f t="shared" si="1"/>
        <v>uint8</v>
      </c>
      <c r="K86" s="17"/>
      <c r="L86" s="17"/>
      <c r="M86" s="100" t="str">
        <f>'[1]Can Matrix'!$R$2</f>
        <v>Unsigned</v>
      </c>
      <c r="N86" s="101" t="str">
        <f>IFERROR(IF(VLOOKUP(F86, '[1]Can Matrix'!$M:$X, 12, FALSE)=0, "", "TMS_Enum_" &amp; VLOOKUP(F86, '[1]Can Matrix'!$M:$X, 12, FALSE)), "")</f>
        <v/>
      </c>
      <c r="O86" s="17"/>
      <c r="P86" s="17"/>
      <c r="Q86" s="17"/>
      <c r="R86" s="17"/>
      <c r="S86" s="17"/>
      <c r="T86" s="17"/>
      <c r="U86" s="17"/>
      <c r="V86" s="17"/>
      <c r="W86" s="17"/>
      <c r="X86" s="103" t="s">
        <v>144</v>
      </c>
      <c r="Y86" s="17"/>
      <c r="Z86" s="101" t="str">
        <f>IF(N86="", "", IF(ISNUMBER(MATCH(N86, TextTables!A:A, 0)), "Y", "N"))</f>
        <v/>
      </c>
      <c r="AA86" s="101" t="str">
        <f>IF(ISNUMBER(MATCH(F86, '[1]Can Matrix'!M:M, 0)), "Y", "N")</f>
        <v>Y</v>
      </c>
    </row>
    <row r="87" spans="1:27" ht="55.2">
      <c r="A87" s="17"/>
      <c r="B87" s="17"/>
      <c r="C87" s="17"/>
      <c r="D87" s="17" t="s">
        <v>143</v>
      </c>
      <c r="E87" s="17"/>
      <c r="F87" s="17" t="s">
        <v>5929</v>
      </c>
      <c r="G87" s="17" t="s">
        <v>5929</v>
      </c>
      <c r="H87" s="17"/>
      <c r="I87" s="97">
        <f>VLOOKUP(F87, '[1]Can Matrix'!$M:$X, 2, FALSE)</f>
        <v>8</v>
      </c>
      <c r="J87" s="17" t="str">
        <f t="shared" si="1"/>
        <v>uint8</v>
      </c>
      <c r="K87" s="17"/>
      <c r="L87" s="17"/>
      <c r="M87" s="100" t="str">
        <f>'[1]Can Matrix'!$R$2</f>
        <v>Unsigned</v>
      </c>
      <c r="N87" s="101" t="str">
        <f>IFERROR(IF(VLOOKUP(F87, '[1]Can Matrix'!$M:$X, 12, FALSE)=0, "", "TMS_Enum_" &amp; VLOOKUP(F87, '[1]Can Matrix'!$M:$X, 12, FALSE)), "")</f>
        <v/>
      </c>
      <c r="O87" s="17"/>
      <c r="P87" s="17"/>
      <c r="Q87" s="17"/>
      <c r="R87" s="17"/>
      <c r="S87" s="17"/>
      <c r="T87" s="17"/>
      <c r="U87" s="17"/>
      <c r="V87" s="17"/>
      <c r="W87" s="17"/>
      <c r="X87" s="103" t="s">
        <v>147</v>
      </c>
      <c r="Y87" s="17"/>
      <c r="Z87" s="101" t="str">
        <f>IF(N87="", "", IF(ISNUMBER(MATCH(N87, TextTables!A:A, 0)), "Y", "N"))</f>
        <v/>
      </c>
      <c r="AA87" s="101" t="str">
        <f>IF(ISNUMBER(MATCH(F87, '[1]Can Matrix'!M:M, 0)), "Y", "N")</f>
        <v>Y</v>
      </c>
    </row>
    <row r="88" spans="1:27" ht="41.4">
      <c r="A88" s="17"/>
      <c r="B88" s="17"/>
      <c r="C88" s="17"/>
      <c r="D88" s="17" t="s">
        <v>143</v>
      </c>
      <c r="E88" s="17"/>
      <c r="F88" s="17" t="s">
        <v>5930</v>
      </c>
      <c r="G88" s="17" t="s">
        <v>5930</v>
      </c>
      <c r="H88" s="17"/>
      <c r="I88" s="97">
        <f>VLOOKUP(F88, '[1]Can Matrix'!$M:$X, 2, FALSE)</f>
        <v>8</v>
      </c>
      <c r="J88" s="17" t="str">
        <f t="shared" si="1"/>
        <v>uint8</v>
      </c>
      <c r="K88" s="17"/>
      <c r="L88" s="17"/>
      <c r="M88" s="100" t="str">
        <f>'[1]Can Matrix'!$R$2</f>
        <v>Unsigned</v>
      </c>
      <c r="N88" s="101" t="str">
        <f>IFERROR(IF(VLOOKUP(F88, '[1]Can Matrix'!$M:$X, 12, FALSE)=0, "", "TMS_Enum_" &amp; VLOOKUP(F88, '[1]Can Matrix'!$M:$X, 12, FALSE)), "")</f>
        <v/>
      </c>
      <c r="O88" s="17"/>
      <c r="P88" s="17"/>
      <c r="Q88" s="17"/>
      <c r="R88" s="17"/>
      <c r="S88" s="17"/>
      <c r="T88" s="17"/>
      <c r="U88" s="17"/>
      <c r="V88" s="17"/>
      <c r="W88" s="17"/>
      <c r="X88" s="103" t="s">
        <v>144</v>
      </c>
      <c r="Y88" s="17"/>
      <c r="Z88" s="101" t="str">
        <f>IF(N88="", "", IF(ISNUMBER(MATCH(N88, TextTables!A:A, 0)), "Y", "N"))</f>
        <v/>
      </c>
      <c r="AA88" s="101" t="str">
        <f>IF(ISNUMBER(MATCH(F88, '[1]Can Matrix'!M:M, 0)), "Y", "N")</f>
        <v>Y</v>
      </c>
    </row>
    <row r="89" spans="1:27" ht="41.4">
      <c r="A89" s="17"/>
      <c r="B89" s="17"/>
      <c r="C89" s="17"/>
      <c r="D89" s="17" t="s">
        <v>143</v>
      </c>
      <c r="E89" s="17"/>
      <c r="F89" s="17" t="s">
        <v>5931</v>
      </c>
      <c r="G89" s="17" t="s">
        <v>5931</v>
      </c>
      <c r="H89" s="17"/>
      <c r="I89" s="97">
        <f>VLOOKUP(F89, '[1]Can Matrix'!$M:$X, 2, FALSE)</f>
        <v>8</v>
      </c>
      <c r="J89" s="17" t="str">
        <f t="shared" si="1"/>
        <v>uint8</v>
      </c>
      <c r="K89" s="17"/>
      <c r="L89" s="17"/>
      <c r="M89" s="100" t="str">
        <f>'[1]Can Matrix'!$R$2</f>
        <v>Unsigned</v>
      </c>
      <c r="N89" s="101" t="str">
        <f>IFERROR(IF(VLOOKUP(F89, '[1]Can Matrix'!$M:$X, 12, FALSE)=0, "", "TMS_Enum_" &amp; VLOOKUP(F89, '[1]Can Matrix'!$M:$X, 12, FALSE)), "")</f>
        <v/>
      </c>
      <c r="O89" s="17"/>
      <c r="P89" s="17"/>
      <c r="Q89" s="17"/>
      <c r="R89" s="17"/>
      <c r="S89" s="17"/>
      <c r="T89" s="17"/>
      <c r="U89" s="17"/>
      <c r="V89" s="17"/>
      <c r="W89" s="17"/>
      <c r="X89" s="103" t="s">
        <v>144</v>
      </c>
      <c r="Y89" s="17"/>
      <c r="Z89" s="101" t="str">
        <f>IF(N89="", "", IF(ISNUMBER(MATCH(N89, TextTables!A:A, 0)), "Y", "N"))</f>
        <v/>
      </c>
      <c r="AA89" s="101" t="str">
        <f>IF(ISNUMBER(MATCH(F89, '[1]Can Matrix'!M:M, 0)), "Y", "N")</f>
        <v>Y</v>
      </c>
    </row>
    <row r="90" spans="1:27" ht="41.4">
      <c r="A90" s="17"/>
      <c r="B90" s="17"/>
      <c r="C90" s="17"/>
      <c r="D90" s="17" t="s">
        <v>143</v>
      </c>
      <c r="E90" s="17"/>
      <c r="F90" s="17" t="s">
        <v>5932</v>
      </c>
      <c r="G90" s="17" t="s">
        <v>5932</v>
      </c>
      <c r="H90" s="17"/>
      <c r="I90" s="97">
        <f>VLOOKUP(F90, '[1]Can Matrix'!$M:$X, 2, FALSE)</f>
        <v>8</v>
      </c>
      <c r="J90" s="17" t="str">
        <f t="shared" si="1"/>
        <v>uint8</v>
      </c>
      <c r="K90" s="17"/>
      <c r="L90" s="17"/>
      <c r="M90" s="100" t="str">
        <f>'[1]Can Matrix'!$R$2</f>
        <v>Unsigned</v>
      </c>
      <c r="N90" s="101" t="str">
        <f>IFERROR(IF(VLOOKUP(F90, '[1]Can Matrix'!$M:$X, 12, FALSE)=0, "", "TMS_Enum_" &amp; VLOOKUP(F90, '[1]Can Matrix'!$M:$X, 12, FALSE)), "")</f>
        <v/>
      </c>
      <c r="O90" s="17"/>
      <c r="P90" s="17"/>
      <c r="Q90" s="17"/>
      <c r="R90" s="17"/>
      <c r="S90" s="17"/>
      <c r="T90" s="17"/>
      <c r="U90" s="17"/>
      <c r="V90" s="17"/>
      <c r="W90" s="17"/>
      <c r="X90" s="103" t="s">
        <v>144</v>
      </c>
      <c r="Y90" s="17"/>
      <c r="Z90" s="101" t="str">
        <f>IF(N90="", "", IF(ISNUMBER(MATCH(N90, TextTables!A:A, 0)), "Y", "N"))</f>
        <v/>
      </c>
      <c r="AA90" s="101" t="str">
        <f>IF(ISNUMBER(MATCH(F90, '[1]Can Matrix'!M:M, 0)), "Y", "N")</f>
        <v>Y</v>
      </c>
    </row>
    <row r="91" spans="1:27" ht="41.4">
      <c r="A91" s="17"/>
      <c r="B91" s="17"/>
      <c r="C91" s="17"/>
      <c r="D91" s="17" t="s">
        <v>143</v>
      </c>
      <c r="E91" s="17"/>
      <c r="F91" s="17" t="s">
        <v>5933</v>
      </c>
      <c r="G91" s="17" t="s">
        <v>5933</v>
      </c>
      <c r="H91" s="17"/>
      <c r="I91" s="97">
        <f>VLOOKUP(F91, '[1]Can Matrix'!$M:$X, 2, FALSE)</f>
        <v>8</v>
      </c>
      <c r="J91" s="17" t="str">
        <f t="shared" si="1"/>
        <v>uint8</v>
      </c>
      <c r="K91" s="17"/>
      <c r="L91" s="17"/>
      <c r="M91" s="100" t="str">
        <f>'[1]Can Matrix'!$R$2</f>
        <v>Unsigned</v>
      </c>
      <c r="N91" s="101" t="str">
        <f>IFERROR(IF(VLOOKUP(F91, '[1]Can Matrix'!$M:$X, 12, FALSE)=0, "", "TMS_Enum_" &amp; VLOOKUP(F91, '[1]Can Matrix'!$M:$X, 12, FALSE)), "")</f>
        <v/>
      </c>
      <c r="O91" s="17"/>
      <c r="P91" s="17"/>
      <c r="Q91" s="17"/>
      <c r="R91" s="17"/>
      <c r="S91" s="17"/>
      <c r="T91" s="17"/>
      <c r="U91" s="17"/>
      <c r="V91" s="17"/>
      <c r="W91" s="17"/>
      <c r="X91" s="103" t="s">
        <v>144</v>
      </c>
      <c r="Y91" s="17"/>
      <c r="Z91" s="101" t="str">
        <f>IF(N91="", "", IF(ISNUMBER(MATCH(N91, TextTables!A:A, 0)), "Y", "N"))</f>
        <v/>
      </c>
      <c r="AA91" s="101" t="str">
        <f>IF(ISNUMBER(MATCH(F91, '[1]Can Matrix'!M:M, 0)), "Y", "N")</f>
        <v>Y</v>
      </c>
    </row>
    <row r="92" spans="1:27" ht="41.4">
      <c r="A92" s="17"/>
      <c r="B92" s="17"/>
      <c r="C92" s="17"/>
      <c r="D92" s="17" t="s">
        <v>143</v>
      </c>
      <c r="E92" s="17"/>
      <c r="F92" s="17" t="s">
        <v>5934</v>
      </c>
      <c r="G92" s="17" t="s">
        <v>5934</v>
      </c>
      <c r="H92" s="17"/>
      <c r="I92" s="97">
        <f>VLOOKUP(F92, '[1]Can Matrix'!$M:$X, 2, FALSE)</f>
        <v>8</v>
      </c>
      <c r="J92" s="17" t="str">
        <f t="shared" si="1"/>
        <v>uint8</v>
      </c>
      <c r="K92" s="17"/>
      <c r="L92" s="17"/>
      <c r="M92" s="100" t="str">
        <f>'[1]Can Matrix'!$R$2</f>
        <v>Unsigned</v>
      </c>
      <c r="N92" s="101" t="str">
        <f>IFERROR(IF(VLOOKUP(F92, '[1]Can Matrix'!$M:$X, 12, FALSE)=0, "", "TMS_Enum_" &amp; VLOOKUP(F92, '[1]Can Matrix'!$M:$X, 12, FALSE)), "")</f>
        <v/>
      </c>
      <c r="O92" s="17"/>
      <c r="P92" s="17"/>
      <c r="Q92" s="17"/>
      <c r="R92" s="17"/>
      <c r="S92" s="17"/>
      <c r="T92" s="17"/>
      <c r="U92" s="17"/>
      <c r="V92" s="17"/>
      <c r="W92" s="17"/>
      <c r="X92" s="103" t="s">
        <v>144</v>
      </c>
      <c r="Y92" s="17"/>
      <c r="Z92" s="101" t="str">
        <f>IF(N92="", "", IF(ISNUMBER(MATCH(N92, TextTables!A:A, 0)), "Y", "N"))</f>
        <v/>
      </c>
      <c r="AA92" s="101" t="str">
        <f>IF(ISNUMBER(MATCH(F92, '[1]Can Matrix'!M:M, 0)), "Y", "N")</f>
        <v>Y</v>
      </c>
    </row>
    <row r="93" spans="1:27" ht="16.8">
      <c r="A93" s="17"/>
      <c r="B93" s="17"/>
      <c r="C93" s="17"/>
      <c r="D93" s="17" t="s">
        <v>143</v>
      </c>
      <c r="E93" s="17"/>
      <c r="F93" s="17" t="s">
        <v>5935</v>
      </c>
      <c r="G93" s="17" t="s">
        <v>5935</v>
      </c>
      <c r="H93" s="17"/>
      <c r="I93" s="97">
        <f>VLOOKUP(F93, '[1]Can Matrix'!$M:$X, 2, FALSE)</f>
        <v>1</v>
      </c>
      <c r="J93" s="17" t="str">
        <f t="shared" si="1"/>
        <v>uint8</v>
      </c>
      <c r="K93" s="17"/>
      <c r="L93" s="17"/>
      <c r="M93" s="100" t="str">
        <f>'[1]Can Matrix'!$R$2</f>
        <v>Unsigned</v>
      </c>
      <c r="N93" s="101" t="str">
        <f>IFERROR(IF(VLOOKUP(F93, '[1]Can Matrix'!$M:$X, 12, FALSE)=0, "", "TMS_Enum_" &amp; VLOOKUP(F93, '[1]Can Matrix'!$M:$X, 12, FALSE)), "")</f>
        <v/>
      </c>
      <c r="O93" s="17"/>
      <c r="P93" s="17"/>
      <c r="Q93" s="17"/>
      <c r="R93" s="17"/>
      <c r="S93" s="17"/>
      <c r="T93" s="17"/>
      <c r="U93" s="17"/>
      <c r="V93" s="17"/>
      <c r="W93" s="17"/>
      <c r="X93" s="103"/>
      <c r="Y93" s="17"/>
      <c r="Z93" s="101" t="str">
        <f>IF(N93="", "", IF(ISNUMBER(MATCH(N93, TextTables!A:A, 0)), "Y", "N"))</f>
        <v/>
      </c>
      <c r="AA93" s="101" t="str">
        <f>IF(ISNUMBER(MATCH(F93, '[1]Can Matrix'!M:M, 0)), "Y", "N")</f>
        <v>Y</v>
      </c>
    </row>
    <row r="94" spans="1:27" ht="16.8">
      <c r="A94" s="17"/>
      <c r="B94" s="17"/>
      <c r="C94" s="17"/>
      <c r="D94" s="17" t="s">
        <v>143</v>
      </c>
      <c r="E94" s="17"/>
      <c r="F94" s="17" t="s">
        <v>5936</v>
      </c>
      <c r="G94" s="17" t="s">
        <v>5936</v>
      </c>
      <c r="H94" s="17"/>
      <c r="I94" s="97">
        <f>VLOOKUP(F94, '[1]Can Matrix'!$M:$X, 2, FALSE)</f>
        <v>1</v>
      </c>
      <c r="J94" s="17" t="str">
        <f t="shared" ref="J94:J157" si="2">IF(I94&lt;=8,"uint8",IF(I94&lt;=16,"uint16","uint32"))</f>
        <v>uint8</v>
      </c>
      <c r="K94" s="17"/>
      <c r="L94" s="17"/>
      <c r="M94" s="100" t="str">
        <f>'[1]Can Matrix'!$R$2</f>
        <v>Unsigned</v>
      </c>
      <c r="N94" s="101" t="str">
        <f>IFERROR(IF(VLOOKUP(F94, '[1]Can Matrix'!$M:$X, 12, FALSE)=0, "", "TMS_Enum_" &amp; VLOOKUP(F94, '[1]Can Matrix'!$M:$X, 12, FALSE)), "")</f>
        <v/>
      </c>
      <c r="O94" s="17"/>
      <c r="P94" s="17"/>
      <c r="Q94" s="17"/>
      <c r="R94" s="17"/>
      <c r="S94" s="17"/>
      <c r="T94" s="17"/>
      <c r="U94" s="17"/>
      <c r="V94" s="17"/>
      <c r="W94" s="17"/>
      <c r="X94" s="103"/>
      <c r="Y94" s="17"/>
      <c r="Z94" s="101" t="str">
        <f>IF(N94="", "", IF(ISNUMBER(MATCH(N94, TextTables!A:A, 0)), "Y", "N"))</f>
        <v/>
      </c>
      <c r="AA94" s="101" t="str">
        <f>IF(ISNUMBER(MATCH(F94, '[1]Can Matrix'!M:M, 0)), "Y", "N")</f>
        <v>Y</v>
      </c>
    </row>
    <row r="95" spans="1:27" ht="16.8">
      <c r="A95" s="17"/>
      <c r="B95" s="17"/>
      <c r="C95" s="17"/>
      <c r="D95" s="17" t="s">
        <v>143</v>
      </c>
      <c r="E95" s="17"/>
      <c r="F95" s="17" t="s">
        <v>5937</v>
      </c>
      <c r="G95" s="17" t="s">
        <v>5937</v>
      </c>
      <c r="H95" s="17"/>
      <c r="I95" s="97">
        <f>VLOOKUP(F95, '[1]Can Matrix'!$M:$X, 2, FALSE)</f>
        <v>1</v>
      </c>
      <c r="J95" s="17" t="str">
        <f t="shared" si="2"/>
        <v>uint8</v>
      </c>
      <c r="K95" s="17"/>
      <c r="L95" s="17"/>
      <c r="M95" s="100" t="str">
        <f>'[1]Can Matrix'!$R$2</f>
        <v>Unsigned</v>
      </c>
      <c r="N95" s="101" t="str">
        <f>IFERROR(IF(VLOOKUP(F95, '[1]Can Matrix'!$M:$X, 12, FALSE)=0, "", "TMS_Enum_" &amp; VLOOKUP(F95, '[1]Can Matrix'!$M:$X, 12, FALSE)), "")</f>
        <v/>
      </c>
      <c r="O95" s="17"/>
      <c r="P95" s="17"/>
      <c r="Q95" s="17"/>
      <c r="R95" s="17"/>
      <c r="S95" s="17"/>
      <c r="T95" s="17"/>
      <c r="U95" s="17"/>
      <c r="V95" s="17"/>
      <c r="W95" s="17"/>
      <c r="X95" s="103"/>
      <c r="Y95" s="17"/>
      <c r="Z95" s="101" t="str">
        <f>IF(N95="", "", IF(ISNUMBER(MATCH(N95, TextTables!A:A, 0)), "Y", "N"))</f>
        <v/>
      </c>
      <c r="AA95" s="101" t="str">
        <f>IF(ISNUMBER(MATCH(F95, '[1]Can Matrix'!M:M, 0)), "Y", "N")</f>
        <v>Y</v>
      </c>
    </row>
    <row r="96" spans="1:27" ht="16.8">
      <c r="A96" s="17"/>
      <c r="B96" s="17"/>
      <c r="C96" s="17"/>
      <c r="D96" s="17" t="s">
        <v>143</v>
      </c>
      <c r="E96" s="17"/>
      <c r="F96" s="17" t="s">
        <v>5938</v>
      </c>
      <c r="G96" s="17" t="s">
        <v>5938</v>
      </c>
      <c r="H96" s="17"/>
      <c r="I96" s="97">
        <f>VLOOKUP(F96, '[1]Can Matrix'!$M:$X, 2, FALSE)</f>
        <v>1</v>
      </c>
      <c r="J96" s="17" t="str">
        <f t="shared" si="2"/>
        <v>uint8</v>
      </c>
      <c r="K96" s="17"/>
      <c r="L96" s="17"/>
      <c r="M96" s="100" t="str">
        <f>'[1]Can Matrix'!$R$2</f>
        <v>Unsigned</v>
      </c>
      <c r="N96" s="101" t="str">
        <f>IFERROR(IF(VLOOKUP(F96, '[1]Can Matrix'!$M:$X, 12, FALSE)=0, "", "TMS_Enum_" &amp; VLOOKUP(F96, '[1]Can Matrix'!$M:$X, 12, FALSE)), "")</f>
        <v/>
      </c>
      <c r="O96" s="17"/>
      <c r="P96" s="17"/>
      <c r="Q96" s="17"/>
      <c r="R96" s="17"/>
      <c r="S96" s="17"/>
      <c r="T96" s="17"/>
      <c r="U96" s="17"/>
      <c r="V96" s="17"/>
      <c r="W96" s="17"/>
      <c r="X96" s="103"/>
      <c r="Y96" s="17"/>
      <c r="Z96" s="101" t="str">
        <f>IF(N96="", "", IF(ISNUMBER(MATCH(N96, TextTables!A:A, 0)), "Y", "N"))</f>
        <v/>
      </c>
      <c r="AA96" s="101" t="str">
        <f>IF(ISNUMBER(MATCH(F96, '[1]Can Matrix'!M:M, 0)), "Y", "N")</f>
        <v>Y</v>
      </c>
    </row>
    <row r="97" spans="1:29" ht="18.600000000000001" customHeight="1">
      <c r="A97" s="17"/>
      <c r="B97" s="17"/>
      <c r="C97" s="17"/>
      <c r="D97" s="17" t="s">
        <v>143</v>
      </c>
      <c r="E97" s="17"/>
      <c r="F97" s="17" t="s">
        <v>5939</v>
      </c>
      <c r="G97" s="17" t="s">
        <v>5939</v>
      </c>
      <c r="H97" s="17"/>
      <c r="I97" s="97">
        <f>VLOOKUP(F97, '[1]Can Matrix'!$M:$X, 2, FALSE)</f>
        <v>1</v>
      </c>
      <c r="J97" s="17" t="str">
        <f t="shared" si="2"/>
        <v>uint8</v>
      </c>
      <c r="K97" s="17"/>
      <c r="L97" s="17"/>
      <c r="M97" s="100" t="str">
        <f>'[1]Can Matrix'!$R$2</f>
        <v>Unsigned</v>
      </c>
      <c r="N97" s="101" t="str">
        <f>IFERROR(IF(VLOOKUP(F97, '[1]Can Matrix'!$M:$X, 12, FALSE)=0, "", "TMS_Enum_" &amp; VLOOKUP(F97, '[1]Can Matrix'!$M:$X, 12, FALSE)), "")</f>
        <v/>
      </c>
      <c r="O97" s="17"/>
      <c r="P97" s="17"/>
      <c r="Q97" s="17"/>
      <c r="R97" s="17"/>
      <c r="S97" s="17"/>
      <c r="T97" s="17"/>
      <c r="U97" s="17"/>
      <c r="V97" s="17"/>
      <c r="W97" s="17"/>
      <c r="X97" s="103"/>
      <c r="Y97" s="17"/>
      <c r="Z97" s="101" t="str">
        <f>IF(N97="", "", IF(ISNUMBER(MATCH(N97, TextTables!A:A, 0)), "Y", "N"))</f>
        <v/>
      </c>
      <c r="AA97" s="101" t="str">
        <f>IF(ISNUMBER(MATCH(F97, '[1]Can Matrix'!M:M, 0)), "Y", "N")</f>
        <v>Y</v>
      </c>
    </row>
    <row r="98" spans="1:29" ht="16.8">
      <c r="A98" s="17"/>
      <c r="B98" s="17"/>
      <c r="C98" s="17"/>
      <c r="D98" s="17" t="s">
        <v>143</v>
      </c>
      <c r="E98" s="17"/>
      <c r="F98" s="17" t="s">
        <v>5940</v>
      </c>
      <c r="G98" s="17" t="s">
        <v>5940</v>
      </c>
      <c r="H98" s="17"/>
      <c r="I98" s="97">
        <f>VLOOKUP(F98, '[1]Can Matrix'!$M:$X, 2, FALSE)</f>
        <v>12</v>
      </c>
      <c r="J98" s="17" t="str">
        <f t="shared" si="2"/>
        <v>uint16</v>
      </c>
      <c r="K98" s="17"/>
      <c r="L98" s="17"/>
      <c r="M98" s="100" t="str">
        <f>'[1]Can Matrix'!$R$2</f>
        <v>Unsigned</v>
      </c>
      <c r="N98" s="101" t="str">
        <f>IFERROR(IF(VLOOKUP(F98, '[1]Can Matrix'!$M:$X, 12, FALSE)=0, "", "TMS_Enum_" &amp; VLOOKUP(F98, '[1]Can Matrix'!$M:$X, 12, FALSE)), "")</f>
        <v/>
      </c>
      <c r="O98" s="17"/>
      <c r="P98" s="17"/>
      <c r="Q98" s="17"/>
      <c r="R98" s="17"/>
      <c r="S98" s="17"/>
      <c r="T98" s="17"/>
      <c r="U98" s="17"/>
      <c r="V98" s="17"/>
      <c r="W98" s="17"/>
      <c r="X98" s="103"/>
      <c r="Y98" s="17"/>
      <c r="Z98" s="101" t="str">
        <f>IF(N98="", "", IF(ISNUMBER(MATCH(N98, TextTables!A:A, 0)), "Y", "N"))</f>
        <v/>
      </c>
      <c r="AA98" s="101" t="str">
        <f>IF(ISNUMBER(MATCH(F98, '[1]Can Matrix'!M:M, 0)), "Y", "N")</f>
        <v>Y</v>
      </c>
      <c r="AB98" s="5"/>
      <c r="AC98" s="5"/>
    </row>
    <row r="99" spans="1:29" ht="16.8">
      <c r="A99" s="17"/>
      <c r="B99" s="17"/>
      <c r="C99" s="17"/>
      <c r="D99" s="17" t="s">
        <v>143</v>
      </c>
      <c r="E99" s="17"/>
      <c r="F99" s="17" t="s">
        <v>5941</v>
      </c>
      <c r="G99" s="17" t="s">
        <v>5941</v>
      </c>
      <c r="H99" s="17"/>
      <c r="I99" s="97">
        <f>VLOOKUP(F99, '[1]Can Matrix'!$M:$X, 2, FALSE)</f>
        <v>12</v>
      </c>
      <c r="J99" s="17" t="str">
        <f t="shared" si="2"/>
        <v>uint16</v>
      </c>
      <c r="K99" s="17"/>
      <c r="L99" s="17"/>
      <c r="M99" s="100" t="str">
        <f>'[1]Can Matrix'!$R$2</f>
        <v>Unsigned</v>
      </c>
      <c r="N99" s="101" t="str">
        <f>IFERROR(IF(VLOOKUP(F99, '[1]Can Matrix'!$M:$X, 12, FALSE)=0, "", "TMS_Enum_" &amp; VLOOKUP(F99, '[1]Can Matrix'!$M:$X, 12, FALSE)), "")</f>
        <v/>
      </c>
      <c r="O99" s="17"/>
      <c r="P99" s="17"/>
      <c r="Q99" s="17"/>
      <c r="R99" s="17"/>
      <c r="S99" s="17"/>
      <c r="T99" s="17"/>
      <c r="U99" s="17"/>
      <c r="V99" s="17"/>
      <c r="W99" s="17"/>
      <c r="X99" s="103"/>
      <c r="Y99" s="17"/>
      <c r="Z99" s="101" t="str">
        <f>IF(N99="", "", IF(ISNUMBER(MATCH(N99, TextTables!A:A, 0)), "Y", "N"))</f>
        <v/>
      </c>
      <c r="AA99" s="101" t="str">
        <f>IF(ISNUMBER(MATCH(F99, '[1]Can Matrix'!M:M, 0)), "Y", "N")</f>
        <v>Y</v>
      </c>
      <c r="AB99" s="5"/>
      <c r="AC99" s="5"/>
    </row>
    <row r="100" spans="1:29" ht="16.8">
      <c r="A100" s="17"/>
      <c r="B100" s="17"/>
      <c r="C100" s="17"/>
      <c r="D100" s="17" t="s">
        <v>143</v>
      </c>
      <c r="E100" s="17"/>
      <c r="F100" s="17" t="s">
        <v>5942</v>
      </c>
      <c r="G100" s="17" t="s">
        <v>5942</v>
      </c>
      <c r="H100" s="17"/>
      <c r="I100" s="97">
        <f>VLOOKUP(F100, '[1]Can Matrix'!$M:$X, 2, FALSE)</f>
        <v>10</v>
      </c>
      <c r="J100" s="17" t="str">
        <f t="shared" si="2"/>
        <v>uint16</v>
      </c>
      <c r="K100" s="17"/>
      <c r="L100" s="17"/>
      <c r="M100" s="100" t="str">
        <f>'[1]Can Matrix'!$R$2</f>
        <v>Unsigned</v>
      </c>
      <c r="N100" s="101" t="str">
        <f>IFERROR(IF(VLOOKUP(F100, '[1]Can Matrix'!$M:$X, 12, FALSE)=0, "", "TMS_Enum_" &amp; VLOOKUP(F100, '[1]Can Matrix'!$M:$X, 12, FALSE)), "")</f>
        <v/>
      </c>
      <c r="O100" s="17"/>
      <c r="P100" s="17"/>
      <c r="Q100" s="17"/>
      <c r="R100" s="17"/>
      <c r="S100" s="17"/>
      <c r="T100" s="17"/>
      <c r="U100" s="17"/>
      <c r="V100" s="17"/>
      <c r="W100" s="17"/>
      <c r="X100" s="103"/>
      <c r="Y100" s="17"/>
      <c r="Z100" s="101" t="str">
        <f>IF(N100="", "", IF(ISNUMBER(MATCH(N100, TextTables!A:A, 0)), "Y", "N"))</f>
        <v/>
      </c>
      <c r="AA100" s="101" t="str">
        <f>IF(ISNUMBER(MATCH(F100, '[1]Can Matrix'!M:M, 0)), "Y", "N")</f>
        <v>Y</v>
      </c>
      <c r="AB100" s="5"/>
      <c r="AC100" s="5"/>
    </row>
    <row r="101" spans="1:29" ht="16.8">
      <c r="A101" s="17"/>
      <c r="B101" s="17"/>
      <c r="C101" s="17"/>
      <c r="D101" s="17" t="s">
        <v>143</v>
      </c>
      <c r="E101" s="17"/>
      <c r="F101" s="17" t="s">
        <v>5943</v>
      </c>
      <c r="G101" s="17" t="s">
        <v>5943</v>
      </c>
      <c r="H101" s="17"/>
      <c r="I101" s="97">
        <f>VLOOKUP(F101, '[1]Can Matrix'!$M:$X, 2, FALSE)</f>
        <v>8</v>
      </c>
      <c r="J101" s="17" t="str">
        <f t="shared" si="2"/>
        <v>uint8</v>
      </c>
      <c r="K101" s="17"/>
      <c r="L101" s="17"/>
      <c r="M101" s="100" t="str">
        <f>'[1]Can Matrix'!$R$2</f>
        <v>Unsigned</v>
      </c>
      <c r="N101" s="101" t="str">
        <f>IFERROR(IF(VLOOKUP(F101, '[1]Can Matrix'!$M:$X, 12, FALSE)=0, "", "TMS_Enum_" &amp; VLOOKUP(F101, '[1]Can Matrix'!$M:$X, 12, FALSE)), "")</f>
        <v/>
      </c>
      <c r="O101" s="17"/>
      <c r="P101" s="17"/>
      <c r="Q101" s="17"/>
      <c r="R101" s="17"/>
      <c r="S101" s="17"/>
      <c r="T101" s="17"/>
      <c r="U101" s="17"/>
      <c r="V101" s="17"/>
      <c r="W101" s="17"/>
      <c r="X101" s="103"/>
      <c r="Y101" s="17"/>
      <c r="Z101" s="101" t="str">
        <f>IF(N101="", "", IF(ISNUMBER(MATCH(N101, TextTables!A:A, 0)), "Y", "N"))</f>
        <v/>
      </c>
      <c r="AA101" s="101" t="str">
        <f>IF(ISNUMBER(MATCH(F101, '[1]Can Matrix'!M:M, 0)), "Y", "N")</f>
        <v>Y</v>
      </c>
      <c r="AB101" s="5"/>
      <c r="AC101" s="5"/>
    </row>
    <row r="102" spans="1:29" ht="16.8">
      <c r="A102" s="17"/>
      <c r="B102" s="17"/>
      <c r="C102" s="17"/>
      <c r="D102" s="17" t="s">
        <v>143</v>
      </c>
      <c r="E102" s="17"/>
      <c r="F102" s="17" t="s">
        <v>5944</v>
      </c>
      <c r="G102" s="17" t="s">
        <v>5944</v>
      </c>
      <c r="H102" s="17"/>
      <c r="I102" s="97">
        <f>VLOOKUP(F102, '[1]Can Matrix'!$M:$X, 2, FALSE)</f>
        <v>8</v>
      </c>
      <c r="J102" s="17" t="str">
        <f t="shared" si="2"/>
        <v>uint8</v>
      </c>
      <c r="K102" s="17"/>
      <c r="L102" s="17"/>
      <c r="M102" s="100" t="str">
        <f>'[1]Can Matrix'!$R$2</f>
        <v>Unsigned</v>
      </c>
      <c r="N102" s="101" t="str">
        <f>IFERROR(IF(VLOOKUP(F102, '[1]Can Matrix'!$M:$X, 12, FALSE)=0, "", "TMS_Enum_" &amp; VLOOKUP(F102, '[1]Can Matrix'!$M:$X, 12, FALSE)), "")</f>
        <v/>
      </c>
      <c r="O102" s="17"/>
      <c r="P102" s="17"/>
      <c r="Q102" s="17"/>
      <c r="R102" s="17"/>
      <c r="S102" s="17"/>
      <c r="T102" s="17"/>
      <c r="U102" s="17"/>
      <c r="V102" s="17"/>
      <c r="W102" s="17"/>
      <c r="X102" s="103"/>
      <c r="Y102" s="17"/>
      <c r="Z102" s="101" t="str">
        <f>IF(N102="", "", IF(ISNUMBER(MATCH(N102, TextTables!A:A, 0)), "Y", "N"))</f>
        <v/>
      </c>
      <c r="AA102" s="101" t="str">
        <f>IF(ISNUMBER(MATCH(F102, '[1]Can Matrix'!M:M, 0)), "Y", "N")</f>
        <v>Y</v>
      </c>
      <c r="AB102" s="5"/>
      <c r="AC102" s="5"/>
    </row>
    <row r="103" spans="1:29" ht="16.8">
      <c r="A103" s="17"/>
      <c r="B103" s="17"/>
      <c r="C103" s="17"/>
      <c r="D103" s="17" t="s">
        <v>143</v>
      </c>
      <c r="E103" s="17"/>
      <c r="F103" s="17" t="s">
        <v>5945</v>
      </c>
      <c r="G103" s="17" t="s">
        <v>5945</v>
      </c>
      <c r="H103" s="17"/>
      <c r="I103" s="97">
        <f>VLOOKUP(F103, '[1]Can Matrix'!$M:$X, 2, FALSE)</f>
        <v>15</v>
      </c>
      <c r="J103" s="17" t="str">
        <f t="shared" si="2"/>
        <v>uint16</v>
      </c>
      <c r="K103" s="17"/>
      <c r="L103" s="17"/>
      <c r="M103" s="100" t="str">
        <f>'[1]Can Matrix'!$R$2</f>
        <v>Unsigned</v>
      </c>
      <c r="N103" s="101" t="str">
        <f>IFERROR(IF(VLOOKUP(F103, '[1]Can Matrix'!$M:$X, 12, FALSE)=0, "", "TMS_Enum_" &amp; VLOOKUP(F103, '[1]Can Matrix'!$M:$X, 12, FALSE)), "")</f>
        <v/>
      </c>
      <c r="O103" s="17"/>
      <c r="P103" s="17"/>
      <c r="Q103" s="17"/>
      <c r="R103" s="17"/>
      <c r="S103" s="17"/>
      <c r="T103" s="17"/>
      <c r="U103" s="17"/>
      <c r="V103" s="17"/>
      <c r="W103" s="17"/>
      <c r="X103" s="103"/>
      <c r="Y103" s="17"/>
      <c r="Z103" s="101" t="str">
        <f>IF(N103="", "", IF(ISNUMBER(MATCH(N103, TextTables!A:A, 0)), "Y", "N"))</f>
        <v/>
      </c>
      <c r="AA103" s="101" t="str">
        <f>IF(ISNUMBER(MATCH(F103, '[1]Can Matrix'!M:M, 0)), "Y", "N")</f>
        <v>Y</v>
      </c>
      <c r="AB103" s="5"/>
      <c r="AC103" s="5"/>
    </row>
    <row r="104" spans="1:29" ht="16.8">
      <c r="A104" s="17"/>
      <c r="B104" s="17"/>
      <c r="C104" s="17"/>
      <c r="D104" s="17" t="s">
        <v>143</v>
      </c>
      <c r="E104" s="17"/>
      <c r="F104" s="17" t="s">
        <v>5946</v>
      </c>
      <c r="G104" s="17" t="s">
        <v>5946</v>
      </c>
      <c r="H104" s="17"/>
      <c r="I104" s="97">
        <f>VLOOKUP(F104, '[1]Can Matrix'!$M:$X, 2, FALSE)</f>
        <v>3</v>
      </c>
      <c r="J104" s="17" t="str">
        <f t="shared" si="2"/>
        <v>uint8</v>
      </c>
      <c r="K104" s="17"/>
      <c r="L104" s="17"/>
      <c r="M104" s="100" t="str">
        <f>'[1]Can Matrix'!$R$2</f>
        <v>Unsigned</v>
      </c>
      <c r="N104" s="101" t="str">
        <f>IFERROR(IF(VLOOKUP(F104, '[1]Can Matrix'!$M:$X, 12, FALSE)=0, "", "TMS_Enum_" &amp; VLOOKUP(F104, '[1]Can Matrix'!$M:$X, 12, FALSE)), "")</f>
        <v>TMS_Enum_CarModSts1</v>
      </c>
      <c r="O104" s="17"/>
      <c r="P104" s="17"/>
      <c r="Q104" s="17"/>
      <c r="R104" s="17"/>
      <c r="S104" s="17"/>
      <c r="T104" s="17"/>
      <c r="U104" s="17"/>
      <c r="V104" s="17"/>
      <c r="W104" s="17"/>
      <c r="X104" s="103"/>
      <c r="Y104" s="17"/>
      <c r="Z104" s="101" t="str">
        <f>IF(N104="", "", IF(ISNUMBER(MATCH(N104, TextTables!A:A, 0)), "Y", "N"))</f>
        <v>Y</v>
      </c>
      <c r="AA104" s="101" t="str">
        <f>IF(ISNUMBER(MATCH(F104, '[1]Can Matrix'!M:M, 0)), "Y", "N")</f>
        <v>Y</v>
      </c>
      <c r="AB104" s="5"/>
      <c r="AC104" s="5"/>
    </row>
    <row r="105" spans="1:29" ht="16.8">
      <c r="A105" s="17"/>
      <c r="B105" s="17"/>
      <c r="C105" s="17"/>
      <c r="D105" s="17" t="s">
        <v>143</v>
      </c>
      <c r="E105" s="17"/>
      <c r="F105" s="17" t="s">
        <v>5947</v>
      </c>
      <c r="G105" s="17" t="s">
        <v>5947</v>
      </c>
      <c r="H105" s="17"/>
      <c r="I105" s="97">
        <f>VLOOKUP(F105, '[1]Can Matrix'!$M:$X, 2, FALSE)</f>
        <v>4</v>
      </c>
      <c r="J105" s="17" t="str">
        <f t="shared" si="2"/>
        <v>uint8</v>
      </c>
      <c r="K105" s="17"/>
      <c r="L105" s="17"/>
      <c r="M105" s="100" t="str">
        <f>'[1]Can Matrix'!$R$2</f>
        <v>Unsigned</v>
      </c>
      <c r="N105" s="101" t="str">
        <f>IFERROR(IF(VLOOKUP(F105, '[1]Can Matrix'!$M:$X, 12, FALSE)=0, "", "TMS_Enum_" &amp; VLOOKUP(F105, '[1]Can Matrix'!$M:$X, 12, FALSE)), "")</f>
        <v>TMS_Enum_UsgModSts1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03"/>
      <c r="Y105" s="17"/>
      <c r="Z105" s="101" t="str">
        <f>IF(N105="", "", IF(ISNUMBER(MATCH(N105, TextTables!A:A, 0)), "Y", "N"))</f>
        <v>Y</v>
      </c>
      <c r="AA105" s="101" t="str">
        <f>IF(ISNUMBER(MATCH(F105, '[1]Can Matrix'!M:M, 0)), "Y", "N")</f>
        <v>Y</v>
      </c>
      <c r="AB105" s="5"/>
      <c r="AC105" s="5"/>
    </row>
    <row r="106" spans="1:29" ht="16.8">
      <c r="A106" s="17"/>
      <c r="B106" s="17"/>
      <c r="C106" s="17"/>
      <c r="D106" s="17" t="s">
        <v>143</v>
      </c>
      <c r="E106" s="17"/>
      <c r="F106" s="17" t="s">
        <v>5948</v>
      </c>
      <c r="G106" s="17" t="s">
        <v>5948</v>
      </c>
      <c r="H106" s="17"/>
      <c r="I106" s="97">
        <f>VLOOKUP(F106, '[1]Can Matrix'!$M:$X, 2, FALSE)</f>
        <v>1</v>
      </c>
      <c r="J106" s="17" t="str">
        <f t="shared" si="2"/>
        <v>uint8</v>
      </c>
      <c r="K106" s="17"/>
      <c r="L106" s="17"/>
      <c r="M106" s="100" t="str">
        <f>'[1]Can Matrix'!$R$2</f>
        <v>Unsigned</v>
      </c>
      <c r="N106" s="101" t="str">
        <f>IFERROR(IF(VLOOKUP(F106, '[1]Can Matrix'!$M:$X, 12, FALSE)=0, "", "TMS_Enum_" &amp; VLOOKUP(F106, '[1]Can Matrix'!$M:$X, 12, FALSE)), "")</f>
        <v>TMS_Enum_OnOff1</v>
      </c>
      <c r="O106" s="17"/>
      <c r="P106" s="17"/>
      <c r="Q106" s="17"/>
      <c r="R106" s="17"/>
      <c r="S106" s="17"/>
      <c r="T106" s="17"/>
      <c r="U106" s="17"/>
      <c r="V106" s="17"/>
      <c r="W106" s="17"/>
      <c r="X106" s="103"/>
      <c r="Y106" s="17"/>
      <c r="Z106" s="101" t="str">
        <f>IF(N106="", "", IF(ISNUMBER(MATCH(N106, TextTables!A:A, 0)), "Y", "N"))</f>
        <v>Y</v>
      </c>
      <c r="AA106" s="101" t="str">
        <f>IF(ISNUMBER(MATCH(F106, '[1]Can Matrix'!M:M, 0)), "Y", "N")</f>
        <v>Y</v>
      </c>
      <c r="AB106" s="5"/>
      <c r="AC106" s="5"/>
    </row>
    <row r="107" spans="1:29" ht="16.8">
      <c r="A107" s="17"/>
      <c r="B107" s="17"/>
      <c r="C107" s="17"/>
      <c r="D107" s="17" t="s">
        <v>143</v>
      </c>
      <c r="E107" s="17"/>
      <c r="F107" s="17" t="s">
        <v>5949</v>
      </c>
      <c r="G107" s="17" t="s">
        <v>5949</v>
      </c>
      <c r="H107" s="17"/>
      <c r="I107" s="97">
        <f>VLOOKUP(F107, '[1]Can Matrix'!$M:$X, 2, FALSE)</f>
        <v>12</v>
      </c>
      <c r="J107" s="17" t="str">
        <f t="shared" si="2"/>
        <v>uint16</v>
      </c>
      <c r="K107" s="17"/>
      <c r="L107" s="17"/>
      <c r="M107" s="100" t="str">
        <f>'[1]Can Matrix'!$R$2</f>
        <v>Unsigned</v>
      </c>
      <c r="N107" s="101" t="str">
        <f>IFERROR(IF(VLOOKUP(F107, '[1]Can Matrix'!$M:$X, 12, FALSE)=0, "", "TMS_Enum_" &amp; VLOOKUP(F107, '[1]Can Matrix'!$M:$X, 12, FALSE)), "")</f>
        <v/>
      </c>
      <c r="O107" s="17"/>
      <c r="P107" s="17"/>
      <c r="Q107" s="17"/>
      <c r="R107" s="17"/>
      <c r="S107" s="17"/>
      <c r="T107" s="17"/>
      <c r="U107" s="17"/>
      <c r="V107" s="17"/>
      <c r="W107" s="17"/>
      <c r="X107" s="103"/>
      <c r="Y107" s="17"/>
      <c r="Z107" s="101" t="str">
        <f>IF(N107="", "", IF(ISNUMBER(MATCH(N107, TextTables!A:A, 0)), "Y", "N"))</f>
        <v/>
      </c>
      <c r="AA107" s="101" t="str">
        <f>IF(ISNUMBER(MATCH(F107, '[1]Can Matrix'!M:M, 0)), "Y", "N")</f>
        <v>Y</v>
      </c>
      <c r="AB107" s="5"/>
      <c r="AC107" s="5"/>
    </row>
    <row r="108" spans="1:29" ht="16.8">
      <c r="A108" s="17"/>
      <c r="B108" s="17"/>
      <c r="C108" s="17"/>
      <c r="D108" s="17" t="s">
        <v>143</v>
      </c>
      <c r="E108" s="17"/>
      <c r="F108" s="17" t="s">
        <v>5950</v>
      </c>
      <c r="G108" s="17" t="s">
        <v>6381</v>
      </c>
      <c r="H108" s="17"/>
      <c r="I108" s="97">
        <f>VLOOKUP(F108, '[1]Can Matrix'!$M:$X, 2, FALSE)</f>
        <v>1</v>
      </c>
      <c r="J108" s="17" t="str">
        <f t="shared" si="2"/>
        <v>uint8</v>
      </c>
      <c r="K108" s="17"/>
      <c r="L108" s="17"/>
      <c r="M108" s="100" t="str">
        <f>'[1]Can Matrix'!$R$2</f>
        <v>Unsigned</v>
      </c>
      <c r="N108" s="101" t="str">
        <f>IFERROR(IF(VLOOKUP(F108, '[1]Can Matrix'!$M:$X, 12, FALSE)=0, "", "TMS_Enum_" &amp; VLOOKUP(F108, '[1]Can Matrix'!$M:$X, 12, FALSE)), "")</f>
        <v>TMS_Enum_OnOff1</v>
      </c>
      <c r="O108" s="17"/>
      <c r="P108" s="17"/>
      <c r="Q108" s="17"/>
      <c r="R108" s="17"/>
      <c r="S108" s="17"/>
      <c r="T108" s="17"/>
      <c r="U108" s="17"/>
      <c r="V108" s="17"/>
      <c r="W108" s="17"/>
      <c r="X108" s="103"/>
      <c r="Y108" s="17"/>
      <c r="Z108" s="101" t="str">
        <f>IF(N108="", "", IF(ISNUMBER(MATCH(N108, TextTables!A:A, 0)), "Y", "N"))</f>
        <v>Y</v>
      </c>
      <c r="AA108" s="101" t="str">
        <f>IF(ISNUMBER(MATCH(F108, '[1]Can Matrix'!M:M, 0)), "Y", "N")</f>
        <v>Y</v>
      </c>
      <c r="AB108" s="5"/>
      <c r="AC108" s="5"/>
    </row>
    <row r="109" spans="1:29" ht="16.8">
      <c r="A109" s="17"/>
      <c r="B109" s="17"/>
      <c r="C109" s="17"/>
      <c r="D109" s="17" t="s">
        <v>143</v>
      </c>
      <c r="E109" s="17"/>
      <c r="F109" s="17" t="s">
        <v>5951</v>
      </c>
      <c r="G109" s="17" t="s">
        <v>5951</v>
      </c>
      <c r="H109" s="17"/>
      <c r="I109" s="97">
        <f>VLOOKUP(F109, '[1]Can Matrix'!$M:$X, 2, FALSE)</f>
        <v>12</v>
      </c>
      <c r="J109" s="17" t="str">
        <f t="shared" si="2"/>
        <v>uint16</v>
      </c>
      <c r="K109" s="17"/>
      <c r="L109" s="17"/>
      <c r="M109" s="100" t="str">
        <f>'[1]Can Matrix'!$R$2</f>
        <v>Unsigned</v>
      </c>
      <c r="N109" s="101" t="str">
        <f>IFERROR(IF(VLOOKUP(F109, '[1]Can Matrix'!$M:$X, 12, FALSE)=0, "", "TMS_Enum_" &amp; VLOOKUP(F109, '[1]Can Matrix'!$M:$X, 12, FALSE)), "")</f>
        <v/>
      </c>
      <c r="O109" s="17"/>
      <c r="P109" s="17"/>
      <c r="Q109" s="17"/>
      <c r="R109" s="17"/>
      <c r="S109" s="17"/>
      <c r="T109" s="17"/>
      <c r="U109" s="17"/>
      <c r="V109" s="17"/>
      <c r="W109" s="17"/>
      <c r="X109" s="103"/>
      <c r="Y109" s="17"/>
      <c r="Z109" s="101" t="str">
        <f>IF(N109="", "", IF(ISNUMBER(MATCH(N109, TextTables!A:A, 0)), "Y", "N"))</f>
        <v/>
      </c>
      <c r="AA109" s="101" t="str">
        <f>IF(ISNUMBER(MATCH(F109, '[1]Can Matrix'!M:M, 0)), "Y", "N")</f>
        <v>Y</v>
      </c>
      <c r="AB109" s="5"/>
      <c r="AC109" s="5"/>
    </row>
    <row r="110" spans="1:29" ht="16.8">
      <c r="A110" s="17"/>
      <c r="B110" s="17"/>
      <c r="C110" s="17"/>
      <c r="D110" s="17" t="s">
        <v>143</v>
      </c>
      <c r="E110" s="17"/>
      <c r="F110" s="17" t="s">
        <v>5952</v>
      </c>
      <c r="G110" s="17" t="s">
        <v>5952</v>
      </c>
      <c r="H110" s="17"/>
      <c r="I110" s="97">
        <f>VLOOKUP(F110, '[1]Can Matrix'!$M:$X, 2, FALSE)</f>
        <v>1</v>
      </c>
      <c r="J110" s="17" t="str">
        <f t="shared" si="2"/>
        <v>uint8</v>
      </c>
      <c r="K110" s="17"/>
      <c r="L110" s="17"/>
      <c r="M110" s="100" t="str">
        <f>'[1]Can Matrix'!$R$2</f>
        <v>Unsigned</v>
      </c>
      <c r="N110" s="101" t="str">
        <f>IFERROR(IF(VLOOKUP(F110, '[1]Can Matrix'!$M:$X, 12, FALSE)=0, "", "TMS_Enum_" &amp; VLOOKUP(F110, '[1]Can Matrix'!$M:$X, 12, FALSE)), "")</f>
        <v>TMS_Enum_OnOff1</v>
      </c>
      <c r="O110" s="17"/>
      <c r="P110" s="17"/>
      <c r="Q110" s="17"/>
      <c r="R110" s="17"/>
      <c r="S110" s="17"/>
      <c r="T110" s="17"/>
      <c r="U110" s="17"/>
      <c r="V110" s="17"/>
      <c r="W110" s="17"/>
      <c r="X110" s="103"/>
      <c r="Y110" s="17"/>
      <c r="Z110" s="101" t="str">
        <f>IF(N110="", "", IF(ISNUMBER(MATCH(N110, TextTables!A:A, 0)), "Y", "N"))</f>
        <v>Y</v>
      </c>
      <c r="AA110" s="101" t="str">
        <f>IF(ISNUMBER(MATCH(F110, '[1]Can Matrix'!M:M, 0)), "Y", "N")</f>
        <v>Y</v>
      </c>
      <c r="AB110" s="5"/>
      <c r="AC110" s="5"/>
    </row>
    <row r="111" spans="1:29" ht="16.8">
      <c r="A111" s="17"/>
      <c r="B111" s="17"/>
      <c r="C111" s="17"/>
      <c r="D111" s="17" t="s">
        <v>143</v>
      </c>
      <c r="E111" s="17"/>
      <c r="F111" s="17" t="s">
        <v>5953</v>
      </c>
      <c r="G111" s="17" t="s">
        <v>5953</v>
      </c>
      <c r="H111" s="17"/>
      <c r="I111" s="97">
        <f>VLOOKUP(F111, '[1]Can Matrix'!$M:$X, 2, FALSE)</f>
        <v>12</v>
      </c>
      <c r="J111" s="17" t="str">
        <f t="shared" si="2"/>
        <v>uint16</v>
      </c>
      <c r="K111" s="17"/>
      <c r="L111" s="17"/>
      <c r="M111" s="100" t="str">
        <f>'[1]Can Matrix'!$R$2</f>
        <v>Unsigned</v>
      </c>
      <c r="N111" s="101" t="str">
        <f>IFERROR(IF(VLOOKUP(F111, '[1]Can Matrix'!$M:$X, 12, FALSE)=0, "", "TMS_Enum_" &amp; VLOOKUP(F111, '[1]Can Matrix'!$M:$X, 12, FALSE)), "")</f>
        <v/>
      </c>
      <c r="O111" s="17"/>
      <c r="P111" s="17"/>
      <c r="Q111" s="17"/>
      <c r="R111" s="17"/>
      <c r="S111" s="17"/>
      <c r="T111" s="17"/>
      <c r="U111" s="17"/>
      <c r="V111" s="17"/>
      <c r="W111" s="17"/>
      <c r="X111" s="103"/>
      <c r="Y111" s="17"/>
      <c r="Z111" s="101" t="str">
        <f>IF(N111="", "", IF(ISNUMBER(MATCH(N111, TextTables!A:A, 0)), "Y", "N"))</f>
        <v/>
      </c>
      <c r="AA111" s="101" t="str">
        <f>IF(ISNUMBER(MATCH(F111, '[1]Can Matrix'!M:M, 0)), "Y", "N")</f>
        <v>Y</v>
      </c>
      <c r="AB111" s="5"/>
      <c r="AC111" s="5"/>
    </row>
    <row r="112" spans="1:29" ht="16.8">
      <c r="A112" s="17"/>
      <c r="B112" s="17"/>
      <c r="C112" s="17"/>
      <c r="D112" s="17" t="s">
        <v>143</v>
      </c>
      <c r="E112" s="17"/>
      <c r="F112" s="17" t="s">
        <v>5954</v>
      </c>
      <c r="G112" s="17" t="s">
        <v>5954</v>
      </c>
      <c r="H112" s="17"/>
      <c r="I112" s="97">
        <f>VLOOKUP(F112, '[1]Can Matrix'!$M:$X, 2, FALSE)</f>
        <v>1</v>
      </c>
      <c r="J112" s="17" t="str">
        <f t="shared" si="2"/>
        <v>uint8</v>
      </c>
      <c r="K112" s="17"/>
      <c r="L112" s="17"/>
      <c r="M112" s="100" t="str">
        <f>'[1]Can Matrix'!$R$2</f>
        <v>Unsigned</v>
      </c>
      <c r="N112" s="101" t="str">
        <f>IFERROR(IF(VLOOKUP(F112, '[1]Can Matrix'!$M:$X, 12, FALSE)=0, "", "TMS_Enum_" &amp; VLOOKUP(F112, '[1]Can Matrix'!$M:$X, 12, FALSE)), "")</f>
        <v>TMS_Enum_OnOff1</v>
      </c>
      <c r="O112" s="17"/>
      <c r="P112" s="17"/>
      <c r="Q112" s="17"/>
      <c r="R112" s="17"/>
      <c r="S112" s="17"/>
      <c r="T112" s="17"/>
      <c r="U112" s="17"/>
      <c r="V112" s="17"/>
      <c r="W112" s="17"/>
      <c r="X112" s="103"/>
      <c r="Y112" s="17"/>
      <c r="Z112" s="101" t="str">
        <f>IF(N112="", "", IF(ISNUMBER(MATCH(N112, TextTables!A:A, 0)), "Y", "N"))</f>
        <v>Y</v>
      </c>
      <c r="AA112" s="101" t="str">
        <f>IF(ISNUMBER(MATCH(F112, '[1]Can Matrix'!M:M, 0)), "Y", "N")</f>
        <v>Y</v>
      </c>
      <c r="AB112" s="5"/>
      <c r="AC112" s="5"/>
    </row>
    <row r="113" spans="1:29" ht="16.8">
      <c r="A113" s="17"/>
      <c r="B113" s="17"/>
      <c r="C113" s="17"/>
      <c r="D113" s="17" t="s">
        <v>143</v>
      </c>
      <c r="E113" s="17"/>
      <c r="F113" s="17" t="s">
        <v>5955</v>
      </c>
      <c r="G113" s="17" t="s">
        <v>5955</v>
      </c>
      <c r="H113" s="17"/>
      <c r="I113" s="97">
        <f>VLOOKUP(F113, '[1]Can Matrix'!$M:$X, 2, FALSE)</f>
        <v>12</v>
      </c>
      <c r="J113" s="17" t="str">
        <f t="shared" si="2"/>
        <v>uint16</v>
      </c>
      <c r="K113" s="17"/>
      <c r="L113" s="17"/>
      <c r="M113" s="100" t="str">
        <f>'[1]Can Matrix'!$R$2</f>
        <v>Unsigned</v>
      </c>
      <c r="N113" s="101" t="str">
        <f>IFERROR(IF(VLOOKUP(F113, '[1]Can Matrix'!$M:$X, 12, FALSE)=0, "", "TMS_Enum_" &amp; VLOOKUP(F113, '[1]Can Matrix'!$M:$X, 12, FALSE)), "")</f>
        <v/>
      </c>
      <c r="O113" s="17"/>
      <c r="P113" s="17"/>
      <c r="Q113" s="17"/>
      <c r="R113" s="17"/>
      <c r="S113" s="17"/>
      <c r="T113" s="17"/>
      <c r="U113" s="17"/>
      <c r="V113" s="17"/>
      <c r="W113" s="17"/>
      <c r="X113" s="103"/>
      <c r="Y113" s="17"/>
      <c r="Z113" s="101" t="str">
        <f>IF(N113="", "", IF(ISNUMBER(MATCH(N113, TextTables!A:A, 0)), "Y", "N"))</f>
        <v/>
      </c>
      <c r="AA113" s="101" t="str">
        <f>IF(ISNUMBER(MATCH(F113, '[1]Can Matrix'!M:M, 0)), "Y", "N")</f>
        <v>Y</v>
      </c>
      <c r="AB113" s="5"/>
      <c r="AC113" s="5"/>
    </row>
    <row r="114" spans="1:29" ht="16.8">
      <c r="A114" s="17"/>
      <c r="B114" s="17"/>
      <c r="C114" s="17"/>
      <c r="D114" s="17" t="s">
        <v>143</v>
      </c>
      <c r="E114" s="17"/>
      <c r="F114" s="17" t="s">
        <v>5956</v>
      </c>
      <c r="G114" s="17" t="s">
        <v>5956</v>
      </c>
      <c r="H114" s="17"/>
      <c r="I114" s="97">
        <f>VLOOKUP(F114, '[1]Can Matrix'!$M:$X, 2, FALSE)</f>
        <v>1</v>
      </c>
      <c r="J114" s="17" t="str">
        <f t="shared" si="2"/>
        <v>uint8</v>
      </c>
      <c r="K114" s="17"/>
      <c r="L114" s="17"/>
      <c r="M114" s="100" t="str">
        <f>'[1]Can Matrix'!$R$2</f>
        <v>Unsigned</v>
      </c>
      <c r="N114" s="101" t="str">
        <f>IFERROR(IF(VLOOKUP(F114, '[1]Can Matrix'!$M:$X, 12, FALSE)=0, "", "TMS_Enum_" &amp; VLOOKUP(F114, '[1]Can Matrix'!$M:$X, 12, FALSE)), "")</f>
        <v>TMS_Enum_OnOff1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03"/>
      <c r="Y114" s="17"/>
      <c r="Z114" s="101" t="str">
        <f>IF(N114="", "", IF(ISNUMBER(MATCH(N114, TextTables!A:A, 0)), "Y", "N"))</f>
        <v>Y</v>
      </c>
      <c r="AA114" s="101" t="str">
        <f>IF(ISNUMBER(MATCH(F114, '[1]Can Matrix'!M:M, 0)), "Y", "N")</f>
        <v>Y</v>
      </c>
      <c r="AB114" s="5"/>
      <c r="AC114" s="5"/>
    </row>
    <row r="115" spans="1:29" ht="16.8">
      <c r="A115" s="17"/>
      <c r="B115" s="17"/>
      <c r="C115" s="17"/>
      <c r="D115" s="17" t="s">
        <v>143</v>
      </c>
      <c r="E115" s="17"/>
      <c r="F115" s="17" t="s">
        <v>5957</v>
      </c>
      <c r="G115" s="17" t="s">
        <v>5957</v>
      </c>
      <c r="H115" s="17"/>
      <c r="I115" s="97">
        <f>VLOOKUP(F115, '[1]Can Matrix'!$M:$X, 2, FALSE)</f>
        <v>12</v>
      </c>
      <c r="J115" s="17" t="str">
        <f t="shared" si="2"/>
        <v>uint16</v>
      </c>
      <c r="K115" s="17"/>
      <c r="L115" s="17"/>
      <c r="M115" s="100" t="str">
        <f>'[1]Can Matrix'!$R$2</f>
        <v>Unsigned</v>
      </c>
      <c r="N115" s="101" t="str">
        <f>IFERROR(IF(VLOOKUP(F115, '[1]Can Matrix'!$M:$X, 12, FALSE)=0, "", "TMS_Enum_" &amp; VLOOKUP(F115, '[1]Can Matrix'!$M:$X, 12, FALSE)), "")</f>
        <v/>
      </c>
      <c r="O115" s="17"/>
      <c r="P115" s="17"/>
      <c r="Q115" s="17"/>
      <c r="R115" s="17"/>
      <c r="S115" s="17"/>
      <c r="T115" s="17"/>
      <c r="U115" s="17"/>
      <c r="V115" s="17"/>
      <c r="W115" s="17"/>
      <c r="X115" s="103"/>
      <c r="Y115" s="17"/>
      <c r="Z115" s="101" t="str">
        <f>IF(N115="", "", IF(ISNUMBER(MATCH(N115, TextTables!A:A, 0)), "Y", "N"))</f>
        <v/>
      </c>
      <c r="AA115" s="101" t="str">
        <f>IF(ISNUMBER(MATCH(F115, '[1]Can Matrix'!M:M, 0)), "Y", "N")</f>
        <v>Y</v>
      </c>
      <c r="AB115" s="5"/>
      <c r="AC115" s="5"/>
    </row>
    <row r="116" spans="1:29" ht="16.8">
      <c r="A116" s="17"/>
      <c r="B116" s="17"/>
      <c r="C116" s="17"/>
      <c r="D116" s="17" t="s">
        <v>143</v>
      </c>
      <c r="E116" s="17"/>
      <c r="F116" s="17" t="s">
        <v>5958</v>
      </c>
      <c r="G116" s="17" t="s">
        <v>6383</v>
      </c>
      <c r="H116" s="17"/>
      <c r="I116" s="97">
        <f>VLOOKUP(F116, '[1]Can Matrix'!$M:$X, 2, FALSE)</f>
        <v>1</v>
      </c>
      <c r="J116" s="17" t="str">
        <f t="shared" si="2"/>
        <v>uint8</v>
      </c>
      <c r="K116" s="17"/>
      <c r="L116" s="17"/>
      <c r="M116" s="100" t="str">
        <f>'[1]Can Matrix'!$R$2</f>
        <v>Unsigned</v>
      </c>
      <c r="N116" s="101" t="str">
        <f>IFERROR(IF(VLOOKUP(F116, '[1]Can Matrix'!$M:$X, 12, FALSE)=0, "", "TMS_Enum_" &amp; VLOOKUP(F116, '[1]Can Matrix'!$M:$X, 12, FALSE)), "")</f>
        <v>TMS_Enum_OnOff1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03"/>
      <c r="Y116" s="17"/>
      <c r="Z116" s="101" t="str">
        <f>IF(N116="", "", IF(ISNUMBER(MATCH(N116, TextTables!A:A, 0)), "Y", "N"))</f>
        <v>Y</v>
      </c>
      <c r="AA116" s="101" t="str">
        <f>IF(ISNUMBER(MATCH(F116, '[1]Can Matrix'!M:M, 0)), "Y", "N")</f>
        <v>Y</v>
      </c>
      <c r="AB116" s="5"/>
      <c r="AC116" s="5"/>
    </row>
    <row r="117" spans="1:29" ht="16.8">
      <c r="A117" s="17"/>
      <c r="B117" s="17"/>
      <c r="C117" s="17"/>
      <c r="D117" s="17" t="s">
        <v>143</v>
      </c>
      <c r="E117" s="17"/>
      <c r="F117" s="17" t="s">
        <v>5959</v>
      </c>
      <c r="G117" s="17" t="s">
        <v>6382</v>
      </c>
      <c r="H117" s="17"/>
      <c r="I117" s="97">
        <f>VLOOKUP(F117, '[1]Can Matrix'!$M:$X, 2, FALSE)</f>
        <v>12</v>
      </c>
      <c r="J117" s="17" t="str">
        <f t="shared" si="2"/>
        <v>uint16</v>
      </c>
      <c r="K117" s="17"/>
      <c r="L117" s="17"/>
      <c r="M117" s="100" t="str">
        <f>'[1]Can Matrix'!$R$2</f>
        <v>Unsigned</v>
      </c>
      <c r="N117" s="101" t="str">
        <f>IFERROR(IF(VLOOKUP(F117, '[1]Can Matrix'!$M:$X, 12, FALSE)=0, "", "TMS_Enum_" &amp; VLOOKUP(F117, '[1]Can Matrix'!$M:$X, 12, FALSE)), "")</f>
        <v/>
      </c>
      <c r="O117" s="17"/>
      <c r="P117" s="17"/>
      <c r="Q117" s="17"/>
      <c r="R117" s="17"/>
      <c r="S117" s="17"/>
      <c r="T117" s="17"/>
      <c r="U117" s="17"/>
      <c r="V117" s="17"/>
      <c r="W117" s="17"/>
      <c r="X117" s="103"/>
      <c r="Y117" s="17"/>
      <c r="Z117" s="101" t="str">
        <f>IF(N117="", "", IF(ISNUMBER(MATCH(N117, TextTables!A:A, 0)), "Y", "N"))</f>
        <v/>
      </c>
      <c r="AA117" s="101" t="str">
        <f>IF(ISNUMBER(MATCH(F117, '[1]Can Matrix'!M:M, 0)), "Y", "N")</f>
        <v>Y</v>
      </c>
      <c r="AB117" s="5"/>
      <c r="AC117" s="5"/>
    </row>
    <row r="118" spans="1:29" ht="16.8">
      <c r="A118" s="17"/>
      <c r="B118" s="17"/>
      <c r="C118" s="17"/>
      <c r="D118" s="17" t="s">
        <v>143</v>
      </c>
      <c r="E118" s="17"/>
      <c r="F118" s="17" t="s">
        <v>5960</v>
      </c>
      <c r="G118" s="17" t="s">
        <v>6385</v>
      </c>
      <c r="H118" s="17"/>
      <c r="I118" s="97">
        <f>VLOOKUP(F118, '[1]Can Matrix'!$M:$X, 2, FALSE)</f>
        <v>1</v>
      </c>
      <c r="J118" s="17" t="str">
        <f t="shared" si="2"/>
        <v>uint8</v>
      </c>
      <c r="K118" s="17"/>
      <c r="L118" s="17"/>
      <c r="M118" s="100" t="str">
        <f>'[1]Can Matrix'!$R$2</f>
        <v>Unsigned</v>
      </c>
      <c r="N118" s="101" t="str">
        <f>IFERROR(IF(VLOOKUP(F118, '[1]Can Matrix'!$M:$X, 12, FALSE)=0, "", "TMS_Enum_" &amp; VLOOKUP(F118, '[1]Can Matrix'!$M:$X, 12, FALSE)), "")</f>
        <v>TMS_Enum_OnOff1</v>
      </c>
      <c r="O118" s="17"/>
      <c r="P118" s="17"/>
      <c r="Q118" s="17"/>
      <c r="R118" s="17"/>
      <c r="S118" s="17"/>
      <c r="T118" s="17"/>
      <c r="U118" s="17"/>
      <c r="V118" s="17"/>
      <c r="W118" s="17"/>
      <c r="X118" s="103"/>
      <c r="Y118" s="17"/>
      <c r="Z118" s="101" t="str">
        <f>IF(N118="", "", IF(ISNUMBER(MATCH(N118, TextTables!A:A, 0)), "Y", "N"))</f>
        <v>Y</v>
      </c>
      <c r="AA118" s="101" t="str">
        <f>IF(ISNUMBER(MATCH(F118, '[1]Can Matrix'!M:M, 0)), "Y", "N")</f>
        <v>Y</v>
      </c>
      <c r="AB118" s="5"/>
      <c r="AC118" s="5"/>
    </row>
    <row r="119" spans="1:29" ht="16.8">
      <c r="A119" s="17"/>
      <c r="B119" s="17"/>
      <c r="C119" s="17"/>
      <c r="D119" s="17" t="s">
        <v>143</v>
      </c>
      <c r="E119" s="17"/>
      <c r="F119" s="17" t="s">
        <v>5961</v>
      </c>
      <c r="G119" s="17" t="s">
        <v>6384</v>
      </c>
      <c r="H119" s="17"/>
      <c r="I119" s="97">
        <f>VLOOKUP(F119, '[1]Can Matrix'!$M:$X, 2, FALSE)</f>
        <v>12</v>
      </c>
      <c r="J119" s="17" t="str">
        <f t="shared" si="2"/>
        <v>uint16</v>
      </c>
      <c r="K119" s="17"/>
      <c r="L119" s="17"/>
      <c r="M119" s="100" t="str">
        <f>'[1]Can Matrix'!$R$2</f>
        <v>Unsigned</v>
      </c>
      <c r="N119" s="101" t="str">
        <f>IFERROR(IF(VLOOKUP(F119, '[1]Can Matrix'!$M:$X, 12, FALSE)=0, "", "TMS_Enum_" &amp; VLOOKUP(F119, '[1]Can Matrix'!$M:$X, 12, FALSE)), "")</f>
        <v/>
      </c>
      <c r="O119" s="17"/>
      <c r="P119" s="17"/>
      <c r="Q119" s="17"/>
      <c r="R119" s="17"/>
      <c r="S119" s="17"/>
      <c r="T119" s="17"/>
      <c r="U119" s="17"/>
      <c r="V119" s="17"/>
      <c r="W119" s="17"/>
      <c r="X119" s="103"/>
      <c r="Y119" s="17"/>
      <c r="Z119" s="101" t="str">
        <f>IF(N119="", "", IF(ISNUMBER(MATCH(N119, TextTables!A:A, 0)), "Y", "N"))</f>
        <v/>
      </c>
      <c r="AA119" s="101" t="str">
        <f>IF(ISNUMBER(MATCH(F119, '[1]Can Matrix'!M:M, 0)), "Y", "N")</f>
        <v>Y</v>
      </c>
      <c r="AB119" s="5"/>
      <c r="AC119" s="5"/>
    </row>
    <row r="120" spans="1:29" ht="16.8">
      <c r="A120" s="17"/>
      <c r="B120" s="17"/>
      <c r="C120" s="17"/>
      <c r="D120" s="17" t="s">
        <v>143</v>
      </c>
      <c r="E120" s="17"/>
      <c r="F120" s="17" t="s">
        <v>5962</v>
      </c>
      <c r="G120" s="17" t="s">
        <v>6386</v>
      </c>
      <c r="H120" s="17"/>
      <c r="I120" s="97">
        <f>VLOOKUP(F120, '[1]Can Matrix'!$M:$X, 2, FALSE)</f>
        <v>1</v>
      </c>
      <c r="J120" s="17" t="str">
        <f t="shared" si="2"/>
        <v>uint8</v>
      </c>
      <c r="K120" s="17"/>
      <c r="L120" s="17"/>
      <c r="M120" s="100" t="str">
        <f>'[1]Can Matrix'!$R$2</f>
        <v>Unsigned</v>
      </c>
      <c r="N120" s="101" t="str">
        <f>IFERROR(IF(VLOOKUP(F120, '[1]Can Matrix'!$M:$X, 12, FALSE)=0, "", "TMS_Enum_" &amp; VLOOKUP(F120, '[1]Can Matrix'!$M:$X, 12, FALSE)), "")</f>
        <v>TMS_Enum_OnOff1</v>
      </c>
      <c r="O120" s="17"/>
      <c r="P120" s="17"/>
      <c r="Q120" s="17"/>
      <c r="R120" s="17"/>
      <c r="S120" s="17"/>
      <c r="T120" s="17"/>
      <c r="U120" s="17"/>
      <c r="V120" s="17"/>
      <c r="W120" s="17"/>
      <c r="X120" s="103"/>
      <c r="Y120" s="17"/>
      <c r="Z120" s="101" t="str">
        <f>IF(N120="", "", IF(ISNUMBER(MATCH(N120, TextTables!A:A, 0)), "Y", "N"))</f>
        <v>Y</v>
      </c>
      <c r="AA120" s="101" t="str">
        <f>IF(ISNUMBER(MATCH(F120, '[1]Can Matrix'!M:M, 0)), "Y", "N")</f>
        <v>Y</v>
      </c>
      <c r="AB120" s="5"/>
      <c r="AC120" s="5"/>
    </row>
    <row r="121" spans="1:29" ht="16.8">
      <c r="A121" s="17"/>
      <c r="B121" s="17"/>
      <c r="C121" s="17"/>
      <c r="D121" s="17" t="s">
        <v>143</v>
      </c>
      <c r="E121" s="17"/>
      <c r="F121" s="17" t="s">
        <v>5963</v>
      </c>
      <c r="G121" s="17" t="s">
        <v>6387</v>
      </c>
      <c r="H121" s="17"/>
      <c r="I121" s="97">
        <f>VLOOKUP(F121, '[1]Can Matrix'!$M:$X, 2, FALSE)</f>
        <v>12</v>
      </c>
      <c r="J121" s="17" t="str">
        <f t="shared" si="2"/>
        <v>uint16</v>
      </c>
      <c r="K121" s="17"/>
      <c r="L121" s="17"/>
      <c r="M121" s="100" t="str">
        <f>'[1]Can Matrix'!$R$2</f>
        <v>Unsigned</v>
      </c>
      <c r="N121" s="101" t="str">
        <f>IFERROR(IF(VLOOKUP(F121, '[1]Can Matrix'!$M:$X, 12, FALSE)=0, "", "TMS_Enum_" &amp; VLOOKUP(F121, '[1]Can Matrix'!$M:$X, 12, FALSE)), "")</f>
        <v/>
      </c>
      <c r="O121" s="17"/>
      <c r="P121" s="17"/>
      <c r="Q121" s="17"/>
      <c r="R121" s="17"/>
      <c r="S121" s="17"/>
      <c r="T121" s="17"/>
      <c r="U121" s="17"/>
      <c r="V121" s="17"/>
      <c r="W121" s="17"/>
      <c r="X121" s="103"/>
      <c r="Y121" s="17"/>
      <c r="Z121" s="101" t="str">
        <f>IF(N121="", "", IF(ISNUMBER(MATCH(N121, TextTables!A:A, 0)), "Y", "N"))</f>
        <v/>
      </c>
      <c r="AA121" s="101" t="str">
        <f>IF(ISNUMBER(MATCH(F121, '[1]Can Matrix'!M:M, 0)), "Y", "N")</f>
        <v>Y</v>
      </c>
      <c r="AB121" s="5"/>
      <c r="AC121" s="5"/>
    </row>
    <row r="122" spans="1:29" ht="16.8">
      <c r="A122" s="17"/>
      <c r="B122" s="17"/>
      <c r="C122" s="17"/>
      <c r="D122" s="17" t="s">
        <v>143</v>
      </c>
      <c r="E122" s="17"/>
      <c r="F122" s="17" t="s">
        <v>5964</v>
      </c>
      <c r="G122" s="17" t="s">
        <v>5964</v>
      </c>
      <c r="H122" s="17"/>
      <c r="I122" s="97">
        <f>VLOOKUP(F122, '[1]Can Matrix'!$M:$X, 2, FALSE)</f>
        <v>1</v>
      </c>
      <c r="J122" s="17" t="str">
        <f t="shared" si="2"/>
        <v>uint8</v>
      </c>
      <c r="K122" s="17"/>
      <c r="L122" s="17"/>
      <c r="M122" s="100" t="str">
        <f>'[1]Can Matrix'!$R$2</f>
        <v>Unsigned</v>
      </c>
      <c r="N122" s="101" t="str">
        <f>IFERROR(IF(VLOOKUP(F122, '[1]Can Matrix'!$M:$X, 12, FALSE)=0, "", "TMS_Enum_" &amp; VLOOKUP(F122, '[1]Can Matrix'!$M:$X, 12, FALSE)), "")</f>
        <v>TMS_Enum_ReqSts1</v>
      </c>
      <c r="O122" s="17"/>
      <c r="P122" s="17"/>
      <c r="Q122" s="17"/>
      <c r="R122" s="17"/>
      <c r="S122" s="17"/>
      <c r="T122" s="17"/>
      <c r="U122" s="17"/>
      <c r="V122" s="17"/>
      <c r="W122" s="17"/>
      <c r="X122" s="103"/>
      <c r="Y122" s="17"/>
      <c r="Z122" s="101" t="str">
        <f>IF(N122="", "", IF(ISNUMBER(MATCH(N122, TextTables!A:A, 0)), "Y", "N"))</f>
        <v>Y</v>
      </c>
      <c r="AA122" s="101" t="str">
        <f>IF(ISNUMBER(MATCH(F122, '[1]Can Matrix'!M:M, 0)), "Y", "N")</f>
        <v>Y</v>
      </c>
      <c r="AB122" s="5"/>
      <c r="AC122" s="5"/>
    </row>
    <row r="123" spans="1:29" ht="16.8">
      <c r="A123" s="17"/>
      <c r="B123" s="17"/>
      <c r="C123" s="17"/>
      <c r="D123" s="17" t="s">
        <v>143</v>
      </c>
      <c r="E123" s="17"/>
      <c r="F123" s="17" t="s">
        <v>5965</v>
      </c>
      <c r="G123" s="17" t="s">
        <v>5965</v>
      </c>
      <c r="H123" s="17"/>
      <c r="I123" s="97">
        <f>VLOOKUP(F123, '[1]Can Matrix'!$M:$X, 2, FALSE)</f>
        <v>1</v>
      </c>
      <c r="J123" s="17" t="str">
        <f t="shared" si="2"/>
        <v>uint8</v>
      </c>
      <c r="K123" s="17"/>
      <c r="L123" s="17"/>
      <c r="M123" s="100" t="str">
        <f>'[1]Can Matrix'!$R$2</f>
        <v>Unsigned</v>
      </c>
      <c r="N123" s="101" t="str">
        <f>IFERROR(IF(VLOOKUP(F123, '[1]Can Matrix'!$M:$X, 12, FALSE)=0, "", "TMS_Enum_" &amp; VLOOKUP(F123, '[1]Can Matrix'!$M:$X, 12, FALSE)), "")</f>
        <v>TMS_Enum_ReqSts1</v>
      </c>
      <c r="O123" s="17"/>
      <c r="P123" s="17"/>
      <c r="Q123" s="17"/>
      <c r="R123" s="17"/>
      <c r="S123" s="17"/>
      <c r="T123" s="17"/>
      <c r="U123" s="17"/>
      <c r="V123" s="17"/>
      <c r="W123" s="17"/>
      <c r="X123" s="103"/>
      <c r="Y123" s="17"/>
      <c r="Z123" s="101" t="str">
        <f>IF(N123="", "", IF(ISNUMBER(MATCH(N123, TextTables!A:A, 0)), "Y", "N"))</f>
        <v>Y</v>
      </c>
      <c r="AA123" s="101" t="str">
        <f>IF(ISNUMBER(MATCH(F123, '[1]Can Matrix'!M:M, 0)), "Y", "N")</f>
        <v>Y</v>
      </c>
      <c r="AB123" s="5"/>
      <c r="AC123" s="5"/>
    </row>
    <row r="124" spans="1:29" ht="16.8">
      <c r="A124" s="17"/>
      <c r="B124" s="17"/>
      <c r="C124" s="17"/>
      <c r="D124" s="17" t="s">
        <v>143</v>
      </c>
      <c r="E124" s="17"/>
      <c r="F124" s="17" t="s">
        <v>5966</v>
      </c>
      <c r="G124" s="17" t="s">
        <v>5966</v>
      </c>
      <c r="H124" s="17"/>
      <c r="I124" s="97">
        <f>VLOOKUP(F124, '[1]Can Matrix'!$M:$X, 2, FALSE)</f>
        <v>1</v>
      </c>
      <c r="J124" s="17" t="str">
        <f t="shared" si="2"/>
        <v>uint8</v>
      </c>
      <c r="K124" s="17"/>
      <c r="L124" s="17"/>
      <c r="M124" s="100" t="str">
        <f>'[1]Can Matrix'!$R$2</f>
        <v>Unsigned</v>
      </c>
      <c r="N124" s="101" t="str">
        <f>IFERROR(IF(VLOOKUP(F124, '[1]Can Matrix'!$M:$X, 12, FALSE)=0, "", "TMS_Enum_" &amp; VLOOKUP(F124, '[1]Can Matrix'!$M:$X, 12, FALSE)), "")</f>
        <v>TMS_Enum_ReqSts1</v>
      </c>
      <c r="O124" s="17"/>
      <c r="P124" s="17"/>
      <c r="Q124" s="17"/>
      <c r="R124" s="17"/>
      <c r="S124" s="17"/>
      <c r="T124" s="17"/>
      <c r="U124" s="17"/>
      <c r="V124" s="17"/>
      <c r="W124" s="17"/>
      <c r="X124" s="103"/>
      <c r="Y124" s="17"/>
      <c r="Z124" s="101" t="str">
        <f>IF(N124="", "", IF(ISNUMBER(MATCH(N124, TextTables!A:A, 0)), "Y", "N"))</f>
        <v>Y</v>
      </c>
      <c r="AA124" s="101" t="str">
        <f>IF(ISNUMBER(MATCH(F124, '[1]Can Matrix'!M:M, 0)), "Y", "N")</f>
        <v>Y</v>
      </c>
      <c r="AB124" s="5"/>
      <c r="AC124" s="5"/>
    </row>
    <row r="125" spans="1:29" ht="16.8">
      <c r="A125" s="17"/>
      <c r="B125" s="17"/>
      <c r="C125" s="17"/>
      <c r="D125" s="17" t="s">
        <v>143</v>
      </c>
      <c r="E125" s="17"/>
      <c r="F125" s="17" t="s">
        <v>5967</v>
      </c>
      <c r="G125" s="17" t="s">
        <v>5967</v>
      </c>
      <c r="H125" s="17"/>
      <c r="I125" s="97">
        <f>VLOOKUP(F125, '[1]Can Matrix'!$M:$X, 2, FALSE)</f>
        <v>1</v>
      </c>
      <c r="J125" s="17" t="str">
        <f t="shared" si="2"/>
        <v>uint8</v>
      </c>
      <c r="K125" s="17"/>
      <c r="L125" s="17"/>
      <c r="M125" s="100" t="str">
        <f>'[1]Can Matrix'!$R$2</f>
        <v>Unsigned</v>
      </c>
      <c r="N125" s="101" t="str">
        <f>IFERROR(IF(VLOOKUP(F125, '[1]Can Matrix'!$M:$X, 12, FALSE)=0, "", "TMS_Enum_" &amp; VLOOKUP(F125, '[1]Can Matrix'!$M:$X, 12, FALSE)), "")</f>
        <v>TMS_Enum_OnOff1</v>
      </c>
      <c r="O125" s="17"/>
      <c r="P125" s="17"/>
      <c r="Q125" s="17"/>
      <c r="R125" s="17"/>
      <c r="S125" s="17"/>
      <c r="T125" s="17"/>
      <c r="U125" s="17"/>
      <c r="V125" s="17"/>
      <c r="W125" s="17"/>
      <c r="X125" s="103"/>
      <c r="Y125" s="17"/>
      <c r="Z125" s="101" t="str">
        <f>IF(N125="", "", IF(ISNUMBER(MATCH(N125, TextTables!A:A, 0)), "Y", "N"))</f>
        <v>Y</v>
      </c>
      <c r="AA125" s="101" t="str">
        <f>IF(ISNUMBER(MATCH(F125, '[1]Can Matrix'!M:M, 0)), "Y", "N")</f>
        <v>Y</v>
      </c>
      <c r="AB125" s="5"/>
      <c r="AC125" s="5"/>
    </row>
    <row r="126" spans="1:29" ht="16.8">
      <c r="A126" s="17"/>
      <c r="B126" s="17"/>
      <c r="C126" s="17"/>
      <c r="D126" s="17" t="s">
        <v>143</v>
      </c>
      <c r="E126" s="17"/>
      <c r="F126" s="17" t="s">
        <v>5968</v>
      </c>
      <c r="G126" s="17" t="s">
        <v>5968</v>
      </c>
      <c r="H126" s="17"/>
      <c r="I126" s="97">
        <f>VLOOKUP(F126, '[1]Can Matrix'!$M:$X, 2, FALSE)</f>
        <v>1</v>
      </c>
      <c r="J126" s="17" t="str">
        <f t="shared" si="2"/>
        <v>uint8</v>
      </c>
      <c r="K126" s="17"/>
      <c r="L126" s="17"/>
      <c r="M126" s="100" t="str">
        <f>'[1]Can Matrix'!$R$2</f>
        <v>Unsigned</v>
      </c>
      <c r="N126" s="101" t="str">
        <f>IFERROR(IF(VLOOKUP(F126, '[1]Can Matrix'!$M:$X, 12, FALSE)=0, "", "TMS_Enum_" &amp; VLOOKUP(F126, '[1]Can Matrix'!$M:$X, 12, FALSE)), "")</f>
        <v>TMS_Enum_Boolean</v>
      </c>
      <c r="O126" s="17"/>
      <c r="P126" s="17"/>
      <c r="Q126" s="17"/>
      <c r="R126" s="17"/>
      <c r="S126" s="17"/>
      <c r="T126" s="17"/>
      <c r="U126" s="17"/>
      <c r="V126" s="17"/>
      <c r="W126" s="17"/>
      <c r="X126" s="103"/>
      <c r="Y126" s="17"/>
      <c r="Z126" s="101" t="str">
        <f>IF(N126="", "", IF(ISNUMBER(MATCH(N126, TextTables!A:A, 0)), "Y", "N"))</f>
        <v>Y</v>
      </c>
      <c r="AA126" s="101" t="str">
        <f>IF(ISNUMBER(MATCH(F126, '[1]Can Matrix'!M:M, 0)), "Y", "N")</f>
        <v>Y</v>
      </c>
      <c r="AB126" s="5"/>
      <c r="AC126" s="5"/>
    </row>
    <row r="127" spans="1:29" ht="16.8">
      <c r="A127" s="17"/>
      <c r="B127" s="17"/>
      <c r="C127" s="17"/>
      <c r="D127" s="17" t="s">
        <v>143</v>
      </c>
      <c r="E127" s="17"/>
      <c r="F127" s="17" t="s">
        <v>5969</v>
      </c>
      <c r="G127" s="17" t="s">
        <v>5969</v>
      </c>
      <c r="H127" s="17"/>
      <c r="I127" s="97">
        <f>VLOOKUP(F127, '[1]Can Matrix'!$M:$X, 2, FALSE)</f>
        <v>2</v>
      </c>
      <c r="J127" s="17" t="str">
        <f t="shared" si="2"/>
        <v>uint8</v>
      </c>
      <c r="K127" s="17"/>
      <c r="L127" s="17"/>
      <c r="M127" s="100" t="str">
        <f>'[1]Can Matrix'!$R$2</f>
        <v>Unsigned</v>
      </c>
      <c r="N127" s="101" t="str">
        <f>IFERROR(IF(VLOOKUP(F127, '[1]Can Matrix'!$M:$X, 12, FALSE)=0, "", "TMS_Enum_" &amp; VLOOKUP(F127, '[1]Can Matrix'!$M:$X, 12, FALSE)), "")</f>
        <v>TMS_Enum_HvacFanSts</v>
      </c>
      <c r="O127" s="17"/>
      <c r="P127" s="17"/>
      <c r="Q127" s="17"/>
      <c r="R127" s="17"/>
      <c r="S127" s="17"/>
      <c r="T127" s="17"/>
      <c r="U127" s="17"/>
      <c r="V127" s="17"/>
      <c r="W127" s="17"/>
      <c r="X127" s="103"/>
      <c r="Y127" s="17"/>
      <c r="Z127" s="101" t="str">
        <f>IF(N127="", "", IF(ISNUMBER(MATCH(N127, TextTables!A:A, 0)), "Y", "N"))</f>
        <v>Y</v>
      </c>
      <c r="AA127" s="101" t="str">
        <f>IF(ISNUMBER(MATCH(F127, '[1]Can Matrix'!M:M, 0)), "Y", "N")</f>
        <v>Y</v>
      </c>
      <c r="AB127" s="5"/>
      <c r="AC127" s="5"/>
    </row>
    <row r="128" spans="1:29" ht="16.8">
      <c r="A128" s="17"/>
      <c r="B128" s="17"/>
      <c r="C128" s="17"/>
      <c r="D128" s="17" t="s">
        <v>143</v>
      </c>
      <c r="E128" s="17"/>
      <c r="F128" s="17" t="s">
        <v>5970</v>
      </c>
      <c r="G128" s="17" t="s">
        <v>5970</v>
      </c>
      <c r="H128" s="17"/>
      <c r="I128" s="97">
        <f>VLOOKUP(F128, '[1]Can Matrix'!$M:$X, 2, FALSE)</f>
        <v>2</v>
      </c>
      <c r="J128" s="17" t="str">
        <f t="shared" si="2"/>
        <v>uint8</v>
      </c>
      <c r="K128" s="17"/>
      <c r="L128" s="17"/>
      <c r="M128" s="100" t="str">
        <f>'[1]Can Matrix'!$R$2</f>
        <v>Unsigned</v>
      </c>
      <c r="N128" s="101" t="str">
        <f>IFERROR(IF(VLOOKUP(F128, '[1]Can Matrix'!$M:$X, 12, FALSE)=0, "", "TMS_Enum_" &amp; VLOOKUP(F128, '[1]Can Matrix'!$M:$X, 12, FALSE)), "")</f>
        <v>TMS_Enum_HvacFanSts</v>
      </c>
      <c r="O128" s="17"/>
      <c r="P128" s="17"/>
      <c r="Q128" s="17"/>
      <c r="R128" s="17"/>
      <c r="S128" s="17"/>
      <c r="T128" s="17"/>
      <c r="U128" s="17"/>
      <c r="V128" s="17"/>
      <c r="W128" s="17"/>
      <c r="X128" s="103"/>
      <c r="Y128" s="17"/>
      <c r="Z128" s="101" t="str">
        <f>IF(N128="", "", IF(ISNUMBER(MATCH(N128, TextTables!A:A, 0)), "Y", "N"))</f>
        <v>Y</v>
      </c>
      <c r="AA128" s="101" t="str">
        <f>IF(ISNUMBER(MATCH(F128, '[1]Can Matrix'!M:M, 0)), "Y", "N")</f>
        <v>Y</v>
      </c>
      <c r="AB128" s="5"/>
      <c r="AC128" s="5"/>
    </row>
    <row r="129" spans="1:29" ht="16.8">
      <c r="A129" s="17"/>
      <c r="B129" s="17"/>
      <c r="C129" s="17"/>
      <c r="D129" s="17" t="s">
        <v>143</v>
      </c>
      <c r="E129" s="17"/>
      <c r="F129" s="17" t="s">
        <v>5971</v>
      </c>
      <c r="G129" s="17" t="s">
        <v>5971</v>
      </c>
      <c r="H129" s="17"/>
      <c r="I129" s="97">
        <f>VLOOKUP(F129, '[1]Can Matrix'!$M:$X, 2, FALSE)</f>
        <v>12</v>
      </c>
      <c r="J129" s="17" t="str">
        <f t="shared" si="2"/>
        <v>uint16</v>
      </c>
      <c r="K129" s="17"/>
      <c r="L129" s="17"/>
      <c r="M129" s="100" t="str">
        <f>'[1]Can Matrix'!$R$2</f>
        <v>Unsigned</v>
      </c>
      <c r="N129" s="101" t="str">
        <f>IFERROR(IF(VLOOKUP(F129, '[1]Can Matrix'!$M:$X, 12, FALSE)=0, "", "TMS_Enum_" &amp; VLOOKUP(F129, '[1]Can Matrix'!$M:$X, 12, FALSE)), "")</f>
        <v/>
      </c>
      <c r="O129" s="17"/>
      <c r="P129" s="17"/>
      <c r="Q129" s="17"/>
      <c r="R129" s="17"/>
      <c r="S129" s="17"/>
      <c r="T129" s="17"/>
      <c r="U129" s="17"/>
      <c r="V129" s="17"/>
      <c r="W129" s="17"/>
      <c r="X129" s="103"/>
      <c r="Y129" s="17"/>
      <c r="Z129" s="101" t="str">
        <f>IF(N129="", "", IF(ISNUMBER(MATCH(N129, TextTables!A:A, 0)), "Y", "N"))</f>
        <v/>
      </c>
      <c r="AA129" s="101" t="str">
        <f>IF(ISNUMBER(MATCH(F129, '[1]Can Matrix'!M:M, 0)), "Y", "N")</f>
        <v>Y</v>
      </c>
      <c r="AB129" s="5"/>
      <c r="AC129" s="5"/>
    </row>
    <row r="130" spans="1:29" ht="16.8">
      <c r="A130" s="17"/>
      <c r="B130" s="17"/>
      <c r="C130" s="17"/>
      <c r="D130" s="17" t="s">
        <v>143</v>
      </c>
      <c r="E130" s="17"/>
      <c r="F130" s="17" t="s">
        <v>5972</v>
      </c>
      <c r="G130" s="17" t="s">
        <v>5972</v>
      </c>
      <c r="H130" s="17"/>
      <c r="I130" s="97">
        <f>VLOOKUP(F130, '[1]Can Matrix'!$M:$X, 2, FALSE)</f>
        <v>12</v>
      </c>
      <c r="J130" s="17" t="str">
        <f t="shared" si="2"/>
        <v>uint16</v>
      </c>
      <c r="K130" s="17"/>
      <c r="L130" s="17"/>
      <c r="M130" s="100" t="str">
        <f>'[1]Can Matrix'!$R$2</f>
        <v>Unsigned</v>
      </c>
      <c r="N130" s="101" t="str">
        <f>IFERROR(IF(VLOOKUP(F130, '[1]Can Matrix'!$M:$X, 12, FALSE)=0, "", "TMS_Enum_" &amp; VLOOKUP(F130, '[1]Can Matrix'!$M:$X, 12, FALSE)), "")</f>
        <v/>
      </c>
      <c r="O130" s="17"/>
      <c r="P130" s="17"/>
      <c r="Q130" s="17"/>
      <c r="R130" s="17"/>
      <c r="S130" s="17"/>
      <c r="T130" s="17"/>
      <c r="U130" s="17"/>
      <c r="V130" s="17"/>
      <c r="W130" s="17"/>
      <c r="X130" s="103"/>
      <c r="Y130" s="17"/>
      <c r="Z130" s="101" t="str">
        <f>IF(N130="", "", IF(ISNUMBER(MATCH(N130, TextTables!A:A, 0)), "Y", "N"))</f>
        <v/>
      </c>
      <c r="AA130" s="101" t="str">
        <f>IF(ISNUMBER(MATCH(F130, '[1]Can Matrix'!M:M, 0)), "Y", "N")</f>
        <v>Y</v>
      </c>
      <c r="AB130" s="5"/>
      <c r="AC130" s="5"/>
    </row>
    <row r="131" spans="1:29" ht="16.8">
      <c r="A131" s="17"/>
      <c r="B131" s="17"/>
      <c r="C131" s="17"/>
      <c r="D131" s="17" t="s">
        <v>143</v>
      </c>
      <c r="E131" s="17"/>
      <c r="F131" s="17" t="s">
        <v>5973</v>
      </c>
      <c r="G131" s="17" t="s">
        <v>5973</v>
      </c>
      <c r="H131" s="17"/>
      <c r="I131" s="97">
        <f>VLOOKUP(F131, '[1]Can Matrix'!$M:$X, 2, FALSE)</f>
        <v>12</v>
      </c>
      <c r="J131" s="17" t="str">
        <f t="shared" si="2"/>
        <v>uint16</v>
      </c>
      <c r="K131" s="17"/>
      <c r="L131" s="17"/>
      <c r="M131" s="100" t="str">
        <f>'[1]Can Matrix'!$R$2</f>
        <v>Unsigned</v>
      </c>
      <c r="N131" s="101" t="str">
        <f>IFERROR(IF(VLOOKUP(F131, '[1]Can Matrix'!$M:$X, 12, FALSE)=0, "", "TMS_Enum_" &amp; VLOOKUP(F131, '[1]Can Matrix'!$M:$X, 12, FALSE)), "")</f>
        <v/>
      </c>
      <c r="O131" s="17"/>
      <c r="P131" s="17"/>
      <c r="Q131" s="17"/>
      <c r="R131" s="17"/>
      <c r="S131" s="17"/>
      <c r="T131" s="17"/>
      <c r="U131" s="17"/>
      <c r="V131" s="17"/>
      <c r="W131" s="17"/>
      <c r="X131" s="103"/>
      <c r="Y131" s="17"/>
      <c r="Z131" s="101" t="str">
        <f>IF(N131="", "", IF(ISNUMBER(MATCH(N131, TextTables!A:A, 0)), "Y", "N"))</f>
        <v/>
      </c>
      <c r="AA131" s="101" t="str">
        <f>IF(ISNUMBER(MATCH(F131, '[1]Can Matrix'!M:M, 0)), "Y", "N")</f>
        <v>Y</v>
      </c>
      <c r="AB131" s="5"/>
      <c r="AC131" s="5"/>
    </row>
    <row r="132" spans="1:29" ht="16.8">
      <c r="A132" s="17"/>
      <c r="B132" s="17"/>
      <c r="C132" s="17"/>
      <c r="D132" s="17" t="s">
        <v>143</v>
      </c>
      <c r="E132" s="17"/>
      <c r="F132" s="17" t="s">
        <v>5974</v>
      </c>
      <c r="G132" s="17" t="s">
        <v>5974</v>
      </c>
      <c r="H132" s="17"/>
      <c r="I132" s="97">
        <f>VLOOKUP(F132, '[1]Can Matrix'!$M:$X, 2, FALSE)</f>
        <v>12</v>
      </c>
      <c r="J132" s="17" t="str">
        <f t="shared" si="2"/>
        <v>uint16</v>
      </c>
      <c r="K132" s="17"/>
      <c r="L132" s="17"/>
      <c r="M132" s="100" t="str">
        <f>'[1]Can Matrix'!$R$2</f>
        <v>Unsigned</v>
      </c>
      <c r="N132" s="101" t="str">
        <f>IFERROR(IF(VLOOKUP(F132, '[1]Can Matrix'!$M:$X, 12, FALSE)=0, "", "TMS_Enum_" &amp; VLOOKUP(F132, '[1]Can Matrix'!$M:$X, 12, FALSE)), "")</f>
        <v/>
      </c>
      <c r="O132" s="17"/>
      <c r="P132" s="17"/>
      <c r="Q132" s="17"/>
      <c r="R132" s="17"/>
      <c r="S132" s="17"/>
      <c r="T132" s="17"/>
      <c r="U132" s="17"/>
      <c r="V132" s="17"/>
      <c r="W132" s="17"/>
      <c r="X132" s="103"/>
      <c r="Y132" s="17"/>
      <c r="Z132" s="101" t="str">
        <f>IF(N132="", "", IF(ISNUMBER(MATCH(N132, TextTables!A:A, 0)), "Y", "N"))</f>
        <v/>
      </c>
      <c r="AA132" s="101" t="str">
        <f>IF(ISNUMBER(MATCH(F132, '[1]Can Matrix'!M:M, 0)), "Y", "N")</f>
        <v>Y</v>
      </c>
      <c r="AB132" s="5"/>
      <c r="AC132" s="5"/>
    </row>
    <row r="133" spans="1:29" ht="16.8">
      <c r="A133" s="17"/>
      <c r="B133" s="17"/>
      <c r="C133" s="17"/>
      <c r="D133" s="17" t="s">
        <v>143</v>
      </c>
      <c r="E133" s="17"/>
      <c r="F133" s="17" t="s">
        <v>5975</v>
      </c>
      <c r="G133" s="17" t="s">
        <v>5975</v>
      </c>
      <c r="H133" s="17"/>
      <c r="I133" s="97">
        <f>VLOOKUP(F133, '[1]Can Matrix'!$M:$X, 2, FALSE)</f>
        <v>10</v>
      </c>
      <c r="J133" s="17" t="str">
        <f t="shared" si="2"/>
        <v>uint16</v>
      </c>
      <c r="K133" s="17"/>
      <c r="L133" s="17"/>
      <c r="M133" s="100" t="str">
        <f>'[1]Can Matrix'!$R$2</f>
        <v>Unsigned</v>
      </c>
      <c r="N133" s="101" t="str">
        <f>IFERROR(IF(VLOOKUP(F133, '[1]Can Matrix'!$M:$X, 12, FALSE)=0, "", "TMS_Enum_" &amp; VLOOKUP(F133, '[1]Can Matrix'!$M:$X, 12, FALSE)), "")</f>
        <v/>
      </c>
      <c r="O133" s="17"/>
      <c r="P133" s="17"/>
      <c r="Q133" s="17"/>
      <c r="R133" s="17"/>
      <c r="S133" s="17"/>
      <c r="T133" s="17"/>
      <c r="U133" s="17"/>
      <c r="V133" s="17"/>
      <c r="W133" s="17"/>
      <c r="X133" s="103"/>
      <c r="Y133" s="17"/>
      <c r="Z133" s="101" t="str">
        <f>IF(N133="", "", IF(ISNUMBER(MATCH(N133, TextTables!A:A, 0)), "Y", "N"))</f>
        <v/>
      </c>
      <c r="AA133" s="101" t="str">
        <f>IF(ISNUMBER(MATCH(F133, '[1]Can Matrix'!M:M, 0)), "Y", "N")</f>
        <v>Y</v>
      </c>
      <c r="AB133" s="5"/>
      <c r="AC133" s="5"/>
    </row>
    <row r="134" spans="1:29" ht="16.8">
      <c r="A134" s="17"/>
      <c r="B134" s="17"/>
      <c r="C134" s="17"/>
      <c r="D134" s="17" t="s">
        <v>143</v>
      </c>
      <c r="E134" s="17"/>
      <c r="F134" s="17" t="s">
        <v>5976</v>
      </c>
      <c r="G134" s="17" t="s">
        <v>5976</v>
      </c>
      <c r="H134" s="17"/>
      <c r="I134" s="97">
        <f>VLOOKUP(F134, '[1]Can Matrix'!$M:$X, 2, FALSE)</f>
        <v>10</v>
      </c>
      <c r="J134" s="17" t="str">
        <f t="shared" si="2"/>
        <v>uint16</v>
      </c>
      <c r="K134" s="17"/>
      <c r="L134" s="17"/>
      <c r="M134" s="100" t="str">
        <f>'[1]Can Matrix'!$R$2</f>
        <v>Unsigned</v>
      </c>
      <c r="N134" s="101" t="str">
        <f>IFERROR(IF(VLOOKUP(F134, '[1]Can Matrix'!$M:$X, 12, FALSE)=0, "", "TMS_Enum_" &amp; VLOOKUP(F134, '[1]Can Matrix'!$M:$X, 12, FALSE)), "")</f>
        <v/>
      </c>
      <c r="O134" s="17"/>
      <c r="P134" s="17"/>
      <c r="Q134" s="17"/>
      <c r="R134" s="17"/>
      <c r="S134" s="17"/>
      <c r="T134" s="17"/>
      <c r="U134" s="17"/>
      <c r="V134" s="17"/>
      <c r="W134" s="17"/>
      <c r="X134" s="103"/>
      <c r="Y134" s="17"/>
      <c r="Z134" s="101" t="str">
        <f>IF(N134="", "", IF(ISNUMBER(MATCH(N134, TextTables!A:A, 0)), "Y", "N"))</f>
        <v/>
      </c>
      <c r="AA134" s="101" t="str">
        <f>IF(ISNUMBER(MATCH(F134, '[1]Can Matrix'!M:M, 0)), "Y", "N")</f>
        <v>Y</v>
      </c>
      <c r="AB134" s="5"/>
      <c r="AC134" s="5"/>
    </row>
    <row r="135" spans="1:29" ht="16.8">
      <c r="A135" s="17"/>
      <c r="B135" s="17"/>
      <c r="C135" s="17"/>
      <c r="D135" s="17" t="s">
        <v>143</v>
      </c>
      <c r="E135" s="17"/>
      <c r="F135" s="17" t="s">
        <v>5977</v>
      </c>
      <c r="G135" s="17" t="s">
        <v>5977</v>
      </c>
      <c r="H135" s="17"/>
      <c r="I135" s="97">
        <f>VLOOKUP(F135, '[1]Can Matrix'!$M:$X, 2, FALSE)</f>
        <v>1</v>
      </c>
      <c r="J135" s="17" t="str">
        <f t="shared" si="2"/>
        <v>uint8</v>
      </c>
      <c r="K135" s="17"/>
      <c r="L135" s="17"/>
      <c r="M135" s="100" t="str">
        <f>'[1]Can Matrix'!$R$2</f>
        <v>Unsigned</v>
      </c>
      <c r="N135" s="101" t="str">
        <f>IFERROR(IF(VLOOKUP(F135, '[1]Can Matrix'!$M:$X, 12, FALSE)=0, "", "TMS_Enum_" &amp; VLOOKUP(F135, '[1]Can Matrix'!$M:$X, 12, FALSE)), "")</f>
        <v>TMS_Enum_OnOff1</v>
      </c>
      <c r="O135" s="17"/>
      <c r="P135" s="17"/>
      <c r="Q135" s="17"/>
      <c r="R135" s="17"/>
      <c r="S135" s="17"/>
      <c r="T135" s="17"/>
      <c r="U135" s="17"/>
      <c r="V135" s="17"/>
      <c r="W135" s="17"/>
      <c r="X135" s="103"/>
      <c r="Y135" s="17"/>
      <c r="Z135" s="101" t="str">
        <f>IF(N135="", "", IF(ISNUMBER(MATCH(N135, TextTables!A:A, 0)), "Y", "N"))</f>
        <v>Y</v>
      </c>
      <c r="AA135" s="101" t="str">
        <f>IF(ISNUMBER(MATCH(F135, '[1]Can Matrix'!M:M, 0)), "Y", "N")</f>
        <v>Y</v>
      </c>
      <c r="AB135" s="5"/>
      <c r="AC135" s="5"/>
    </row>
    <row r="136" spans="1:29" ht="16.8">
      <c r="A136" s="17"/>
      <c r="B136" s="17"/>
      <c r="C136" s="17"/>
      <c r="D136" s="17" t="s">
        <v>143</v>
      </c>
      <c r="E136" s="17"/>
      <c r="F136" s="17" t="s">
        <v>5978</v>
      </c>
      <c r="G136" s="17" t="s">
        <v>5978</v>
      </c>
      <c r="H136" s="17"/>
      <c r="I136" s="97">
        <f>VLOOKUP(F136, '[1]Can Matrix'!$M:$X, 2, FALSE)</f>
        <v>1</v>
      </c>
      <c r="J136" s="17" t="str">
        <f t="shared" si="2"/>
        <v>uint8</v>
      </c>
      <c r="K136" s="17"/>
      <c r="L136" s="17"/>
      <c r="M136" s="100" t="str">
        <f>'[1]Can Matrix'!$R$2</f>
        <v>Unsigned</v>
      </c>
      <c r="N136" s="101" t="str">
        <f>IFERROR(IF(VLOOKUP(F136, '[1]Can Matrix'!$M:$X, 12, FALSE)=0, "", "TMS_Enum_" &amp; VLOOKUP(F136, '[1]Can Matrix'!$M:$X, 12, FALSE)), "")</f>
        <v>TMS_Enum_OnOff1</v>
      </c>
      <c r="O136" s="17"/>
      <c r="P136" s="17"/>
      <c r="Q136" s="17"/>
      <c r="R136" s="17"/>
      <c r="S136" s="17"/>
      <c r="T136" s="17"/>
      <c r="U136" s="17"/>
      <c r="V136" s="17"/>
      <c r="W136" s="17"/>
      <c r="X136" s="103"/>
      <c r="Y136" s="17"/>
      <c r="Z136" s="101" t="str">
        <f>IF(N136="", "", IF(ISNUMBER(MATCH(N136, TextTables!A:A, 0)), "Y", "N"))</f>
        <v>Y</v>
      </c>
      <c r="AA136" s="101" t="str">
        <f>IF(ISNUMBER(MATCH(F136, '[1]Can Matrix'!M:M, 0)), "Y", "N")</f>
        <v>Y</v>
      </c>
      <c r="AB136" s="5"/>
      <c r="AC136" s="5"/>
    </row>
    <row r="137" spans="1:29" ht="16.8">
      <c r="A137" s="17"/>
      <c r="B137" s="17"/>
      <c r="C137" s="17"/>
      <c r="D137" s="17" t="s">
        <v>143</v>
      </c>
      <c r="E137" s="17"/>
      <c r="F137" s="17" t="s">
        <v>5979</v>
      </c>
      <c r="G137" s="17" t="s">
        <v>5979</v>
      </c>
      <c r="H137" s="17"/>
      <c r="I137" s="97">
        <f>VLOOKUP(F137, '[1]Can Matrix'!$M:$X, 2, FALSE)</f>
        <v>10</v>
      </c>
      <c r="J137" s="17" t="str">
        <f t="shared" si="2"/>
        <v>uint16</v>
      </c>
      <c r="K137" s="17"/>
      <c r="L137" s="17"/>
      <c r="M137" s="100" t="str">
        <f>'[1]Can Matrix'!$R$2</f>
        <v>Unsigned</v>
      </c>
      <c r="N137" s="101" t="str">
        <f>IFERROR(IF(VLOOKUP(F137, '[1]Can Matrix'!$M:$X, 12, FALSE)=0, "", "TMS_Enum_" &amp; VLOOKUP(F137, '[1]Can Matrix'!$M:$X, 12, FALSE)), "")</f>
        <v/>
      </c>
      <c r="O137" s="17"/>
      <c r="P137" s="17"/>
      <c r="Q137" s="17"/>
      <c r="R137" s="17"/>
      <c r="S137" s="17"/>
      <c r="T137" s="17"/>
      <c r="U137" s="17"/>
      <c r="V137" s="17"/>
      <c r="W137" s="17"/>
      <c r="X137" s="103"/>
      <c r="Y137" s="17"/>
      <c r="Z137" s="101" t="str">
        <f>IF(N137="", "", IF(ISNUMBER(MATCH(N137, TextTables!A:A, 0)), "Y", "N"))</f>
        <v/>
      </c>
      <c r="AA137" s="101" t="str">
        <f>IF(ISNUMBER(MATCH(F137, '[1]Can Matrix'!M:M, 0)), "Y", "N")</f>
        <v>Y</v>
      </c>
      <c r="AB137" s="5"/>
      <c r="AC137" s="5"/>
    </row>
    <row r="138" spans="1:29" ht="16.8">
      <c r="A138" s="17"/>
      <c r="B138" s="17"/>
      <c r="C138" s="17"/>
      <c r="D138" s="17" t="s">
        <v>143</v>
      </c>
      <c r="E138" s="17"/>
      <c r="F138" s="17" t="s">
        <v>5980</v>
      </c>
      <c r="G138" s="17" t="s">
        <v>5980</v>
      </c>
      <c r="H138" s="17"/>
      <c r="I138" s="97">
        <f>VLOOKUP(F138, '[1]Can Matrix'!$M:$X, 2, FALSE)</f>
        <v>12</v>
      </c>
      <c r="J138" s="17" t="str">
        <f t="shared" si="2"/>
        <v>uint16</v>
      </c>
      <c r="K138" s="17"/>
      <c r="L138" s="17"/>
      <c r="M138" s="100" t="str">
        <f>'[1]Can Matrix'!$R$2</f>
        <v>Unsigned</v>
      </c>
      <c r="N138" s="101" t="str">
        <f>IFERROR(IF(VLOOKUP(F138, '[1]Can Matrix'!$M:$X, 12, FALSE)=0, "", "TMS_Enum_" &amp; VLOOKUP(F138, '[1]Can Matrix'!$M:$X, 12, FALSE)), "")</f>
        <v/>
      </c>
      <c r="O138" s="17"/>
      <c r="P138" s="17"/>
      <c r="Q138" s="17"/>
      <c r="R138" s="17"/>
      <c r="S138" s="17"/>
      <c r="T138" s="17"/>
      <c r="U138" s="17"/>
      <c r="V138" s="17"/>
      <c r="W138" s="17"/>
      <c r="X138" s="103"/>
      <c r="Y138" s="17"/>
      <c r="Z138" s="101" t="str">
        <f>IF(N138="", "", IF(ISNUMBER(MATCH(N138, TextTables!A:A, 0)), "Y", "N"))</f>
        <v/>
      </c>
      <c r="AA138" s="101" t="str">
        <f>IF(ISNUMBER(MATCH(F138, '[1]Can Matrix'!M:M, 0)), "Y", "N")</f>
        <v>Y</v>
      </c>
      <c r="AB138" s="5"/>
      <c r="AC138" s="5"/>
    </row>
    <row r="139" spans="1:29" ht="16.8">
      <c r="A139" s="17"/>
      <c r="B139" s="17"/>
      <c r="C139" s="17"/>
      <c r="D139" s="17" t="s">
        <v>143</v>
      </c>
      <c r="E139" s="17"/>
      <c r="F139" s="17" t="s">
        <v>5981</v>
      </c>
      <c r="G139" s="17" t="s">
        <v>5981</v>
      </c>
      <c r="H139" s="17"/>
      <c r="I139" s="97">
        <f>VLOOKUP(F139, '[1]Can Matrix'!$M:$X, 2, FALSE)</f>
        <v>12</v>
      </c>
      <c r="J139" s="17" t="str">
        <f t="shared" si="2"/>
        <v>uint16</v>
      </c>
      <c r="K139" s="17"/>
      <c r="L139" s="17"/>
      <c r="M139" s="100" t="str">
        <f>'[1]Can Matrix'!$R$2</f>
        <v>Unsigned</v>
      </c>
      <c r="N139" s="101" t="str">
        <f>IFERROR(IF(VLOOKUP(F139, '[1]Can Matrix'!$M:$X, 12, FALSE)=0, "", "TMS_Enum_" &amp; VLOOKUP(F139, '[1]Can Matrix'!$M:$X, 12, FALSE)), "")</f>
        <v/>
      </c>
      <c r="O139" s="17"/>
      <c r="P139" s="17"/>
      <c r="Q139" s="17"/>
      <c r="R139" s="17"/>
      <c r="S139" s="17"/>
      <c r="T139" s="17"/>
      <c r="U139" s="17"/>
      <c r="V139" s="17"/>
      <c r="W139" s="17"/>
      <c r="X139" s="103"/>
      <c r="Y139" s="17"/>
      <c r="Z139" s="101" t="str">
        <f>IF(N139="", "", IF(ISNUMBER(MATCH(N139, TextTables!A:A, 0)), "Y", "N"))</f>
        <v/>
      </c>
      <c r="AA139" s="101" t="str">
        <f>IF(ISNUMBER(MATCH(F139, '[1]Can Matrix'!M:M, 0)), "Y", "N")</f>
        <v>Y</v>
      </c>
      <c r="AB139" s="5"/>
      <c r="AC139" s="5"/>
    </row>
    <row r="140" spans="1:29" ht="16.8">
      <c r="A140" s="17"/>
      <c r="B140" s="17"/>
      <c r="C140" s="17"/>
      <c r="D140" s="17" t="s">
        <v>143</v>
      </c>
      <c r="E140" s="17"/>
      <c r="F140" s="17" t="s">
        <v>1037</v>
      </c>
      <c r="G140" s="17" t="s">
        <v>1037</v>
      </c>
      <c r="H140" s="17"/>
      <c r="I140" s="97">
        <f>VLOOKUP(F140, '[1]Can Matrix'!$M:$X, 2, FALSE)</f>
        <v>10</v>
      </c>
      <c r="J140" s="17" t="str">
        <f t="shared" si="2"/>
        <v>uint16</v>
      </c>
      <c r="K140" s="17"/>
      <c r="L140" s="17"/>
      <c r="M140" s="100" t="str">
        <f>'[1]Can Matrix'!$R$2</f>
        <v>Unsigned</v>
      </c>
      <c r="N140" s="101" t="str">
        <f>IFERROR(IF(VLOOKUP(F140, '[1]Can Matrix'!$M:$X, 12, FALSE)=0, "", "TMS_Enum_" &amp; VLOOKUP(F140, '[1]Can Matrix'!$M:$X, 12, FALSE)), "")</f>
        <v/>
      </c>
      <c r="O140" s="17"/>
      <c r="P140" s="17"/>
      <c r="Q140" s="17"/>
      <c r="R140" s="17"/>
      <c r="S140" s="17"/>
      <c r="T140" s="17"/>
      <c r="U140" s="17"/>
      <c r="V140" s="17"/>
      <c r="W140" s="17"/>
      <c r="X140" s="103"/>
      <c r="Y140" s="17"/>
      <c r="Z140" s="101" t="str">
        <f>IF(N140="", "", IF(ISNUMBER(MATCH(N140, TextTables!A:A, 0)), "Y", "N"))</f>
        <v/>
      </c>
      <c r="AA140" s="101" t="str">
        <f>IF(ISNUMBER(MATCH(F140, '[1]Can Matrix'!M:M, 0)), "Y", "N")</f>
        <v>Y</v>
      </c>
      <c r="AB140" s="5"/>
      <c r="AC140" s="5"/>
    </row>
    <row r="141" spans="1:29" ht="16.8">
      <c r="A141" s="17"/>
      <c r="B141" s="17"/>
      <c r="C141" s="17"/>
      <c r="D141" s="17" t="s">
        <v>143</v>
      </c>
      <c r="E141" s="17"/>
      <c r="F141" s="17" t="s">
        <v>1044</v>
      </c>
      <c r="G141" s="17" t="s">
        <v>1044</v>
      </c>
      <c r="H141" s="17"/>
      <c r="I141" s="97">
        <f>VLOOKUP(F141, '[1]Can Matrix'!$M:$X, 2, FALSE)</f>
        <v>10</v>
      </c>
      <c r="J141" s="17" t="str">
        <f t="shared" si="2"/>
        <v>uint16</v>
      </c>
      <c r="K141" s="17"/>
      <c r="L141" s="17"/>
      <c r="M141" s="100" t="str">
        <f>'[1]Can Matrix'!$R$2</f>
        <v>Unsigned</v>
      </c>
      <c r="N141" s="101" t="str">
        <f>IFERROR(IF(VLOOKUP(F141, '[1]Can Matrix'!$M:$X, 12, FALSE)=0, "", "TMS_Enum_" &amp; VLOOKUP(F141, '[1]Can Matrix'!$M:$X, 12, FALSE)), "")</f>
        <v/>
      </c>
      <c r="O141" s="17"/>
      <c r="P141" s="17"/>
      <c r="Q141" s="17"/>
      <c r="R141" s="17"/>
      <c r="S141" s="17"/>
      <c r="T141" s="17"/>
      <c r="U141" s="17"/>
      <c r="V141" s="17"/>
      <c r="W141" s="17"/>
      <c r="X141" s="103"/>
      <c r="Y141" s="17"/>
      <c r="Z141" s="101" t="str">
        <f>IF(N141="", "", IF(ISNUMBER(MATCH(N141, TextTables!A:A, 0)), "Y", "N"))</f>
        <v/>
      </c>
      <c r="AA141" s="101" t="str">
        <f>IF(ISNUMBER(MATCH(F141, '[1]Can Matrix'!M:M, 0)), "Y", "N")</f>
        <v>Y</v>
      </c>
      <c r="AB141" s="5"/>
      <c r="AC141" s="5"/>
    </row>
    <row r="142" spans="1:29" ht="16.8">
      <c r="A142" s="17"/>
      <c r="B142" s="17"/>
      <c r="C142" s="17"/>
      <c r="D142" s="17" t="s">
        <v>143</v>
      </c>
      <c r="E142" s="17"/>
      <c r="F142" s="17" t="s">
        <v>1060</v>
      </c>
      <c r="G142" s="17" t="s">
        <v>1060</v>
      </c>
      <c r="H142" s="17"/>
      <c r="I142" s="97">
        <f>VLOOKUP(F142, '[1]Can Matrix'!$M:$X, 2, FALSE)</f>
        <v>10</v>
      </c>
      <c r="J142" s="17" t="str">
        <f t="shared" si="2"/>
        <v>uint16</v>
      </c>
      <c r="K142" s="17"/>
      <c r="L142" s="17"/>
      <c r="M142" s="100" t="str">
        <f>'[1]Can Matrix'!$R$2</f>
        <v>Unsigned</v>
      </c>
      <c r="N142" s="101" t="str">
        <f>IFERROR(IF(VLOOKUP(F142, '[1]Can Matrix'!$M:$X, 12, FALSE)=0, "", "TMS_Enum_" &amp; VLOOKUP(F142, '[1]Can Matrix'!$M:$X, 12, FALSE)), "")</f>
        <v/>
      </c>
      <c r="O142" s="17"/>
      <c r="P142" s="17"/>
      <c r="Q142" s="17"/>
      <c r="R142" s="17"/>
      <c r="S142" s="17"/>
      <c r="T142" s="17"/>
      <c r="U142" s="17"/>
      <c r="V142" s="17"/>
      <c r="W142" s="17"/>
      <c r="X142" s="103"/>
      <c r="Y142" s="17"/>
      <c r="Z142" s="101" t="str">
        <f>IF(N142="", "", IF(ISNUMBER(MATCH(N142, TextTables!A:A, 0)), "Y", "N"))</f>
        <v/>
      </c>
      <c r="AA142" s="101" t="str">
        <f>IF(ISNUMBER(MATCH(F142, '[1]Can Matrix'!M:M, 0)), "Y", "N")</f>
        <v>Y</v>
      </c>
      <c r="AB142" s="5"/>
      <c r="AC142" s="5"/>
    </row>
    <row r="143" spans="1:29" ht="16.8">
      <c r="A143" s="17"/>
      <c r="B143" s="17"/>
      <c r="C143" s="17"/>
      <c r="D143" s="17" t="s">
        <v>143</v>
      </c>
      <c r="E143" s="17"/>
      <c r="F143" s="17" t="s">
        <v>5982</v>
      </c>
      <c r="G143" s="17" t="s">
        <v>5982</v>
      </c>
      <c r="H143" s="17"/>
      <c r="I143" s="97">
        <f>VLOOKUP(F143, '[1]Can Matrix'!$M:$X, 2, FALSE)</f>
        <v>10</v>
      </c>
      <c r="J143" s="17" t="str">
        <f t="shared" si="2"/>
        <v>uint16</v>
      </c>
      <c r="K143" s="17"/>
      <c r="L143" s="17"/>
      <c r="M143" s="100" t="str">
        <f>'[1]Can Matrix'!$R$2</f>
        <v>Unsigned</v>
      </c>
      <c r="N143" s="101" t="str">
        <f>IFERROR(IF(VLOOKUP(F143, '[1]Can Matrix'!$M:$X, 12, FALSE)=0, "", "TMS_Enum_" &amp; VLOOKUP(F143, '[1]Can Matrix'!$M:$X, 12, FALSE)), "")</f>
        <v/>
      </c>
      <c r="O143" s="17"/>
      <c r="P143" s="17"/>
      <c r="Q143" s="17"/>
      <c r="R143" s="17"/>
      <c r="S143" s="17"/>
      <c r="T143" s="17"/>
      <c r="U143" s="17"/>
      <c r="V143" s="17"/>
      <c r="W143" s="17"/>
      <c r="X143" s="103"/>
      <c r="Y143" s="17"/>
      <c r="Z143" s="101" t="str">
        <f>IF(N143="", "", IF(ISNUMBER(MATCH(N143, TextTables!A:A, 0)), "Y", "N"))</f>
        <v/>
      </c>
      <c r="AA143" s="101" t="str">
        <f>IF(ISNUMBER(MATCH(F143, '[1]Can Matrix'!M:M, 0)), "Y", "N")</f>
        <v>Y</v>
      </c>
      <c r="AB143" s="5"/>
      <c r="AC143" s="5"/>
    </row>
    <row r="144" spans="1:29" ht="16.8">
      <c r="A144" s="17"/>
      <c r="B144" s="17"/>
      <c r="C144" s="17"/>
      <c r="D144" s="17" t="s">
        <v>143</v>
      </c>
      <c r="E144" s="17"/>
      <c r="F144" s="17" t="s">
        <v>5983</v>
      </c>
      <c r="G144" s="17" t="s">
        <v>5983</v>
      </c>
      <c r="H144" s="17"/>
      <c r="I144" s="97">
        <f>VLOOKUP(F144, '[1]Can Matrix'!$M:$X, 2, FALSE)</f>
        <v>10</v>
      </c>
      <c r="J144" s="17" t="str">
        <f t="shared" si="2"/>
        <v>uint16</v>
      </c>
      <c r="K144" s="17"/>
      <c r="L144" s="17"/>
      <c r="M144" s="100" t="str">
        <f>'[1]Can Matrix'!$R$2</f>
        <v>Unsigned</v>
      </c>
      <c r="N144" s="101" t="str">
        <f>IFERROR(IF(VLOOKUP(F144, '[1]Can Matrix'!$M:$X, 12, FALSE)=0, "", "TMS_Enum_" &amp; VLOOKUP(F144, '[1]Can Matrix'!$M:$X, 12, FALSE)), "")</f>
        <v/>
      </c>
      <c r="O144" s="17"/>
      <c r="P144" s="17"/>
      <c r="Q144" s="17"/>
      <c r="R144" s="17"/>
      <c r="S144" s="17"/>
      <c r="T144" s="17"/>
      <c r="U144" s="17"/>
      <c r="V144" s="17"/>
      <c r="W144" s="17"/>
      <c r="X144" s="103"/>
      <c r="Y144" s="17"/>
      <c r="Z144" s="101" t="str">
        <f>IF(N144="", "", IF(ISNUMBER(MATCH(N144, TextTables!A:A, 0)), "Y", "N"))</f>
        <v/>
      </c>
      <c r="AA144" s="101" t="str">
        <f>IF(ISNUMBER(MATCH(F144, '[1]Can Matrix'!M:M, 0)), "Y", "N")</f>
        <v>Y</v>
      </c>
      <c r="AB144" s="5"/>
      <c r="AC144" s="5"/>
    </row>
    <row r="145" spans="1:29" ht="16.8">
      <c r="A145" s="17"/>
      <c r="B145" s="17"/>
      <c r="C145" s="17"/>
      <c r="D145" s="17" t="s">
        <v>143</v>
      </c>
      <c r="E145" s="17"/>
      <c r="F145" s="17" t="s">
        <v>5984</v>
      </c>
      <c r="G145" s="17" t="s">
        <v>5984</v>
      </c>
      <c r="H145" s="17"/>
      <c r="I145" s="97">
        <f>VLOOKUP(F145, '[1]Can Matrix'!$M:$X, 2, FALSE)</f>
        <v>10</v>
      </c>
      <c r="J145" s="17" t="str">
        <f t="shared" si="2"/>
        <v>uint16</v>
      </c>
      <c r="K145" s="17"/>
      <c r="L145" s="17"/>
      <c r="M145" s="100" t="str">
        <f>'[1]Can Matrix'!$R$2</f>
        <v>Unsigned</v>
      </c>
      <c r="N145" s="101" t="str">
        <f>IFERROR(IF(VLOOKUP(F145, '[1]Can Matrix'!$M:$X, 12, FALSE)=0, "", "TMS_Enum_" &amp; VLOOKUP(F145, '[1]Can Matrix'!$M:$X, 12, FALSE)), "")</f>
        <v/>
      </c>
      <c r="O145" s="17"/>
      <c r="P145" s="17"/>
      <c r="Q145" s="17"/>
      <c r="R145" s="17"/>
      <c r="S145" s="17"/>
      <c r="T145" s="17"/>
      <c r="U145" s="17"/>
      <c r="V145" s="17"/>
      <c r="W145" s="17"/>
      <c r="X145" s="103"/>
      <c r="Y145" s="17"/>
      <c r="Z145" s="101" t="str">
        <f>IF(N145="", "", IF(ISNUMBER(MATCH(N145, TextTables!A:A, 0)), "Y", "N"))</f>
        <v/>
      </c>
      <c r="AA145" s="101" t="str">
        <f>IF(ISNUMBER(MATCH(F145, '[1]Can Matrix'!M:M, 0)), "Y", "N")</f>
        <v>Y</v>
      </c>
      <c r="AB145" s="5"/>
      <c r="AC145" s="5"/>
    </row>
    <row r="146" spans="1:29" ht="16.8">
      <c r="A146" s="17"/>
      <c r="B146" s="17"/>
      <c r="C146" s="17"/>
      <c r="D146" s="17" t="s">
        <v>143</v>
      </c>
      <c r="E146" s="17"/>
      <c r="F146" s="17" t="s">
        <v>5985</v>
      </c>
      <c r="G146" s="17" t="s">
        <v>5985</v>
      </c>
      <c r="H146" s="17"/>
      <c r="I146" s="97">
        <f>VLOOKUP(F146, '[1]Can Matrix'!$M:$X, 2, FALSE)</f>
        <v>7</v>
      </c>
      <c r="J146" s="17" t="str">
        <f t="shared" si="2"/>
        <v>uint8</v>
      </c>
      <c r="K146" s="17"/>
      <c r="L146" s="17"/>
      <c r="M146" s="100" t="str">
        <f>'[1]Can Matrix'!$R$2</f>
        <v>Unsigned</v>
      </c>
      <c r="N146" s="101" t="str">
        <f>IFERROR(IF(VLOOKUP(F146, '[1]Can Matrix'!$M:$X, 12, FALSE)=0, "", "TMS_Enum_" &amp; VLOOKUP(F146, '[1]Can Matrix'!$M:$X, 12, FALSE)), "")</f>
        <v/>
      </c>
      <c r="O146" s="17"/>
      <c r="P146" s="17"/>
      <c r="Q146" s="17"/>
      <c r="R146" s="17"/>
      <c r="S146" s="17"/>
      <c r="T146" s="17"/>
      <c r="U146" s="17"/>
      <c r="V146" s="17"/>
      <c r="W146" s="17"/>
      <c r="X146" s="103"/>
      <c r="Y146" s="17"/>
      <c r="Z146" s="101" t="str">
        <f>IF(N146="", "", IF(ISNUMBER(MATCH(N146, TextTables!A:A, 0)), "Y", "N"))</f>
        <v/>
      </c>
      <c r="AA146" s="101" t="str">
        <f>IF(ISNUMBER(MATCH(F146, '[1]Can Matrix'!M:M, 0)), "Y", "N")</f>
        <v>Y</v>
      </c>
      <c r="AB146" s="5"/>
      <c r="AC146" s="5"/>
    </row>
    <row r="147" spans="1:29" ht="16.8">
      <c r="A147" s="17"/>
      <c r="B147" s="17"/>
      <c r="C147" s="17"/>
      <c r="D147" s="17" t="s">
        <v>143</v>
      </c>
      <c r="E147" s="17"/>
      <c r="F147" s="17" t="s">
        <v>1048</v>
      </c>
      <c r="G147" s="17" t="s">
        <v>1048</v>
      </c>
      <c r="H147" s="17"/>
      <c r="I147" s="97">
        <f>VLOOKUP(F147, '[1]Can Matrix'!$M:$X, 2, FALSE)</f>
        <v>10</v>
      </c>
      <c r="J147" s="17" t="str">
        <f t="shared" si="2"/>
        <v>uint16</v>
      </c>
      <c r="K147" s="17"/>
      <c r="L147" s="17"/>
      <c r="M147" s="100" t="str">
        <f>'[1]Can Matrix'!$R$2</f>
        <v>Unsigned</v>
      </c>
      <c r="N147" s="101" t="str">
        <f>IFERROR(IF(VLOOKUP(F147, '[1]Can Matrix'!$M:$X, 12, FALSE)=0, "", "TMS_Enum_" &amp; VLOOKUP(F147, '[1]Can Matrix'!$M:$X, 12, FALSE)), "")</f>
        <v/>
      </c>
      <c r="O147" s="17"/>
      <c r="P147" s="17"/>
      <c r="Q147" s="17"/>
      <c r="R147" s="17"/>
      <c r="S147" s="17"/>
      <c r="T147" s="17"/>
      <c r="U147" s="17"/>
      <c r="V147" s="17"/>
      <c r="W147" s="17"/>
      <c r="X147" s="103"/>
      <c r="Y147" s="17"/>
      <c r="Z147" s="101" t="str">
        <f>IF(N147="", "", IF(ISNUMBER(MATCH(N147, TextTables!A:A, 0)), "Y", "N"))</f>
        <v/>
      </c>
      <c r="AA147" s="101" t="str">
        <f>IF(ISNUMBER(MATCH(F147, '[1]Can Matrix'!M:M, 0)), "Y", "N")</f>
        <v>Y</v>
      </c>
      <c r="AB147" s="5"/>
      <c r="AC147" s="5"/>
    </row>
    <row r="148" spans="1:29" ht="16.8">
      <c r="A148" s="17"/>
      <c r="B148" s="17"/>
      <c r="C148" s="17"/>
      <c r="D148" s="17" t="s">
        <v>143</v>
      </c>
      <c r="E148" s="17"/>
      <c r="F148" s="17" t="s">
        <v>1052</v>
      </c>
      <c r="G148" s="17" t="s">
        <v>1052</v>
      </c>
      <c r="H148" s="17"/>
      <c r="I148" s="97">
        <f>VLOOKUP(F148, '[1]Can Matrix'!$M:$X, 2, FALSE)</f>
        <v>10</v>
      </c>
      <c r="J148" s="17" t="str">
        <f t="shared" si="2"/>
        <v>uint16</v>
      </c>
      <c r="K148" s="17"/>
      <c r="L148" s="17"/>
      <c r="M148" s="100" t="str">
        <f>'[1]Can Matrix'!$R$2</f>
        <v>Unsigned</v>
      </c>
      <c r="N148" s="101" t="str">
        <f>IFERROR(IF(VLOOKUP(F148, '[1]Can Matrix'!$M:$X, 12, FALSE)=0, "", "TMS_Enum_" &amp; VLOOKUP(F148, '[1]Can Matrix'!$M:$X, 12, FALSE)), "")</f>
        <v/>
      </c>
      <c r="O148" s="17"/>
      <c r="P148" s="17"/>
      <c r="Q148" s="17"/>
      <c r="R148" s="17"/>
      <c r="S148" s="17"/>
      <c r="T148" s="17"/>
      <c r="U148" s="17"/>
      <c r="V148" s="17"/>
      <c r="W148" s="17"/>
      <c r="X148" s="103"/>
      <c r="Y148" s="17"/>
      <c r="Z148" s="101" t="str">
        <f>IF(N148="", "", IF(ISNUMBER(MATCH(N148, TextTables!A:A, 0)), "Y", "N"))</f>
        <v/>
      </c>
      <c r="AA148" s="101" t="str">
        <f>IF(ISNUMBER(MATCH(F148, '[1]Can Matrix'!M:M, 0)), "Y", "N")</f>
        <v>Y</v>
      </c>
      <c r="AB148" s="5"/>
      <c r="AC148" s="5"/>
    </row>
    <row r="149" spans="1:29" ht="16.8">
      <c r="A149" s="17"/>
      <c r="B149" s="17"/>
      <c r="C149" s="17"/>
      <c r="D149" s="17" t="s">
        <v>143</v>
      </c>
      <c r="E149" s="17"/>
      <c r="F149" s="17" t="s">
        <v>1064</v>
      </c>
      <c r="G149" s="17" t="s">
        <v>1064</v>
      </c>
      <c r="H149" s="17"/>
      <c r="I149" s="97">
        <f>VLOOKUP(F149, '[1]Can Matrix'!$M:$X, 2, FALSE)</f>
        <v>10</v>
      </c>
      <c r="J149" s="17" t="str">
        <f t="shared" si="2"/>
        <v>uint16</v>
      </c>
      <c r="K149" s="17"/>
      <c r="L149" s="17"/>
      <c r="M149" s="100" t="str">
        <f>'[1]Can Matrix'!$R$2</f>
        <v>Unsigned</v>
      </c>
      <c r="N149" s="101" t="str">
        <f>IFERROR(IF(VLOOKUP(F149, '[1]Can Matrix'!$M:$X, 12, FALSE)=0, "", "TMS_Enum_" &amp; VLOOKUP(F149, '[1]Can Matrix'!$M:$X, 12, FALSE)), "")</f>
        <v/>
      </c>
      <c r="O149" s="17"/>
      <c r="P149" s="17"/>
      <c r="Q149" s="17"/>
      <c r="R149" s="17"/>
      <c r="S149" s="17"/>
      <c r="T149" s="17"/>
      <c r="U149" s="17"/>
      <c r="V149" s="17"/>
      <c r="W149" s="17"/>
      <c r="X149" s="103"/>
      <c r="Y149" s="17"/>
      <c r="Z149" s="101" t="str">
        <f>IF(N149="", "", IF(ISNUMBER(MATCH(N149, TextTables!A:A, 0)), "Y", "N"))</f>
        <v/>
      </c>
      <c r="AA149" s="101" t="str">
        <f>IF(ISNUMBER(MATCH(F149, '[1]Can Matrix'!M:M, 0)), "Y", "N")</f>
        <v>Y</v>
      </c>
      <c r="AB149" s="5"/>
      <c r="AC149" s="5"/>
    </row>
    <row r="150" spans="1:29" ht="16.8">
      <c r="A150" s="17"/>
      <c r="B150" s="17"/>
      <c r="C150" s="17"/>
      <c r="D150" s="17" t="s">
        <v>143</v>
      </c>
      <c r="E150" s="17"/>
      <c r="F150" s="17" t="s">
        <v>5986</v>
      </c>
      <c r="G150" s="17" t="s">
        <v>5986</v>
      </c>
      <c r="H150" s="17"/>
      <c r="I150" s="97">
        <f>VLOOKUP(F150, '[1]Can Matrix'!$M:$X, 2, FALSE)</f>
        <v>10</v>
      </c>
      <c r="J150" s="17" t="str">
        <f t="shared" si="2"/>
        <v>uint16</v>
      </c>
      <c r="K150" s="17"/>
      <c r="L150" s="17"/>
      <c r="M150" s="100" t="str">
        <f>'[1]Can Matrix'!$R$2</f>
        <v>Unsigned</v>
      </c>
      <c r="N150" s="101" t="str">
        <f>IFERROR(IF(VLOOKUP(F150, '[1]Can Matrix'!$M:$X, 12, FALSE)=0, "", "TMS_Enum_" &amp; VLOOKUP(F150, '[1]Can Matrix'!$M:$X, 12, FALSE)), "")</f>
        <v/>
      </c>
      <c r="O150" s="17"/>
      <c r="P150" s="17"/>
      <c r="Q150" s="17"/>
      <c r="R150" s="17"/>
      <c r="S150" s="17"/>
      <c r="T150" s="17"/>
      <c r="U150" s="17"/>
      <c r="V150" s="17"/>
      <c r="W150" s="17"/>
      <c r="X150" s="103"/>
      <c r="Y150" s="17"/>
      <c r="Z150" s="101" t="str">
        <f>IF(N150="", "", IF(ISNUMBER(MATCH(N150, TextTables!A:A, 0)), "Y", "N"))</f>
        <v/>
      </c>
      <c r="AA150" s="101" t="str">
        <f>IF(ISNUMBER(MATCH(F150, '[1]Can Matrix'!M:M, 0)), "Y", "N")</f>
        <v>Y</v>
      </c>
      <c r="AB150" s="5"/>
      <c r="AC150" s="5"/>
    </row>
    <row r="151" spans="1:29" ht="16.8">
      <c r="A151" s="17"/>
      <c r="B151" s="17"/>
      <c r="C151" s="17"/>
      <c r="D151" s="17" t="s">
        <v>143</v>
      </c>
      <c r="E151" s="17"/>
      <c r="F151" s="17" t="s">
        <v>5987</v>
      </c>
      <c r="G151" s="17" t="s">
        <v>5987</v>
      </c>
      <c r="H151" s="17"/>
      <c r="I151" s="97">
        <f>VLOOKUP(F151, '[1]Can Matrix'!$M:$X, 2, FALSE)</f>
        <v>12</v>
      </c>
      <c r="J151" s="17" t="str">
        <f t="shared" si="2"/>
        <v>uint16</v>
      </c>
      <c r="K151" s="17"/>
      <c r="L151" s="17"/>
      <c r="M151" s="100" t="str">
        <f>'[1]Can Matrix'!$R$2</f>
        <v>Unsigned</v>
      </c>
      <c r="N151" s="101" t="str">
        <f>IFERROR(IF(VLOOKUP(F151, '[1]Can Matrix'!$M:$X, 12, FALSE)=0, "", "TMS_Enum_" &amp; VLOOKUP(F151, '[1]Can Matrix'!$M:$X, 12, FALSE)), "")</f>
        <v/>
      </c>
      <c r="O151" s="17"/>
      <c r="P151" s="17"/>
      <c r="Q151" s="17"/>
      <c r="R151" s="17"/>
      <c r="S151" s="17"/>
      <c r="T151" s="17"/>
      <c r="U151" s="17"/>
      <c r="V151" s="17"/>
      <c r="W151" s="17"/>
      <c r="X151" s="103"/>
      <c r="Y151" s="17"/>
      <c r="Z151" s="101" t="str">
        <f>IF(N151="", "", IF(ISNUMBER(MATCH(N151, TextTables!A:A, 0)), "Y", "N"))</f>
        <v/>
      </c>
      <c r="AA151" s="101" t="str">
        <f>IF(ISNUMBER(MATCH(F151, '[1]Can Matrix'!M:M, 0)), "Y", "N")</f>
        <v>Y</v>
      </c>
      <c r="AB151" s="5"/>
      <c r="AC151" s="5"/>
    </row>
    <row r="152" spans="1:29" ht="16.8">
      <c r="A152" s="17"/>
      <c r="B152" s="17"/>
      <c r="C152" s="17"/>
      <c r="D152" s="17" t="s">
        <v>143</v>
      </c>
      <c r="E152" s="17"/>
      <c r="F152" s="17" t="s">
        <v>5988</v>
      </c>
      <c r="G152" s="17" t="s">
        <v>5988</v>
      </c>
      <c r="H152" s="17"/>
      <c r="I152" s="97">
        <f>VLOOKUP(F152, '[1]Can Matrix'!$M:$X, 2, FALSE)</f>
        <v>12</v>
      </c>
      <c r="J152" s="17" t="str">
        <f t="shared" si="2"/>
        <v>uint16</v>
      </c>
      <c r="K152" s="17"/>
      <c r="L152" s="17"/>
      <c r="M152" s="100" t="str">
        <f>'[1]Can Matrix'!$R$2</f>
        <v>Unsigned</v>
      </c>
      <c r="N152" s="101" t="str">
        <f>IFERROR(IF(VLOOKUP(F152, '[1]Can Matrix'!$M:$X, 12, FALSE)=0, "", "TMS_Enum_" &amp; VLOOKUP(F152, '[1]Can Matrix'!$M:$X, 12, FALSE)), "")</f>
        <v/>
      </c>
      <c r="O152" s="17"/>
      <c r="P152" s="17"/>
      <c r="Q152" s="17"/>
      <c r="R152" s="17"/>
      <c r="S152" s="17"/>
      <c r="T152" s="17"/>
      <c r="U152" s="17"/>
      <c r="V152" s="17"/>
      <c r="W152" s="17"/>
      <c r="X152" s="103"/>
      <c r="Y152" s="17"/>
      <c r="Z152" s="101" t="str">
        <f>IF(N152="", "", IF(ISNUMBER(MATCH(N152, TextTables!A:A, 0)), "Y", "N"))</f>
        <v/>
      </c>
      <c r="AA152" s="101" t="str">
        <f>IF(ISNUMBER(MATCH(F152, '[1]Can Matrix'!M:M, 0)), "Y", "N")</f>
        <v>Y</v>
      </c>
      <c r="AB152" s="5"/>
      <c r="AC152" s="5"/>
    </row>
    <row r="153" spans="1:29" ht="16.8">
      <c r="A153" s="17"/>
      <c r="B153" s="17"/>
      <c r="C153" s="17"/>
      <c r="D153" s="17" t="s">
        <v>143</v>
      </c>
      <c r="E153" s="17"/>
      <c r="F153" s="17" t="s">
        <v>5989</v>
      </c>
      <c r="G153" s="17" t="s">
        <v>5989</v>
      </c>
      <c r="H153" s="17"/>
      <c r="I153" s="97">
        <f>VLOOKUP(F153, '[1]Can Matrix'!$M:$X, 2, FALSE)</f>
        <v>12</v>
      </c>
      <c r="J153" s="17" t="str">
        <f t="shared" si="2"/>
        <v>uint16</v>
      </c>
      <c r="K153" s="17"/>
      <c r="L153" s="17"/>
      <c r="M153" s="100" t="str">
        <f>'[1]Can Matrix'!$R$2</f>
        <v>Unsigned</v>
      </c>
      <c r="N153" s="101" t="str">
        <f>IFERROR(IF(VLOOKUP(F153, '[1]Can Matrix'!$M:$X, 12, FALSE)=0, "", "TMS_Enum_" &amp; VLOOKUP(F153, '[1]Can Matrix'!$M:$X, 12, FALSE)), "")</f>
        <v/>
      </c>
      <c r="O153" s="17"/>
      <c r="P153" s="17"/>
      <c r="Q153" s="17"/>
      <c r="R153" s="17"/>
      <c r="S153" s="17"/>
      <c r="T153" s="17"/>
      <c r="U153" s="17"/>
      <c r="V153" s="17"/>
      <c r="W153" s="17"/>
      <c r="X153" s="103"/>
      <c r="Y153" s="17"/>
      <c r="Z153" s="101" t="str">
        <f>IF(N153="", "", IF(ISNUMBER(MATCH(N153, TextTables!A:A, 0)), "Y", "N"))</f>
        <v/>
      </c>
      <c r="AA153" s="101" t="str">
        <f>IF(ISNUMBER(MATCH(F153, '[1]Can Matrix'!M:M, 0)), "Y", "N")</f>
        <v>Y</v>
      </c>
      <c r="AB153" s="5"/>
      <c r="AC153" s="5"/>
    </row>
    <row r="154" spans="1:29" ht="16.8">
      <c r="A154" s="17"/>
      <c r="B154" s="17"/>
      <c r="C154" s="17"/>
      <c r="D154" s="17" t="s">
        <v>143</v>
      </c>
      <c r="E154" s="17"/>
      <c r="F154" s="17" t="s">
        <v>5990</v>
      </c>
      <c r="G154" s="17" t="s">
        <v>5990</v>
      </c>
      <c r="H154" s="17"/>
      <c r="I154" s="97">
        <f>VLOOKUP(F154, '[1]Can Matrix'!$M:$X, 2, FALSE)</f>
        <v>12</v>
      </c>
      <c r="J154" s="17" t="str">
        <f t="shared" si="2"/>
        <v>uint16</v>
      </c>
      <c r="K154" s="17"/>
      <c r="L154" s="17"/>
      <c r="M154" s="100" t="str">
        <f>'[1]Can Matrix'!$R$2</f>
        <v>Unsigned</v>
      </c>
      <c r="N154" s="101" t="str">
        <f>IFERROR(IF(VLOOKUP(F154, '[1]Can Matrix'!$M:$X, 12, FALSE)=0, "", "TMS_Enum_" &amp; VLOOKUP(F154, '[1]Can Matrix'!$M:$X, 12, FALSE)), "")</f>
        <v/>
      </c>
      <c r="O154" s="17"/>
      <c r="P154" s="17"/>
      <c r="Q154" s="17"/>
      <c r="R154" s="17"/>
      <c r="S154" s="17"/>
      <c r="T154" s="17"/>
      <c r="U154" s="17"/>
      <c r="V154" s="17"/>
      <c r="W154" s="17"/>
      <c r="X154" s="103"/>
      <c r="Y154" s="17"/>
      <c r="Z154" s="101" t="str">
        <f>IF(N154="", "", IF(ISNUMBER(MATCH(N154, TextTables!A:A, 0)), "Y", "N"))</f>
        <v/>
      </c>
      <c r="AA154" s="101" t="str">
        <f>IF(ISNUMBER(MATCH(F154, '[1]Can Matrix'!M:M, 0)), "Y", "N")</f>
        <v>Y</v>
      </c>
      <c r="AB154" s="5"/>
      <c r="AC154" s="5"/>
    </row>
    <row r="155" spans="1:29" ht="16.8">
      <c r="A155" s="17"/>
      <c r="B155" s="17"/>
      <c r="C155" s="17"/>
      <c r="D155" s="17" t="s">
        <v>143</v>
      </c>
      <c r="E155" s="17"/>
      <c r="F155" s="17" t="s">
        <v>5991</v>
      </c>
      <c r="G155" s="17" t="s">
        <v>5991</v>
      </c>
      <c r="H155" s="17"/>
      <c r="I155" s="97">
        <f>VLOOKUP(F155, '[1]Can Matrix'!$M:$X, 2, FALSE)</f>
        <v>12</v>
      </c>
      <c r="J155" s="17" t="str">
        <f t="shared" si="2"/>
        <v>uint16</v>
      </c>
      <c r="K155" s="17"/>
      <c r="L155" s="17"/>
      <c r="M155" s="100" t="str">
        <f>'[1]Can Matrix'!$R$2</f>
        <v>Unsigned</v>
      </c>
      <c r="N155" s="101" t="str">
        <f>IFERROR(IF(VLOOKUP(F155, '[1]Can Matrix'!$M:$X, 12, FALSE)=0, "", "TMS_Enum_" &amp; VLOOKUP(F155, '[1]Can Matrix'!$M:$X, 12, FALSE)), "")</f>
        <v/>
      </c>
      <c r="O155" s="17"/>
      <c r="P155" s="17"/>
      <c r="Q155" s="17"/>
      <c r="R155" s="17"/>
      <c r="S155" s="17"/>
      <c r="T155" s="17"/>
      <c r="U155" s="17"/>
      <c r="V155" s="17"/>
      <c r="W155" s="17"/>
      <c r="X155" s="103"/>
      <c r="Y155" s="17"/>
      <c r="Z155" s="101" t="str">
        <f>IF(N155="", "", IF(ISNUMBER(MATCH(N155, TextTables!A:A, 0)), "Y", "N"))</f>
        <v/>
      </c>
      <c r="AA155" s="101" t="str">
        <f>IF(ISNUMBER(MATCH(F155, '[1]Can Matrix'!M:M, 0)), "Y", "N")</f>
        <v>Y</v>
      </c>
      <c r="AB155" s="5"/>
      <c r="AC155" s="5"/>
    </row>
    <row r="156" spans="1:29" ht="16.8">
      <c r="A156" s="17"/>
      <c r="B156" s="17"/>
      <c r="C156" s="17"/>
      <c r="D156" s="17" t="s">
        <v>143</v>
      </c>
      <c r="E156" s="17"/>
      <c r="F156" s="17" t="s">
        <v>5992</v>
      </c>
      <c r="G156" s="17" t="s">
        <v>5992</v>
      </c>
      <c r="H156" s="17"/>
      <c r="I156" s="97">
        <f>VLOOKUP(F156, '[1]Can Matrix'!$M:$X, 2, FALSE)</f>
        <v>1</v>
      </c>
      <c r="J156" s="17" t="str">
        <f t="shared" si="2"/>
        <v>uint8</v>
      </c>
      <c r="K156" s="17"/>
      <c r="L156" s="17"/>
      <c r="M156" s="100" t="str">
        <f>'[1]Can Matrix'!$R$2</f>
        <v>Unsigned</v>
      </c>
      <c r="N156" s="101" t="str">
        <f>IFERROR(IF(VLOOKUP(F156, '[1]Can Matrix'!$M:$X, 12, FALSE)=0, "", "TMS_Enum_" &amp; VLOOKUP(F156, '[1]Can Matrix'!$M:$X, 12, FALSE)), "")</f>
        <v>TMS_Enum_HvacTIfQf</v>
      </c>
      <c r="O156" s="17"/>
      <c r="P156" s="17"/>
      <c r="Q156" s="17"/>
      <c r="R156" s="17"/>
      <c r="S156" s="17"/>
      <c r="T156" s="17"/>
      <c r="U156" s="17"/>
      <c r="V156" s="17"/>
      <c r="W156" s="17"/>
      <c r="X156" s="103"/>
      <c r="Y156" s="17"/>
      <c r="Z156" s="101" t="str">
        <f>IF(N156="", "", IF(ISNUMBER(MATCH(N156, TextTables!A:A, 0)), "Y", "N"))</f>
        <v>Y</v>
      </c>
      <c r="AA156" s="101" t="str">
        <f>IF(ISNUMBER(MATCH(F156, '[1]Can Matrix'!M:M, 0)), "Y", "N")</f>
        <v>Y</v>
      </c>
      <c r="AB156" s="5"/>
      <c r="AC156" s="5"/>
    </row>
    <row r="157" spans="1:29" ht="16.8">
      <c r="A157" s="17"/>
      <c r="B157" s="17"/>
      <c r="C157" s="17"/>
      <c r="D157" s="17" t="s">
        <v>143</v>
      </c>
      <c r="E157" s="17"/>
      <c r="F157" s="17" t="s">
        <v>5993</v>
      </c>
      <c r="G157" s="17" t="s">
        <v>5993</v>
      </c>
      <c r="H157" s="17"/>
      <c r="I157" s="97">
        <f>VLOOKUP(F157, '[1]Can Matrix'!$M:$X, 2, FALSE)</f>
        <v>12</v>
      </c>
      <c r="J157" s="17" t="str">
        <f t="shared" si="2"/>
        <v>uint16</v>
      </c>
      <c r="K157" s="17"/>
      <c r="L157" s="17"/>
      <c r="M157" s="100" t="str">
        <f>'[1]Can Matrix'!$R$2</f>
        <v>Unsigned</v>
      </c>
      <c r="N157" s="101" t="str">
        <f>IFERROR(IF(VLOOKUP(F157, '[1]Can Matrix'!$M:$X, 12, FALSE)=0, "", "TMS_Enum_" &amp; VLOOKUP(F157, '[1]Can Matrix'!$M:$X, 12, FALSE)), "")</f>
        <v/>
      </c>
      <c r="O157" s="17"/>
      <c r="P157" s="17"/>
      <c r="Q157" s="17"/>
      <c r="R157" s="17"/>
      <c r="S157" s="17"/>
      <c r="T157" s="17"/>
      <c r="U157" s="17"/>
      <c r="V157" s="17"/>
      <c r="W157" s="17"/>
      <c r="X157" s="103"/>
      <c r="Y157" s="17"/>
      <c r="Z157" s="101" t="str">
        <f>IF(N157="", "", IF(ISNUMBER(MATCH(N157, TextTables!A:A, 0)), "Y", "N"))</f>
        <v/>
      </c>
      <c r="AA157" s="101" t="str">
        <f>IF(ISNUMBER(MATCH(F157, '[1]Can Matrix'!M:M, 0)), "Y", "N")</f>
        <v>Y</v>
      </c>
      <c r="AB157" s="5"/>
      <c r="AC157" s="5"/>
    </row>
    <row r="158" spans="1:29" ht="16.8">
      <c r="A158" s="17"/>
      <c r="B158" s="17"/>
      <c r="C158" s="17"/>
      <c r="D158" s="17" t="s">
        <v>143</v>
      </c>
      <c r="E158" s="17"/>
      <c r="F158" s="17" t="s">
        <v>5994</v>
      </c>
      <c r="G158" s="17" t="s">
        <v>5994</v>
      </c>
      <c r="H158" s="17"/>
      <c r="I158" s="97">
        <f>VLOOKUP(F158, '[1]Can Matrix'!$M:$X, 2, FALSE)</f>
        <v>1</v>
      </c>
      <c r="J158" s="17" t="str">
        <f t="shared" ref="J158:J221" si="3">IF(I158&lt;=8,"uint8",IF(I158&lt;=16,"uint16","uint32"))</f>
        <v>uint8</v>
      </c>
      <c r="K158" s="17"/>
      <c r="L158" s="17"/>
      <c r="M158" s="100" t="str">
        <f>'[1]Can Matrix'!$R$2</f>
        <v>Unsigned</v>
      </c>
      <c r="N158" s="101" t="str">
        <f>IFERROR(IF(VLOOKUP(F158, '[1]Can Matrix'!$M:$X, 12, FALSE)=0, "", "TMS_Enum_" &amp; VLOOKUP(F158, '[1]Can Matrix'!$M:$X, 12, FALSE)), "")</f>
        <v>TMS_Enum_Flg1</v>
      </c>
      <c r="O158" s="17"/>
      <c r="P158" s="17"/>
      <c r="Q158" s="17"/>
      <c r="R158" s="17"/>
      <c r="S158" s="17"/>
      <c r="T158" s="17"/>
      <c r="U158" s="17"/>
      <c r="V158" s="17"/>
      <c r="W158" s="17"/>
      <c r="X158" s="103"/>
      <c r="Y158" s="17"/>
      <c r="Z158" s="101" t="str">
        <f>IF(N158="", "", IF(ISNUMBER(MATCH(N158, TextTables!A:A, 0)), "Y", "N"))</f>
        <v>Y</v>
      </c>
      <c r="AA158" s="101" t="str">
        <f>IF(ISNUMBER(MATCH(F158, '[1]Can Matrix'!M:M, 0)), "Y", "N")</f>
        <v>Y</v>
      </c>
      <c r="AB158" s="5"/>
      <c r="AC158" s="5"/>
    </row>
    <row r="159" spans="1:29" ht="16.8">
      <c r="A159" s="17"/>
      <c r="B159" s="17"/>
      <c r="C159" s="17"/>
      <c r="D159" s="17" t="s">
        <v>143</v>
      </c>
      <c r="E159" s="17"/>
      <c r="F159" s="17" t="s">
        <v>5995</v>
      </c>
      <c r="G159" s="17" t="s">
        <v>5995</v>
      </c>
      <c r="H159" s="17"/>
      <c r="I159" s="97">
        <f>VLOOKUP(F159, '[1]Can Matrix'!$M:$X, 2, FALSE)</f>
        <v>2</v>
      </c>
      <c r="J159" s="17" t="str">
        <f t="shared" si="3"/>
        <v>uint8</v>
      </c>
      <c r="K159" s="17"/>
      <c r="L159" s="17"/>
      <c r="M159" s="100" t="str">
        <f>'[1]Can Matrix'!$R$2</f>
        <v>Unsigned</v>
      </c>
      <c r="N159" s="101" t="str">
        <f>IFERROR(IF(VLOOKUP(F159, '[1]Can Matrix'!$M:$X, 12, FALSE)=0, "", "TMS_Enum_" &amp; VLOOKUP(F159, '[1]Can Matrix'!$M:$X, 12, FALSE)), "")</f>
        <v>TMS_Enum_CmptmtTFrntQf</v>
      </c>
      <c r="O159" s="17"/>
      <c r="P159" s="17"/>
      <c r="Q159" s="17"/>
      <c r="R159" s="17"/>
      <c r="S159" s="17"/>
      <c r="T159" s="17"/>
      <c r="U159" s="17"/>
      <c r="V159" s="17"/>
      <c r="W159" s="17"/>
      <c r="X159" s="103"/>
      <c r="Y159" s="17"/>
      <c r="Z159" s="101" t="str">
        <f>IF(N159="", "", IF(ISNUMBER(MATCH(N159, TextTables!A:A, 0)), "Y", "N"))</f>
        <v>Y</v>
      </c>
      <c r="AA159" s="101" t="str">
        <f>IF(ISNUMBER(MATCH(F159, '[1]Can Matrix'!M:M, 0)), "Y", "N")</f>
        <v>Y</v>
      </c>
      <c r="AB159" s="5"/>
      <c r="AC159" s="5"/>
    </row>
    <row r="160" spans="1:29" ht="16.8">
      <c r="A160" s="17"/>
      <c r="B160" s="17"/>
      <c r="C160" s="17"/>
      <c r="D160" s="17" t="s">
        <v>143</v>
      </c>
      <c r="E160" s="17"/>
      <c r="F160" s="17" t="s">
        <v>5996</v>
      </c>
      <c r="G160" s="17" t="s">
        <v>5996</v>
      </c>
      <c r="H160" s="17"/>
      <c r="I160" s="97">
        <f>VLOOKUP(F160, '[1]Can Matrix'!$M:$X, 2, FALSE)</f>
        <v>12</v>
      </c>
      <c r="J160" s="17" t="str">
        <f t="shared" si="3"/>
        <v>uint16</v>
      </c>
      <c r="K160" s="17"/>
      <c r="L160" s="17"/>
      <c r="M160" s="100" t="str">
        <f>'[1]Can Matrix'!$R$2</f>
        <v>Unsigned</v>
      </c>
      <c r="N160" s="101" t="str">
        <f>IFERROR(IF(VLOOKUP(F160, '[1]Can Matrix'!$M:$X, 12, FALSE)=0, "", "TMS_Enum_" &amp; VLOOKUP(F160, '[1]Can Matrix'!$M:$X, 12, FALSE)), "")</f>
        <v/>
      </c>
      <c r="O160" s="17"/>
      <c r="P160" s="17"/>
      <c r="Q160" s="17"/>
      <c r="R160" s="17"/>
      <c r="S160" s="17"/>
      <c r="T160" s="17"/>
      <c r="U160" s="17"/>
      <c r="V160" s="17"/>
      <c r="W160" s="17"/>
      <c r="X160" s="103"/>
      <c r="Y160" s="17"/>
      <c r="Z160" s="101" t="str">
        <f>IF(N160="", "", IF(ISNUMBER(MATCH(N160, TextTables!A:A, 0)), "Y", "N"))</f>
        <v/>
      </c>
      <c r="AA160" s="101" t="str">
        <f>IF(ISNUMBER(MATCH(F160, '[1]Can Matrix'!M:M, 0)), "Y", "N")</f>
        <v>Y</v>
      </c>
      <c r="AB160" s="5"/>
      <c r="AC160" s="5"/>
    </row>
    <row r="161" spans="1:29" ht="16.8">
      <c r="A161" s="17"/>
      <c r="B161" s="17"/>
      <c r="C161" s="17"/>
      <c r="D161" s="17" t="s">
        <v>143</v>
      </c>
      <c r="E161" s="17"/>
      <c r="F161" s="17" t="s">
        <v>5997</v>
      </c>
      <c r="G161" s="17" t="s">
        <v>5997</v>
      </c>
      <c r="H161" s="17"/>
      <c r="I161" s="97">
        <f>VLOOKUP(F161, '[1]Can Matrix'!$M:$X, 2, FALSE)</f>
        <v>2</v>
      </c>
      <c r="J161" s="17" t="str">
        <f t="shared" si="3"/>
        <v>uint8</v>
      </c>
      <c r="K161" s="17"/>
      <c r="L161" s="17"/>
      <c r="M161" s="100" t="str">
        <f>'[1]Can Matrix'!$R$2</f>
        <v>Unsigned</v>
      </c>
      <c r="N161" s="101" t="str">
        <f>IFERROR(IF(VLOOKUP(F161, '[1]Can Matrix'!$M:$X, 12, FALSE)=0, "", "TMS_Enum_" &amp; VLOOKUP(F161, '[1]Can Matrix'!$M:$X, 12, FALSE)), "")</f>
        <v>TMS_Enum_CmptmtTFrntQf</v>
      </c>
      <c r="O161" s="17"/>
      <c r="P161" s="17"/>
      <c r="Q161" s="17"/>
      <c r="R161" s="17"/>
      <c r="S161" s="17"/>
      <c r="T161" s="17"/>
      <c r="U161" s="17"/>
      <c r="V161" s="17"/>
      <c r="W161" s="17"/>
      <c r="X161" s="103"/>
      <c r="Y161" s="17"/>
      <c r="Z161" s="101" t="str">
        <f>IF(N161="", "", IF(ISNUMBER(MATCH(N161, TextTables!A:A, 0)), "Y", "N"))</f>
        <v>Y</v>
      </c>
      <c r="AA161" s="101" t="str">
        <f>IF(ISNUMBER(MATCH(F161, '[1]Can Matrix'!M:M, 0)), "Y", "N")</f>
        <v>Y</v>
      </c>
      <c r="AB161" s="5"/>
      <c r="AC161" s="5"/>
    </row>
    <row r="162" spans="1:29" ht="16.8">
      <c r="A162" s="17"/>
      <c r="B162" s="17"/>
      <c r="C162" s="17"/>
      <c r="D162" s="17" t="s">
        <v>143</v>
      </c>
      <c r="E162" s="17"/>
      <c r="F162" s="17" t="s">
        <v>5998</v>
      </c>
      <c r="G162" s="17" t="s">
        <v>5998</v>
      </c>
      <c r="H162" s="17"/>
      <c r="I162" s="97">
        <f>VLOOKUP(F162, '[1]Can Matrix'!$M:$X, 2, FALSE)</f>
        <v>1</v>
      </c>
      <c r="J162" s="17" t="str">
        <f t="shared" si="3"/>
        <v>uint8</v>
      </c>
      <c r="K162" s="17"/>
      <c r="L162" s="17"/>
      <c r="M162" s="100" t="str">
        <f>'[1]Can Matrix'!$R$2</f>
        <v>Unsigned</v>
      </c>
      <c r="N162" s="101" t="str">
        <f>IFERROR(IF(VLOOKUP(F162, '[1]Can Matrix'!$M:$X, 12, FALSE)=0, "", "TMS_Enum_" &amp; VLOOKUP(F162, '[1]Can Matrix'!$M:$X, 12, FALSE)), "")</f>
        <v>TMS_Enum_Flg1</v>
      </c>
      <c r="O162" s="17"/>
      <c r="P162" s="17"/>
      <c r="Q162" s="17"/>
      <c r="R162" s="17"/>
      <c r="S162" s="17"/>
      <c r="T162" s="17"/>
      <c r="U162" s="17"/>
      <c r="V162" s="17"/>
      <c r="W162" s="17"/>
      <c r="X162" s="103"/>
      <c r="Y162" s="17"/>
      <c r="Z162" s="101" t="str">
        <f>IF(N162="", "", IF(ISNUMBER(MATCH(N162, TextTables!A:A, 0)), "Y", "N"))</f>
        <v>Y</v>
      </c>
      <c r="AA162" s="101" t="str">
        <f>IF(ISNUMBER(MATCH(F162, '[1]Can Matrix'!M:M, 0)), "Y", "N")</f>
        <v>Y</v>
      </c>
      <c r="AB162" s="5"/>
      <c r="AC162" s="5"/>
    </row>
    <row r="163" spans="1:29" ht="16.8">
      <c r="A163" s="17"/>
      <c r="B163" s="17"/>
      <c r="C163" s="17"/>
      <c r="D163" s="17" t="s">
        <v>143</v>
      </c>
      <c r="E163" s="17"/>
      <c r="F163" s="17" t="s">
        <v>5999</v>
      </c>
      <c r="G163" s="17" t="s">
        <v>5999</v>
      </c>
      <c r="H163" s="17"/>
      <c r="I163" s="97">
        <f>VLOOKUP(F163, '[1]Can Matrix'!$M:$X, 2, FALSE)</f>
        <v>12</v>
      </c>
      <c r="J163" s="17" t="str">
        <f t="shared" si="3"/>
        <v>uint16</v>
      </c>
      <c r="K163" s="17"/>
      <c r="L163" s="17"/>
      <c r="M163" s="100" t="str">
        <f>'[1]Can Matrix'!$R$2</f>
        <v>Unsigned</v>
      </c>
      <c r="N163" s="101" t="str">
        <f>IFERROR(IF(VLOOKUP(F163, '[1]Can Matrix'!$M:$X, 12, FALSE)=0, "", "TMS_Enum_" &amp; VLOOKUP(F163, '[1]Can Matrix'!$M:$X, 12, FALSE)), "")</f>
        <v/>
      </c>
      <c r="O163" s="17"/>
      <c r="P163" s="17"/>
      <c r="Q163" s="17"/>
      <c r="R163" s="17"/>
      <c r="S163" s="17"/>
      <c r="T163" s="17"/>
      <c r="U163" s="17"/>
      <c r="V163" s="17"/>
      <c r="W163" s="17"/>
      <c r="X163" s="103"/>
      <c r="Y163" s="17"/>
      <c r="Z163" s="101" t="str">
        <f>IF(N163="", "", IF(ISNUMBER(MATCH(N163, TextTables!A:A, 0)), "Y", "N"))</f>
        <v/>
      </c>
      <c r="AA163" s="101" t="str">
        <f>IF(ISNUMBER(MATCH(F163, '[1]Can Matrix'!M:M, 0)), "Y", "N")</f>
        <v>Y</v>
      </c>
      <c r="AB163" s="5"/>
      <c r="AC163" s="5"/>
    </row>
    <row r="164" spans="1:29" ht="16.8">
      <c r="A164" s="17"/>
      <c r="B164" s="17"/>
      <c r="C164" s="17"/>
      <c r="D164" s="17" t="s">
        <v>143</v>
      </c>
      <c r="E164" s="17"/>
      <c r="F164" s="17" t="s">
        <v>6000</v>
      </c>
      <c r="G164" s="17" t="s">
        <v>6000</v>
      </c>
      <c r="H164" s="17"/>
      <c r="I164" s="97">
        <f>VLOOKUP(F164, '[1]Can Matrix'!$M:$X, 2, FALSE)</f>
        <v>1</v>
      </c>
      <c r="J164" s="17" t="str">
        <f t="shared" si="3"/>
        <v>uint8</v>
      </c>
      <c r="K164" s="17"/>
      <c r="L164" s="17"/>
      <c r="M164" s="100" t="str">
        <f>'[1]Can Matrix'!$R$2</f>
        <v>Unsigned</v>
      </c>
      <c r="N164" s="101" t="str">
        <f>IFERROR(IF(VLOOKUP(F164, '[1]Can Matrix'!$M:$X, 12, FALSE)=0, "", "TMS_Enum_" &amp; VLOOKUP(F164, '[1]Can Matrix'!$M:$X, 12, FALSE)), "")</f>
        <v>TMS_Enum_HvacTIfQf</v>
      </c>
      <c r="O164" s="17"/>
      <c r="P164" s="17"/>
      <c r="Q164" s="17"/>
      <c r="R164" s="17"/>
      <c r="S164" s="17"/>
      <c r="T164" s="17"/>
      <c r="U164" s="17"/>
      <c r="V164" s="17"/>
      <c r="W164" s="17"/>
      <c r="X164" s="103"/>
      <c r="Y164" s="17"/>
      <c r="Z164" s="101" t="str">
        <f>IF(N164="", "", IF(ISNUMBER(MATCH(N164, TextTables!A:A, 0)), "Y", "N"))</f>
        <v>Y</v>
      </c>
      <c r="AA164" s="101" t="str">
        <f>IF(ISNUMBER(MATCH(F164, '[1]Can Matrix'!M:M, 0)), "Y", "N")</f>
        <v>Y</v>
      </c>
      <c r="AB164" s="5"/>
      <c r="AC164" s="5"/>
    </row>
    <row r="165" spans="1:29" ht="16.8">
      <c r="A165" s="17"/>
      <c r="B165" s="17"/>
      <c r="C165" s="17"/>
      <c r="D165" s="17" t="s">
        <v>143</v>
      </c>
      <c r="E165" s="17"/>
      <c r="F165" s="17" t="s">
        <v>6001</v>
      </c>
      <c r="G165" s="17" t="s">
        <v>6001</v>
      </c>
      <c r="H165" s="17"/>
      <c r="I165" s="97">
        <f>VLOOKUP(F165, '[1]Can Matrix'!$M:$X, 2, FALSE)</f>
        <v>12</v>
      </c>
      <c r="J165" s="17" t="str">
        <f t="shared" si="3"/>
        <v>uint16</v>
      </c>
      <c r="K165" s="17"/>
      <c r="L165" s="17"/>
      <c r="M165" s="100" t="str">
        <f>'[1]Can Matrix'!$R$2</f>
        <v>Unsigned</v>
      </c>
      <c r="N165" s="101" t="str">
        <f>IFERROR(IF(VLOOKUP(F165, '[1]Can Matrix'!$M:$X, 12, FALSE)=0, "", "TMS_Enum_" &amp; VLOOKUP(F165, '[1]Can Matrix'!$M:$X, 12, FALSE)), "")</f>
        <v/>
      </c>
      <c r="O165" s="17"/>
      <c r="P165" s="17"/>
      <c r="Q165" s="17"/>
      <c r="R165" s="17"/>
      <c r="S165" s="17"/>
      <c r="T165" s="17"/>
      <c r="U165" s="17"/>
      <c r="V165" s="17"/>
      <c r="W165" s="17"/>
      <c r="X165" s="103"/>
      <c r="Y165" s="17"/>
      <c r="Z165" s="101" t="str">
        <f>IF(N165="", "", IF(ISNUMBER(MATCH(N165, TextTables!A:A, 0)), "Y", "N"))</f>
        <v/>
      </c>
      <c r="AA165" s="101" t="str">
        <f>IF(ISNUMBER(MATCH(F165, '[1]Can Matrix'!M:M, 0)), "Y", "N")</f>
        <v>Y</v>
      </c>
      <c r="AB165" s="5"/>
      <c r="AC165" s="5"/>
    </row>
    <row r="166" spans="1:29" ht="16.8">
      <c r="A166" s="17"/>
      <c r="B166" s="17"/>
      <c r="C166" s="17"/>
      <c r="D166" s="17" t="s">
        <v>143</v>
      </c>
      <c r="E166" s="17"/>
      <c r="F166" s="17" t="s">
        <v>6002</v>
      </c>
      <c r="G166" s="17" t="s">
        <v>6002</v>
      </c>
      <c r="H166" s="17"/>
      <c r="I166" s="97">
        <f>VLOOKUP(F166, '[1]Can Matrix'!$M:$X, 2, FALSE)</f>
        <v>1</v>
      </c>
      <c r="J166" s="17" t="str">
        <f t="shared" si="3"/>
        <v>uint8</v>
      </c>
      <c r="K166" s="17"/>
      <c r="L166" s="17"/>
      <c r="M166" s="100" t="str">
        <f>'[1]Can Matrix'!$R$2</f>
        <v>Unsigned</v>
      </c>
      <c r="N166" s="101" t="str">
        <f>IFERROR(IF(VLOOKUP(F166, '[1]Can Matrix'!$M:$X, 12, FALSE)=0, "", "TMS_Enum_" &amp; VLOOKUP(F166, '[1]Can Matrix'!$M:$X, 12, FALSE)), "")</f>
        <v>TMS_Enum_HvacTIfQf</v>
      </c>
      <c r="O166" s="17"/>
      <c r="P166" s="17"/>
      <c r="Q166" s="17"/>
      <c r="R166" s="17"/>
      <c r="S166" s="17"/>
      <c r="T166" s="17"/>
      <c r="U166" s="17"/>
      <c r="V166" s="17"/>
      <c r="W166" s="17"/>
      <c r="X166" s="103"/>
      <c r="Y166" s="17"/>
      <c r="Z166" s="101" t="str">
        <f>IF(N166="", "", IF(ISNUMBER(MATCH(N166, TextTables!A:A, 0)), "Y", "N"))</f>
        <v>Y</v>
      </c>
      <c r="AA166" s="101" t="str">
        <f>IF(ISNUMBER(MATCH(F166, '[1]Can Matrix'!M:M, 0)), "Y", "N")</f>
        <v>Y</v>
      </c>
      <c r="AB166" s="5"/>
      <c r="AC166" s="5"/>
    </row>
    <row r="167" spans="1:29" ht="16.8">
      <c r="A167" s="17"/>
      <c r="B167" s="17"/>
      <c r="C167" s="17"/>
      <c r="D167" s="17" t="s">
        <v>143</v>
      </c>
      <c r="E167" s="17"/>
      <c r="F167" s="17" t="s">
        <v>6003</v>
      </c>
      <c r="G167" s="17" t="s">
        <v>6003</v>
      </c>
      <c r="H167" s="17"/>
      <c r="I167" s="97">
        <f>VLOOKUP(F167, '[1]Can Matrix'!$M:$X, 2, FALSE)</f>
        <v>12</v>
      </c>
      <c r="J167" s="17" t="str">
        <f t="shared" si="3"/>
        <v>uint16</v>
      </c>
      <c r="K167" s="17"/>
      <c r="L167" s="17"/>
      <c r="M167" s="100" t="str">
        <f>'[1]Can Matrix'!$R$2</f>
        <v>Unsigned</v>
      </c>
      <c r="N167" s="101" t="str">
        <f>IFERROR(IF(VLOOKUP(F167, '[1]Can Matrix'!$M:$X, 12, FALSE)=0, "", "TMS_Enum_" &amp; VLOOKUP(F167, '[1]Can Matrix'!$M:$X, 12, FALSE)), "")</f>
        <v/>
      </c>
      <c r="O167" s="17"/>
      <c r="P167" s="17"/>
      <c r="Q167" s="17"/>
      <c r="R167" s="17"/>
      <c r="S167" s="17"/>
      <c r="T167" s="17"/>
      <c r="U167" s="17"/>
      <c r="V167" s="17"/>
      <c r="W167" s="17"/>
      <c r="X167" s="103"/>
      <c r="Y167" s="17"/>
      <c r="Z167" s="101" t="str">
        <f>IF(N167="", "", IF(ISNUMBER(MATCH(N167, TextTables!A:A, 0)), "Y", "N"))</f>
        <v/>
      </c>
      <c r="AA167" s="101" t="str">
        <f>IF(ISNUMBER(MATCH(F167, '[1]Can Matrix'!M:M, 0)), "Y", "N")</f>
        <v>Y</v>
      </c>
      <c r="AB167" s="5"/>
      <c r="AC167" s="5"/>
    </row>
    <row r="168" spans="1:29" ht="16.8">
      <c r="A168" s="17"/>
      <c r="B168" s="17"/>
      <c r="C168" s="17"/>
      <c r="D168" s="17" t="s">
        <v>143</v>
      </c>
      <c r="E168" s="17"/>
      <c r="F168" s="17" t="s">
        <v>6004</v>
      </c>
      <c r="G168" s="17" t="s">
        <v>6004</v>
      </c>
      <c r="H168" s="17"/>
      <c r="I168" s="97">
        <f>VLOOKUP(F168, '[1]Can Matrix'!$M:$X, 2, FALSE)</f>
        <v>1</v>
      </c>
      <c r="J168" s="17" t="str">
        <f t="shared" si="3"/>
        <v>uint8</v>
      </c>
      <c r="K168" s="17"/>
      <c r="L168" s="17"/>
      <c r="M168" s="100" t="str">
        <f>'[1]Can Matrix'!$R$2</f>
        <v>Unsigned</v>
      </c>
      <c r="N168" s="101" t="str">
        <f>IFERROR(IF(VLOOKUP(F168, '[1]Can Matrix'!$M:$X, 12, FALSE)=0, "", "TMS_Enum_" &amp; VLOOKUP(F168, '[1]Can Matrix'!$M:$X, 12, FALSE)), "")</f>
        <v>TMS_Enum_HvacTIfQf</v>
      </c>
      <c r="O168" s="17"/>
      <c r="P168" s="17"/>
      <c r="Q168" s="17"/>
      <c r="R168" s="17"/>
      <c r="S168" s="17"/>
      <c r="T168" s="17"/>
      <c r="U168" s="17"/>
      <c r="V168" s="17"/>
      <c r="W168" s="17"/>
      <c r="X168" s="103"/>
      <c r="Y168" s="17"/>
      <c r="Z168" s="101" t="str">
        <f>IF(N168="", "", IF(ISNUMBER(MATCH(N168, TextTables!A:A, 0)), "Y", "N"))</f>
        <v>Y</v>
      </c>
      <c r="AA168" s="101" t="str">
        <f>IF(ISNUMBER(MATCH(F168, '[1]Can Matrix'!M:M, 0)), "Y", "N")</f>
        <v>Y</v>
      </c>
      <c r="AB168" s="5"/>
      <c r="AC168" s="5"/>
    </row>
    <row r="169" spans="1:29" ht="16.8">
      <c r="A169" s="17"/>
      <c r="B169" s="17"/>
      <c r="C169" s="17"/>
      <c r="D169" s="17" t="s">
        <v>143</v>
      </c>
      <c r="E169" s="17"/>
      <c r="F169" s="17" t="s">
        <v>6005</v>
      </c>
      <c r="G169" s="17" t="s">
        <v>6005</v>
      </c>
      <c r="H169" s="17"/>
      <c r="I169" s="97">
        <f>VLOOKUP(F169, '[1]Can Matrix'!$M:$X, 2, FALSE)</f>
        <v>12</v>
      </c>
      <c r="J169" s="17" t="str">
        <f t="shared" si="3"/>
        <v>uint16</v>
      </c>
      <c r="K169" s="17"/>
      <c r="L169" s="17"/>
      <c r="M169" s="100" t="str">
        <f>'[1]Can Matrix'!$R$2</f>
        <v>Unsigned</v>
      </c>
      <c r="N169" s="101" t="str">
        <f>IFERROR(IF(VLOOKUP(F169, '[1]Can Matrix'!$M:$X, 12, FALSE)=0, "", "TMS_Enum_" &amp; VLOOKUP(F169, '[1]Can Matrix'!$M:$X, 12, FALSE)), "")</f>
        <v/>
      </c>
      <c r="O169" s="17"/>
      <c r="P169" s="17"/>
      <c r="Q169" s="17"/>
      <c r="R169" s="17"/>
      <c r="S169" s="17"/>
      <c r="T169" s="17"/>
      <c r="U169" s="17"/>
      <c r="V169" s="17"/>
      <c r="W169" s="17"/>
      <c r="X169" s="103"/>
      <c r="Y169" s="17"/>
      <c r="Z169" s="101" t="str">
        <f>IF(N169="", "", IF(ISNUMBER(MATCH(N169, TextTables!A:A, 0)), "Y", "N"))</f>
        <v/>
      </c>
      <c r="AA169" s="101" t="str">
        <f>IF(ISNUMBER(MATCH(F169, '[1]Can Matrix'!M:M, 0)), "Y", "N")</f>
        <v>Y</v>
      </c>
      <c r="AB169" s="5"/>
      <c r="AC169" s="5"/>
    </row>
    <row r="170" spans="1:29" ht="16.8">
      <c r="A170" s="17"/>
      <c r="B170" s="17"/>
      <c r="C170" s="17"/>
      <c r="D170" s="17" t="s">
        <v>143</v>
      </c>
      <c r="E170" s="17"/>
      <c r="F170" s="17" t="s">
        <v>6006</v>
      </c>
      <c r="G170" s="17" t="s">
        <v>6006</v>
      </c>
      <c r="H170" s="17"/>
      <c r="I170" s="97">
        <f>VLOOKUP(F170, '[1]Can Matrix'!$M:$X, 2, FALSE)</f>
        <v>1</v>
      </c>
      <c r="J170" s="17" t="str">
        <f t="shared" si="3"/>
        <v>uint8</v>
      </c>
      <c r="K170" s="17"/>
      <c r="L170" s="17"/>
      <c r="M170" s="100" t="str">
        <f>'[1]Can Matrix'!$R$2</f>
        <v>Unsigned</v>
      </c>
      <c r="N170" s="101" t="str">
        <f>IFERROR(IF(VLOOKUP(F170, '[1]Can Matrix'!$M:$X, 12, FALSE)=0, "", "TMS_Enum_" &amp; VLOOKUP(F170, '[1]Can Matrix'!$M:$X, 12, FALSE)), "")</f>
        <v>TMS_Enum_HvacTIfQf</v>
      </c>
      <c r="O170" s="17"/>
      <c r="P170" s="17"/>
      <c r="Q170" s="17"/>
      <c r="R170" s="17"/>
      <c r="S170" s="17"/>
      <c r="T170" s="17"/>
      <c r="U170" s="17"/>
      <c r="V170" s="17"/>
      <c r="W170" s="17"/>
      <c r="X170" s="103"/>
      <c r="Y170" s="17"/>
      <c r="Z170" s="101" t="str">
        <f>IF(N170="", "", IF(ISNUMBER(MATCH(N170, TextTables!A:A, 0)), "Y", "N"))</f>
        <v>Y</v>
      </c>
      <c r="AA170" s="101" t="str">
        <f>IF(ISNUMBER(MATCH(F170, '[1]Can Matrix'!M:M, 0)), "Y", "N")</f>
        <v>Y</v>
      </c>
      <c r="AB170" s="5"/>
      <c r="AC170" s="5"/>
    </row>
    <row r="171" spans="1:29" ht="16.8">
      <c r="A171" s="17"/>
      <c r="B171" s="17"/>
      <c r="C171" s="17"/>
      <c r="D171" s="17" t="s">
        <v>143</v>
      </c>
      <c r="E171" s="17"/>
      <c r="F171" s="17" t="s">
        <v>6007</v>
      </c>
      <c r="G171" s="17" t="s">
        <v>6007</v>
      </c>
      <c r="H171" s="17"/>
      <c r="I171" s="97">
        <f>VLOOKUP(F171, '[1]Can Matrix'!$M:$X, 2, FALSE)</f>
        <v>12</v>
      </c>
      <c r="J171" s="17" t="str">
        <f t="shared" si="3"/>
        <v>uint16</v>
      </c>
      <c r="K171" s="17"/>
      <c r="L171" s="17"/>
      <c r="M171" s="100" t="str">
        <f>'[1]Can Matrix'!$R$2</f>
        <v>Unsigned</v>
      </c>
      <c r="N171" s="101" t="str">
        <f>IFERROR(IF(VLOOKUP(F171, '[1]Can Matrix'!$M:$X, 12, FALSE)=0, "", "TMS_Enum_" &amp; VLOOKUP(F171, '[1]Can Matrix'!$M:$X, 12, FALSE)), "")</f>
        <v/>
      </c>
      <c r="O171" s="17"/>
      <c r="P171" s="17"/>
      <c r="Q171" s="17"/>
      <c r="R171" s="17"/>
      <c r="S171" s="17"/>
      <c r="T171" s="17"/>
      <c r="U171" s="17"/>
      <c r="V171" s="17"/>
      <c r="W171" s="17"/>
      <c r="X171" s="103"/>
      <c r="Y171" s="17"/>
      <c r="Z171" s="101" t="str">
        <f>IF(N171="", "", IF(ISNUMBER(MATCH(N171, TextTables!A:A, 0)), "Y", "N"))</f>
        <v/>
      </c>
      <c r="AA171" s="101" t="str">
        <f>IF(ISNUMBER(MATCH(F171, '[1]Can Matrix'!M:M, 0)), "Y", "N")</f>
        <v>Y</v>
      </c>
      <c r="AB171" s="5"/>
      <c r="AC171" s="5"/>
    </row>
    <row r="172" spans="1:29" ht="16.8">
      <c r="A172" s="17"/>
      <c r="B172" s="17"/>
      <c r="C172" s="17"/>
      <c r="D172" s="17" t="s">
        <v>143</v>
      </c>
      <c r="E172" s="17"/>
      <c r="F172" s="17" t="s">
        <v>6008</v>
      </c>
      <c r="G172" s="17" t="s">
        <v>6008</v>
      </c>
      <c r="H172" s="17"/>
      <c r="I172" s="97">
        <f>VLOOKUP(F172, '[1]Can Matrix'!$M:$X, 2, FALSE)</f>
        <v>1</v>
      </c>
      <c r="J172" s="17" t="str">
        <f t="shared" si="3"/>
        <v>uint8</v>
      </c>
      <c r="K172" s="17"/>
      <c r="L172" s="17"/>
      <c r="M172" s="100" t="str">
        <f>'[1]Can Matrix'!$R$2</f>
        <v>Unsigned</v>
      </c>
      <c r="N172" s="101" t="str">
        <f>IFERROR(IF(VLOOKUP(F172, '[1]Can Matrix'!$M:$X, 12, FALSE)=0, "", "TMS_Enum_" &amp; VLOOKUP(F172, '[1]Can Matrix'!$M:$X, 12, FALSE)), "")</f>
        <v>TMS_Enum_HvacTIfQf</v>
      </c>
      <c r="O172" s="17"/>
      <c r="P172" s="17"/>
      <c r="Q172" s="17"/>
      <c r="R172" s="17"/>
      <c r="S172" s="17"/>
      <c r="T172" s="17"/>
      <c r="U172" s="17"/>
      <c r="V172" s="17"/>
      <c r="W172" s="17"/>
      <c r="X172" s="103"/>
      <c r="Y172" s="17"/>
      <c r="Z172" s="101" t="str">
        <f>IF(N172="", "", IF(ISNUMBER(MATCH(N172, TextTables!A:A, 0)), "Y", "N"))</f>
        <v>Y</v>
      </c>
      <c r="AA172" s="101" t="str">
        <f>IF(ISNUMBER(MATCH(F172, '[1]Can Matrix'!M:M, 0)), "Y", "N")</f>
        <v>Y</v>
      </c>
      <c r="AB172" s="5"/>
      <c r="AC172" s="5"/>
    </row>
    <row r="173" spans="1:29" ht="16.8">
      <c r="A173" s="17"/>
      <c r="B173" s="17"/>
      <c r="C173" s="17"/>
      <c r="D173" s="17" t="s">
        <v>143</v>
      </c>
      <c r="E173" s="17"/>
      <c r="F173" s="17" t="s">
        <v>6009</v>
      </c>
      <c r="G173" s="17" t="s">
        <v>6009</v>
      </c>
      <c r="H173" s="17"/>
      <c r="I173" s="97">
        <f>VLOOKUP(F173, '[1]Can Matrix'!$M:$X, 2, FALSE)</f>
        <v>12</v>
      </c>
      <c r="J173" s="17" t="str">
        <f t="shared" si="3"/>
        <v>uint16</v>
      </c>
      <c r="K173" s="17"/>
      <c r="L173" s="17"/>
      <c r="M173" s="100" t="str">
        <f>'[1]Can Matrix'!$R$2</f>
        <v>Unsigned</v>
      </c>
      <c r="N173" s="101" t="str">
        <f>IFERROR(IF(VLOOKUP(F173, '[1]Can Matrix'!$M:$X, 12, FALSE)=0, "", "TMS_Enum_" &amp; VLOOKUP(F173, '[1]Can Matrix'!$M:$X, 12, FALSE)), "")</f>
        <v/>
      </c>
      <c r="O173" s="17"/>
      <c r="P173" s="17"/>
      <c r="Q173" s="17"/>
      <c r="R173" s="17"/>
      <c r="S173" s="17"/>
      <c r="T173" s="17"/>
      <c r="U173" s="17"/>
      <c r="V173" s="17"/>
      <c r="W173" s="17"/>
      <c r="X173" s="103"/>
      <c r="Y173" s="17"/>
      <c r="Z173" s="101" t="str">
        <f>IF(N173="", "", IF(ISNUMBER(MATCH(N173, TextTables!A:A, 0)), "Y", "N"))</f>
        <v/>
      </c>
      <c r="AA173" s="101" t="str">
        <f>IF(ISNUMBER(MATCH(F173, '[1]Can Matrix'!M:M, 0)), "Y", "N")</f>
        <v>Y</v>
      </c>
      <c r="AB173" s="5"/>
      <c r="AC173" s="5"/>
    </row>
    <row r="174" spans="1:29" ht="16.8">
      <c r="A174" s="17"/>
      <c r="B174" s="17"/>
      <c r="C174" s="17"/>
      <c r="D174" s="17" t="s">
        <v>143</v>
      </c>
      <c r="E174" s="17"/>
      <c r="F174" s="17" t="s">
        <v>6010</v>
      </c>
      <c r="G174" s="17" t="s">
        <v>6010</v>
      </c>
      <c r="H174" s="17"/>
      <c r="I174" s="97">
        <f>VLOOKUP(F174, '[1]Can Matrix'!$M:$X, 2, FALSE)</f>
        <v>1</v>
      </c>
      <c r="J174" s="17" t="str">
        <f t="shared" si="3"/>
        <v>uint8</v>
      </c>
      <c r="K174" s="17"/>
      <c r="L174" s="17"/>
      <c r="M174" s="100" t="str">
        <f>'[1]Can Matrix'!$R$2</f>
        <v>Unsigned</v>
      </c>
      <c r="N174" s="101" t="str">
        <f>IFERROR(IF(VLOOKUP(F174, '[1]Can Matrix'!$M:$X, 12, FALSE)=0, "", "TMS_Enum_" &amp; VLOOKUP(F174, '[1]Can Matrix'!$M:$X, 12, FALSE)), "")</f>
        <v>TMS_Enum_HvacTIfQf</v>
      </c>
      <c r="O174" s="17"/>
      <c r="P174" s="17"/>
      <c r="Q174" s="17"/>
      <c r="R174" s="17"/>
      <c r="S174" s="17"/>
      <c r="T174" s="17"/>
      <c r="U174" s="17"/>
      <c r="V174" s="17"/>
      <c r="W174" s="17"/>
      <c r="X174" s="103"/>
      <c r="Y174" s="17"/>
      <c r="Z174" s="101" t="str">
        <f>IF(N174="", "", IF(ISNUMBER(MATCH(N174, TextTables!A:A, 0)), "Y", "N"))</f>
        <v>Y</v>
      </c>
      <c r="AA174" s="101" t="str">
        <f>IF(ISNUMBER(MATCH(F174, '[1]Can Matrix'!M:M, 0)), "Y", "N")</f>
        <v>Y</v>
      </c>
      <c r="AB174" s="5"/>
      <c r="AC174" s="5"/>
    </row>
    <row r="175" spans="1:29" ht="16.8">
      <c r="A175" s="17"/>
      <c r="B175" s="17"/>
      <c r="C175" s="17"/>
      <c r="D175" s="17" t="s">
        <v>143</v>
      </c>
      <c r="E175" s="17"/>
      <c r="F175" s="17" t="s">
        <v>6011</v>
      </c>
      <c r="G175" s="17" t="s">
        <v>6011</v>
      </c>
      <c r="H175" s="17"/>
      <c r="I175" s="97">
        <f>VLOOKUP(F175, '[1]Can Matrix'!$M:$X, 2, FALSE)</f>
        <v>12</v>
      </c>
      <c r="J175" s="17" t="str">
        <f t="shared" si="3"/>
        <v>uint16</v>
      </c>
      <c r="K175" s="17"/>
      <c r="L175" s="17"/>
      <c r="M175" s="100" t="str">
        <f>'[1]Can Matrix'!$R$2</f>
        <v>Unsigned</v>
      </c>
      <c r="N175" s="101" t="str">
        <f>IFERROR(IF(VLOOKUP(F175, '[1]Can Matrix'!$M:$X, 12, FALSE)=0, "", "TMS_Enum_" &amp; VLOOKUP(F175, '[1]Can Matrix'!$M:$X, 12, FALSE)), "")</f>
        <v/>
      </c>
      <c r="O175" s="17"/>
      <c r="P175" s="17"/>
      <c r="Q175" s="17"/>
      <c r="R175" s="17"/>
      <c r="S175" s="17"/>
      <c r="T175" s="17"/>
      <c r="U175" s="17"/>
      <c r="V175" s="17"/>
      <c r="W175" s="17"/>
      <c r="X175" s="103"/>
      <c r="Y175" s="17"/>
      <c r="Z175" s="101" t="str">
        <f>IF(N175="", "", IF(ISNUMBER(MATCH(N175, TextTables!A:A, 0)), "Y", "N"))</f>
        <v/>
      </c>
      <c r="AA175" s="101" t="str">
        <f>IF(ISNUMBER(MATCH(F175, '[1]Can Matrix'!M:M, 0)), "Y", "N")</f>
        <v>Y</v>
      </c>
      <c r="AB175" s="5"/>
      <c r="AC175" s="5"/>
    </row>
    <row r="176" spans="1:29" ht="16.8">
      <c r="A176" s="17"/>
      <c r="B176" s="17"/>
      <c r="C176" s="17"/>
      <c r="D176" s="17" t="s">
        <v>143</v>
      </c>
      <c r="E176" s="17"/>
      <c r="F176" s="17" t="s">
        <v>6012</v>
      </c>
      <c r="G176" s="17" t="s">
        <v>6012</v>
      </c>
      <c r="H176" s="17"/>
      <c r="I176" s="97">
        <f>VLOOKUP(F176, '[1]Can Matrix'!$M:$X, 2, FALSE)</f>
        <v>1</v>
      </c>
      <c r="J176" s="17" t="str">
        <f t="shared" si="3"/>
        <v>uint8</v>
      </c>
      <c r="K176" s="17"/>
      <c r="L176" s="17"/>
      <c r="M176" s="100" t="str">
        <f>'[1]Can Matrix'!$R$2</f>
        <v>Unsigned</v>
      </c>
      <c r="N176" s="101" t="str">
        <f>IFERROR(IF(VLOOKUP(F176, '[1]Can Matrix'!$M:$X, 12, FALSE)=0, "", "TMS_Enum_" &amp; VLOOKUP(F176, '[1]Can Matrix'!$M:$X, 12, FALSE)), "")</f>
        <v>TMS_Enum_HvacTIfQf</v>
      </c>
      <c r="O176" s="17"/>
      <c r="P176" s="17"/>
      <c r="Q176" s="17"/>
      <c r="R176" s="17"/>
      <c r="S176" s="17"/>
      <c r="T176" s="17"/>
      <c r="U176" s="17"/>
      <c r="V176" s="17"/>
      <c r="W176" s="17"/>
      <c r="X176" s="103"/>
      <c r="Y176" s="17"/>
      <c r="Z176" s="101" t="str">
        <f>IF(N176="", "", IF(ISNUMBER(MATCH(N176, TextTables!A:A, 0)), "Y", "N"))</f>
        <v>Y</v>
      </c>
      <c r="AA176" s="101" t="str">
        <f>IF(ISNUMBER(MATCH(F176, '[1]Can Matrix'!M:M, 0)), "Y", "N")</f>
        <v>Y</v>
      </c>
      <c r="AB176" s="5"/>
      <c r="AC176" s="5"/>
    </row>
    <row r="177" spans="1:29" ht="16.8">
      <c r="A177" s="17"/>
      <c r="B177" s="17"/>
      <c r="C177" s="17"/>
      <c r="D177" s="17" t="s">
        <v>143</v>
      </c>
      <c r="E177" s="17"/>
      <c r="F177" s="17" t="s">
        <v>6013</v>
      </c>
      <c r="G177" s="17" t="s">
        <v>6013</v>
      </c>
      <c r="H177" s="17"/>
      <c r="I177" s="97">
        <f>VLOOKUP(F177, '[1]Can Matrix'!$M:$X, 2, FALSE)</f>
        <v>12</v>
      </c>
      <c r="J177" s="17" t="str">
        <f t="shared" si="3"/>
        <v>uint16</v>
      </c>
      <c r="K177" s="17"/>
      <c r="L177" s="17"/>
      <c r="M177" s="100" t="str">
        <f>'[1]Can Matrix'!$R$2</f>
        <v>Unsigned</v>
      </c>
      <c r="N177" s="101" t="str">
        <f>IFERROR(IF(VLOOKUP(F177, '[1]Can Matrix'!$M:$X, 12, FALSE)=0, "", "TMS_Enum_" &amp; VLOOKUP(F177, '[1]Can Matrix'!$M:$X, 12, FALSE)), "")</f>
        <v/>
      </c>
      <c r="O177" s="17"/>
      <c r="P177" s="17"/>
      <c r="Q177" s="17"/>
      <c r="R177" s="17"/>
      <c r="S177" s="17"/>
      <c r="T177" s="17"/>
      <c r="U177" s="17"/>
      <c r="V177" s="17"/>
      <c r="W177" s="17"/>
      <c r="X177" s="103"/>
      <c r="Y177" s="17"/>
      <c r="Z177" s="101" t="str">
        <f>IF(N177="", "", IF(ISNUMBER(MATCH(N177, TextTables!A:A, 0)), "Y", "N"))</f>
        <v/>
      </c>
      <c r="AA177" s="101" t="str">
        <f>IF(ISNUMBER(MATCH(F177, '[1]Can Matrix'!M:M, 0)), "Y", "N")</f>
        <v>Y</v>
      </c>
      <c r="AB177" s="5"/>
      <c r="AC177" s="5"/>
    </row>
    <row r="178" spans="1:29" ht="16.8">
      <c r="A178" s="17"/>
      <c r="B178" s="17"/>
      <c r="C178" s="17"/>
      <c r="D178" s="17" t="s">
        <v>143</v>
      </c>
      <c r="E178" s="17"/>
      <c r="F178" s="17" t="s">
        <v>6014</v>
      </c>
      <c r="G178" s="17" t="s">
        <v>6014</v>
      </c>
      <c r="H178" s="17"/>
      <c r="I178" s="97">
        <f>VLOOKUP(F178, '[1]Can Matrix'!$M:$X, 2, FALSE)</f>
        <v>1</v>
      </c>
      <c r="J178" s="17" t="str">
        <f t="shared" si="3"/>
        <v>uint8</v>
      </c>
      <c r="K178" s="17"/>
      <c r="L178" s="17"/>
      <c r="M178" s="100" t="str">
        <f>'[1]Can Matrix'!$R$2</f>
        <v>Unsigned</v>
      </c>
      <c r="N178" s="101" t="str">
        <f>IFERROR(IF(VLOOKUP(F178, '[1]Can Matrix'!$M:$X, 12, FALSE)=0, "", "TMS_Enum_" &amp; VLOOKUP(F178, '[1]Can Matrix'!$M:$X, 12, FALSE)), "")</f>
        <v>TMS_Enum_HvacTIfQf</v>
      </c>
      <c r="O178" s="17"/>
      <c r="P178" s="17"/>
      <c r="Q178" s="17"/>
      <c r="R178" s="17"/>
      <c r="S178" s="17"/>
      <c r="T178" s="17"/>
      <c r="U178" s="17"/>
      <c r="V178" s="17"/>
      <c r="W178" s="17"/>
      <c r="X178" s="103"/>
      <c r="Y178" s="17"/>
      <c r="Z178" s="101" t="str">
        <f>IF(N178="", "", IF(ISNUMBER(MATCH(N178, TextTables!A:A, 0)), "Y", "N"))</f>
        <v>Y</v>
      </c>
      <c r="AA178" s="101" t="str">
        <f>IF(ISNUMBER(MATCH(F178, '[1]Can Matrix'!M:M, 0)), "Y", "N")</f>
        <v>Y</v>
      </c>
      <c r="AB178" s="5"/>
      <c r="AC178" s="5"/>
    </row>
    <row r="179" spans="1:29" ht="16.8">
      <c r="A179" s="17"/>
      <c r="B179" s="17"/>
      <c r="C179" s="17"/>
      <c r="D179" s="17" t="s">
        <v>143</v>
      </c>
      <c r="E179" s="17"/>
      <c r="F179" s="17" t="s">
        <v>6015</v>
      </c>
      <c r="G179" s="17" t="s">
        <v>6015</v>
      </c>
      <c r="H179" s="17"/>
      <c r="I179" s="97">
        <f>VLOOKUP(F179, '[1]Can Matrix'!$M:$X, 2, FALSE)</f>
        <v>12</v>
      </c>
      <c r="J179" s="17" t="str">
        <f t="shared" si="3"/>
        <v>uint16</v>
      </c>
      <c r="K179" s="17"/>
      <c r="L179" s="17"/>
      <c r="M179" s="100" t="str">
        <f>'[1]Can Matrix'!$R$2</f>
        <v>Unsigned</v>
      </c>
      <c r="N179" s="101" t="str">
        <f>IFERROR(IF(VLOOKUP(F179, '[1]Can Matrix'!$M:$X, 12, FALSE)=0, "", "TMS_Enum_" &amp; VLOOKUP(F179, '[1]Can Matrix'!$M:$X, 12, FALSE)), "")</f>
        <v/>
      </c>
      <c r="O179" s="17"/>
      <c r="P179" s="17"/>
      <c r="Q179" s="17"/>
      <c r="R179" s="17"/>
      <c r="S179" s="17"/>
      <c r="T179" s="17"/>
      <c r="U179" s="17"/>
      <c r="V179" s="17"/>
      <c r="W179" s="17"/>
      <c r="X179" s="103"/>
      <c r="Y179" s="17"/>
      <c r="Z179" s="101" t="str">
        <f>IF(N179="", "", IF(ISNUMBER(MATCH(N179, TextTables!A:A, 0)), "Y", "N"))</f>
        <v/>
      </c>
      <c r="AA179" s="101" t="str">
        <f>IF(ISNUMBER(MATCH(F179, '[1]Can Matrix'!M:M, 0)), "Y", "N")</f>
        <v>Y</v>
      </c>
      <c r="AB179" s="5"/>
      <c r="AC179" s="5"/>
    </row>
    <row r="180" spans="1:29" ht="16.8">
      <c r="A180" s="17"/>
      <c r="B180" s="17"/>
      <c r="C180" s="17"/>
      <c r="D180" s="17" t="s">
        <v>143</v>
      </c>
      <c r="E180" s="17"/>
      <c r="F180" s="17" t="s">
        <v>6016</v>
      </c>
      <c r="G180" s="17" t="s">
        <v>6016</v>
      </c>
      <c r="H180" s="17"/>
      <c r="I180" s="97">
        <f>VLOOKUP(F180, '[1]Can Matrix'!$M:$X, 2, FALSE)</f>
        <v>1</v>
      </c>
      <c r="J180" s="17" t="str">
        <f t="shared" si="3"/>
        <v>uint8</v>
      </c>
      <c r="K180" s="17"/>
      <c r="L180" s="17"/>
      <c r="M180" s="100" t="str">
        <f>'[1]Can Matrix'!$R$2</f>
        <v>Unsigned</v>
      </c>
      <c r="N180" s="101" t="str">
        <f>IFERROR(IF(VLOOKUP(F180, '[1]Can Matrix'!$M:$X, 12, FALSE)=0, "", "TMS_Enum_" &amp; VLOOKUP(F180, '[1]Can Matrix'!$M:$X, 12, FALSE)), "")</f>
        <v>TMS_Enum_HvacTIfQf</v>
      </c>
      <c r="O180" s="17"/>
      <c r="P180" s="17"/>
      <c r="Q180" s="17"/>
      <c r="R180" s="17"/>
      <c r="S180" s="17"/>
      <c r="T180" s="17"/>
      <c r="U180" s="17"/>
      <c r="V180" s="17"/>
      <c r="W180" s="17"/>
      <c r="X180" s="103"/>
      <c r="Y180" s="17"/>
      <c r="Z180" s="101" t="str">
        <f>IF(N180="", "", IF(ISNUMBER(MATCH(N180, TextTables!A:A, 0)), "Y", "N"))</f>
        <v>Y</v>
      </c>
      <c r="AA180" s="101" t="str">
        <f>IF(ISNUMBER(MATCH(F180, '[1]Can Matrix'!M:M, 0)), "Y", "N")</f>
        <v>Y</v>
      </c>
      <c r="AB180" s="5"/>
      <c r="AC180" s="5"/>
    </row>
    <row r="181" spans="1:29" ht="16.8">
      <c r="A181" s="17"/>
      <c r="B181" s="17"/>
      <c r="C181" s="17"/>
      <c r="D181" s="17" t="s">
        <v>143</v>
      </c>
      <c r="E181" s="17"/>
      <c r="F181" s="17" t="s">
        <v>6017</v>
      </c>
      <c r="G181" s="17" t="s">
        <v>6017</v>
      </c>
      <c r="H181" s="17"/>
      <c r="I181" s="97">
        <f>VLOOKUP(F181, '[1]Can Matrix'!$M:$X, 2, FALSE)</f>
        <v>12</v>
      </c>
      <c r="J181" s="17" t="str">
        <f t="shared" si="3"/>
        <v>uint16</v>
      </c>
      <c r="K181" s="17"/>
      <c r="L181" s="17"/>
      <c r="M181" s="100" t="str">
        <f>'[1]Can Matrix'!$R$2</f>
        <v>Unsigned</v>
      </c>
      <c r="N181" s="101" t="str">
        <f>IFERROR(IF(VLOOKUP(F181, '[1]Can Matrix'!$M:$X, 12, FALSE)=0, "", "TMS_Enum_" &amp; VLOOKUP(F181, '[1]Can Matrix'!$M:$X, 12, FALSE)), "")</f>
        <v/>
      </c>
      <c r="O181" s="17"/>
      <c r="P181" s="17"/>
      <c r="Q181" s="17"/>
      <c r="R181" s="17"/>
      <c r="S181" s="17"/>
      <c r="T181" s="17"/>
      <c r="U181" s="17"/>
      <c r="V181" s="17"/>
      <c r="W181" s="17"/>
      <c r="X181" s="103"/>
      <c r="Y181" s="17"/>
      <c r="Z181" s="101" t="str">
        <f>IF(N181="", "", IF(ISNUMBER(MATCH(N181, TextTables!A:A, 0)), "Y", "N"))</f>
        <v/>
      </c>
      <c r="AA181" s="101" t="str">
        <f>IF(ISNUMBER(MATCH(F181, '[1]Can Matrix'!M:M, 0)), "Y", "N")</f>
        <v>Y</v>
      </c>
      <c r="AB181" s="5"/>
      <c r="AC181" s="5"/>
    </row>
    <row r="182" spans="1:29" ht="16.8">
      <c r="A182" s="17"/>
      <c r="B182" s="17"/>
      <c r="C182" s="17"/>
      <c r="D182" s="17" t="s">
        <v>143</v>
      </c>
      <c r="E182" s="17"/>
      <c r="F182" s="17" t="s">
        <v>6018</v>
      </c>
      <c r="G182" s="17" t="s">
        <v>6018</v>
      </c>
      <c r="H182" s="17"/>
      <c r="I182" s="97">
        <f>VLOOKUP(F182, '[1]Can Matrix'!$M:$X, 2, FALSE)</f>
        <v>1</v>
      </c>
      <c r="J182" s="17" t="str">
        <f t="shared" si="3"/>
        <v>uint8</v>
      </c>
      <c r="K182" s="17"/>
      <c r="L182" s="17"/>
      <c r="M182" s="100" t="str">
        <f>'[1]Can Matrix'!$R$2</f>
        <v>Unsigned</v>
      </c>
      <c r="N182" s="101" t="str">
        <f>IFERROR(IF(VLOOKUP(F182, '[1]Can Matrix'!$M:$X, 12, FALSE)=0, "", "TMS_Enum_" &amp; VLOOKUP(F182, '[1]Can Matrix'!$M:$X, 12, FALSE)), "")</f>
        <v>TMS_Enum_HvacTIfQf</v>
      </c>
      <c r="O182" s="17"/>
      <c r="P182" s="17"/>
      <c r="Q182" s="17"/>
      <c r="R182" s="17"/>
      <c r="S182" s="17"/>
      <c r="T182" s="17"/>
      <c r="U182" s="17"/>
      <c r="V182" s="17"/>
      <c r="W182" s="17"/>
      <c r="X182" s="103"/>
      <c r="Y182" s="17"/>
      <c r="Z182" s="101" t="str">
        <f>IF(N182="", "", IF(ISNUMBER(MATCH(N182, TextTables!A:A, 0)), "Y", "N"))</f>
        <v>Y</v>
      </c>
      <c r="AA182" s="101" t="str">
        <f>IF(ISNUMBER(MATCH(F182, '[1]Can Matrix'!M:M, 0)), "Y", "N")</f>
        <v>Y</v>
      </c>
      <c r="AB182" s="5"/>
      <c r="AC182" s="5"/>
    </row>
    <row r="183" spans="1:29" ht="16.8">
      <c r="A183" s="17"/>
      <c r="B183" s="17"/>
      <c r="C183" s="17"/>
      <c r="D183" s="17" t="s">
        <v>143</v>
      </c>
      <c r="E183" s="17"/>
      <c r="F183" s="17" t="s">
        <v>6019</v>
      </c>
      <c r="G183" s="17" t="s">
        <v>6019</v>
      </c>
      <c r="H183" s="17"/>
      <c r="I183" s="97">
        <f>VLOOKUP(F183, '[1]Can Matrix'!$M:$X, 2, FALSE)</f>
        <v>12</v>
      </c>
      <c r="J183" s="17" t="str">
        <f t="shared" si="3"/>
        <v>uint16</v>
      </c>
      <c r="K183" s="17"/>
      <c r="L183" s="17"/>
      <c r="M183" s="100" t="str">
        <f>'[1]Can Matrix'!$R$2</f>
        <v>Unsigned</v>
      </c>
      <c r="N183" s="101" t="str">
        <f>IFERROR(IF(VLOOKUP(F183, '[1]Can Matrix'!$M:$X, 12, FALSE)=0, "", "TMS_Enum_" &amp; VLOOKUP(F183, '[1]Can Matrix'!$M:$X, 12, FALSE)), "")</f>
        <v/>
      </c>
      <c r="O183" s="17"/>
      <c r="P183" s="17"/>
      <c r="Q183" s="17"/>
      <c r="R183" s="17"/>
      <c r="S183" s="17"/>
      <c r="T183" s="17"/>
      <c r="U183" s="17"/>
      <c r="V183" s="17"/>
      <c r="W183" s="17"/>
      <c r="X183" s="103"/>
      <c r="Y183" s="17"/>
      <c r="Z183" s="101" t="str">
        <f>IF(N183="", "", IF(ISNUMBER(MATCH(N183, TextTables!A:A, 0)), "Y", "N"))</f>
        <v/>
      </c>
      <c r="AA183" s="101" t="str">
        <f>IF(ISNUMBER(MATCH(F183, '[1]Can Matrix'!M:M, 0)), "Y", "N")</f>
        <v>Y</v>
      </c>
      <c r="AB183" s="5"/>
      <c r="AC183" s="5"/>
    </row>
    <row r="184" spans="1:29" ht="16.8">
      <c r="A184" s="17"/>
      <c r="B184" s="17"/>
      <c r="C184" s="17"/>
      <c r="D184" s="17" t="s">
        <v>143</v>
      </c>
      <c r="E184" s="17"/>
      <c r="F184" s="17" t="s">
        <v>6020</v>
      </c>
      <c r="G184" s="17" t="s">
        <v>6020</v>
      </c>
      <c r="H184" s="17"/>
      <c r="I184" s="97">
        <f>VLOOKUP(F184, '[1]Can Matrix'!$M:$X, 2, FALSE)</f>
        <v>1</v>
      </c>
      <c r="J184" s="17" t="str">
        <f t="shared" si="3"/>
        <v>uint8</v>
      </c>
      <c r="K184" s="17"/>
      <c r="L184" s="17"/>
      <c r="M184" s="100" t="str">
        <f>'[1]Can Matrix'!$R$2</f>
        <v>Unsigned</v>
      </c>
      <c r="N184" s="101" t="str">
        <f>IFERROR(IF(VLOOKUP(F184, '[1]Can Matrix'!$M:$X, 12, FALSE)=0, "", "TMS_Enum_" &amp; VLOOKUP(F184, '[1]Can Matrix'!$M:$X, 12, FALSE)), "")</f>
        <v>TMS_Enum_HvacTIfQf</v>
      </c>
      <c r="O184" s="17"/>
      <c r="P184" s="17"/>
      <c r="Q184" s="17"/>
      <c r="R184" s="17"/>
      <c r="S184" s="17"/>
      <c r="T184" s="17"/>
      <c r="U184" s="17"/>
      <c r="V184" s="17"/>
      <c r="W184" s="17"/>
      <c r="X184" s="103"/>
      <c r="Y184" s="17"/>
      <c r="Z184" s="101" t="str">
        <f>IF(N184="", "", IF(ISNUMBER(MATCH(N184, TextTables!A:A, 0)), "Y", "N"))</f>
        <v>Y</v>
      </c>
      <c r="AA184" s="101" t="str">
        <f>IF(ISNUMBER(MATCH(F184, '[1]Can Matrix'!M:M, 0)), "Y", "N")</f>
        <v>Y</v>
      </c>
      <c r="AB184" s="5"/>
      <c r="AC184" s="5"/>
    </row>
    <row r="185" spans="1:29" ht="16.8">
      <c r="A185" s="17"/>
      <c r="B185" s="17"/>
      <c r="C185" s="17"/>
      <c r="D185" s="17" t="s">
        <v>143</v>
      </c>
      <c r="E185" s="17"/>
      <c r="F185" s="17" t="s">
        <v>6021</v>
      </c>
      <c r="G185" s="17" t="s">
        <v>6021</v>
      </c>
      <c r="H185" s="17"/>
      <c r="I185" s="97">
        <f>VLOOKUP(F185, '[1]Can Matrix'!$M:$X, 2, FALSE)</f>
        <v>12</v>
      </c>
      <c r="J185" s="17" t="str">
        <f t="shared" si="3"/>
        <v>uint16</v>
      </c>
      <c r="K185" s="17"/>
      <c r="L185" s="17"/>
      <c r="M185" s="100" t="str">
        <f>'[1]Can Matrix'!$R$2</f>
        <v>Unsigned</v>
      </c>
      <c r="N185" s="101" t="str">
        <f>IFERROR(IF(VLOOKUP(F185, '[1]Can Matrix'!$M:$X, 12, FALSE)=0, "", "TMS_Enum_" &amp; VLOOKUP(F185, '[1]Can Matrix'!$M:$X, 12, FALSE)), "")</f>
        <v/>
      </c>
      <c r="O185" s="17"/>
      <c r="P185" s="17"/>
      <c r="Q185" s="17"/>
      <c r="R185" s="17"/>
      <c r="S185" s="17"/>
      <c r="T185" s="17"/>
      <c r="U185" s="17"/>
      <c r="V185" s="17"/>
      <c r="W185" s="17"/>
      <c r="X185" s="103"/>
      <c r="Y185" s="17"/>
      <c r="Z185" s="101" t="str">
        <f>IF(N185="", "", IF(ISNUMBER(MATCH(N185, TextTables!A:A, 0)), "Y", "N"))</f>
        <v/>
      </c>
      <c r="AA185" s="101" t="str">
        <f>IF(ISNUMBER(MATCH(F185, '[1]Can Matrix'!M:M, 0)), "Y", "N")</f>
        <v>Y</v>
      </c>
    </row>
    <row r="186" spans="1:29" ht="16.8">
      <c r="A186" s="17"/>
      <c r="B186" s="17"/>
      <c r="C186" s="17"/>
      <c r="D186" s="17" t="s">
        <v>143</v>
      </c>
      <c r="E186" s="17"/>
      <c r="F186" s="17" t="s">
        <v>6022</v>
      </c>
      <c r="G186" s="17" t="s">
        <v>6022</v>
      </c>
      <c r="H186" s="17"/>
      <c r="I186" s="97">
        <f>VLOOKUP(F186, '[1]Can Matrix'!$M:$X, 2, FALSE)</f>
        <v>3</v>
      </c>
      <c r="J186" s="17" t="str">
        <f t="shared" si="3"/>
        <v>uint8</v>
      </c>
      <c r="K186" s="17"/>
      <c r="L186" s="17"/>
      <c r="M186" s="100" t="str">
        <f>'[1]Can Matrix'!$R$2</f>
        <v>Unsigned</v>
      </c>
      <c r="N186" s="101" t="str">
        <f>IFERROR(IF(VLOOKUP(F186, '[1]Can Matrix'!$M:$X, 12, FALSE)=0, "", "TMS_Enum_" &amp; VLOOKUP(F186, '[1]Can Matrix'!$M:$X, 12, FALSE)), "")</f>
        <v>TMS_Enum_ModeCmptHp</v>
      </c>
      <c r="O186" s="17"/>
      <c r="P186" s="17"/>
      <c r="Q186" s="17"/>
      <c r="R186" s="17"/>
      <c r="S186" s="17"/>
      <c r="T186" s="17"/>
      <c r="U186" s="17"/>
      <c r="V186" s="17"/>
      <c r="W186" s="17"/>
      <c r="X186" s="103"/>
      <c r="Y186" s="17"/>
      <c r="Z186" s="101" t="str">
        <f>IF(N186="", "", IF(ISNUMBER(MATCH(N186, TextTables!A:A, 0)), "Y", "N"))</f>
        <v>Y</v>
      </c>
      <c r="AA186" s="101" t="str">
        <f>IF(ISNUMBER(MATCH(F186, '[1]Can Matrix'!M:M, 0)), "Y", "N")</f>
        <v>Y</v>
      </c>
    </row>
    <row r="187" spans="1:29" ht="16.8">
      <c r="A187" s="17"/>
      <c r="B187" s="17"/>
      <c r="C187" s="17"/>
      <c r="D187" s="17" t="s">
        <v>143</v>
      </c>
      <c r="E187" s="17"/>
      <c r="F187" s="17" t="s">
        <v>6023</v>
      </c>
      <c r="G187" s="17" t="s">
        <v>6023</v>
      </c>
      <c r="H187" s="17"/>
      <c r="I187" s="97">
        <f>VLOOKUP(F187, '[1]Can Matrix'!$M:$X, 2, FALSE)</f>
        <v>1</v>
      </c>
      <c r="J187" s="17" t="str">
        <f t="shared" si="3"/>
        <v>uint8</v>
      </c>
      <c r="K187" s="17"/>
      <c r="L187" s="17"/>
      <c r="M187" s="100" t="str">
        <f>'[1]Can Matrix'!$R$2</f>
        <v>Unsigned</v>
      </c>
      <c r="N187" s="101" t="str">
        <f>IFERROR(IF(VLOOKUP(F187, '[1]Can Matrix'!$M:$X, 12, FALSE)=0, "", "TMS_Enum_" &amp; VLOOKUP(F187, '[1]Can Matrix'!$M:$X, 12, FALSE)), "")</f>
        <v>TMS_Enum_ClimaSts</v>
      </c>
      <c r="O187" s="17"/>
      <c r="P187" s="17"/>
      <c r="Q187" s="17"/>
      <c r="R187" s="17"/>
      <c r="S187" s="17"/>
      <c r="T187" s="17"/>
      <c r="U187" s="17"/>
      <c r="V187" s="17"/>
      <c r="W187" s="17"/>
      <c r="X187" s="103"/>
      <c r="Y187" s="17"/>
      <c r="Z187" s="101" t="str">
        <f>IF(N187="", "", IF(ISNUMBER(MATCH(N187, TextTables!A:A, 0)), "Y", "N"))</f>
        <v>Y</v>
      </c>
      <c r="AA187" s="101" t="str">
        <f>IF(ISNUMBER(MATCH(F187, '[1]Can Matrix'!M:M, 0)), "Y", "N")</f>
        <v>Y</v>
      </c>
    </row>
    <row r="188" spans="1:29" ht="16.8">
      <c r="A188" s="17"/>
      <c r="B188" s="17"/>
      <c r="C188" s="17"/>
      <c r="D188" s="17" t="s">
        <v>143</v>
      </c>
      <c r="E188" s="17"/>
      <c r="F188" s="17" t="s">
        <v>6024</v>
      </c>
      <c r="G188" s="17" t="s">
        <v>6024</v>
      </c>
      <c r="H188" s="17"/>
      <c r="I188" s="97">
        <f>VLOOKUP(F188, '[1]Can Matrix'!$M:$X, 2, FALSE)</f>
        <v>12</v>
      </c>
      <c r="J188" s="17" t="str">
        <f t="shared" si="3"/>
        <v>uint16</v>
      </c>
      <c r="K188" s="17"/>
      <c r="L188" s="17"/>
      <c r="M188" s="100" t="str">
        <f>'[1]Can Matrix'!$R$2</f>
        <v>Unsigned</v>
      </c>
      <c r="N188" s="101" t="str">
        <f>IFERROR(IF(VLOOKUP(F188, '[1]Can Matrix'!$M:$X, 12, FALSE)=0, "", "TMS_Enum_" &amp; VLOOKUP(F188, '[1]Can Matrix'!$M:$X, 12, FALSE)), "")</f>
        <v/>
      </c>
      <c r="O188" s="17"/>
      <c r="P188" s="17"/>
      <c r="Q188" s="17"/>
      <c r="R188" s="17"/>
      <c r="S188" s="17"/>
      <c r="T188" s="17"/>
      <c r="U188" s="17"/>
      <c r="V188" s="17"/>
      <c r="W188" s="17"/>
      <c r="X188" s="103"/>
      <c r="Y188" s="17"/>
      <c r="Z188" s="101" t="str">
        <f>IF(N188="", "", IF(ISNUMBER(MATCH(N188, TextTables!A:A, 0)), "Y", "N"))</f>
        <v/>
      </c>
      <c r="AA188" s="101" t="str">
        <f>IF(ISNUMBER(MATCH(F188, '[1]Can Matrix'!M:M, 0)), "Y", "N")</f>
        <v>Y</v>
      </c>
    </row>
    <row r="189" spans="1:29" ht="16.8">
      <c r="A189" s="17"/>
      <c r="B189" s="17"/>
      <c r="C189" s="17"/>
      <c r="D189" s="17" t="s">
        <v>143</v>
      </c>
      <c r="E189" s="17"/>
      <c r="F189" s="17" t="s">
        <v>6025</v>
      </c>
      <c r="G189" s="17" t="s">
        <v>6025</v>
      </c>
      <c r="H189" s="17"/>
      <c r="I189" s="97">
        <f>VLOOKUP(F189, '[1]Can Matrix'!$M:$X, 2, FALSE)</f>
        <v>8</v>
      </c>
      <c r="J189" s="17" t="str">
        <f t="shared" si="3"/>
        <v>uint8</v>
      </c>
      <c r="K189" s="17"/>
      <c r="L189" s="17"/>
      <c r="M189" s="100" t="str">
        <f>'[1]Can Matrix'!$R$2</f>
        <v>Unsigned</v>
      </c>
      <c r="N189" s="101" t="str">
        <f>IFERROR(IF(VLOOKUP(F189, '[1]Can Matrix'!$M:$X, 12, FALSE)=0, "", "TMS_Enum_" &amp; VLOOKUP(F189, '[1]Can Matrix'!$M:$X, 12, FALSE)), "")</f>
        <v/>
      </c>
      <c r="O189" s="17"/>
      <c r="P189" s="17"/>
      <c r="Q189" s="17"/>
      <c r="R189" s="17"/>
      <c r="S189" s="17"/>
      <c r="T189" s="17"/>
      <c r="U189" s="17"/>
      <c r="V189" s="17"/>
      <c r="W189" s="17"/>
      <c r="X189" s="103"/>
      <c r="Y189" s="17"/>
      <c r="Z189" s="101" t="str">
        <f>IF(N189="", "", IF(ISNUMBER(MATCH(N189, TextTables!A:A, 0)), "Y", "N"))</f>
        <v/>
      </c>
      <c r="AA189" s="101" t="str">
        <f>IF(ISNUMBER(MATCH(F189, '[1]Can Matrix'!M:M, 0)), "Y", "N")</f>
        <v>Y</v>
      </c>
    </row>
    <row r="190" spans="1:29" ht="16.8">
      <c r="A190" s="17"/>
      <c r="B190" s="17"/>
      <c r="C190" s="17"/>
      <c r="D190" s="17" t="s">
        <v>143</v>
      </c>
      <c r="E190" s="17"/>
      <c r="F190" s="17" t="s">
        <v>6026</v>
      </c>
      <c r="G190" s="17" t="s">
        <v>6026</v>
      </c>
      <c r="H190" s="17"/>
      <c r="I190" s="97">
        <f>VLOOKUP(F190, '[1]Can Matrix'!$M:$X, 2, FALSE)</f>
        <v>8</v>
      </c>
      <c r="J190" s="17" t="str">
        <f t="shared" si="3"/>
        <v>uint8</v>
      </c>
      <c r="K190" s="17"/>
      <c r="L190" s="17"/>
      <c r="M190" s="100" t="str">
        <f>'[1]Can Matrix'!$R$2</f>
        <v>Unsigned</v>
      </c>
      <c r="N190" s="101" t="str">
        <f>IFERROR(IF(VLOOKUP(F190, '[1]Can Matrix'!$M:$X, 12, FALSE)=0, "", "TMS_Enum_" &amp; VLOOKUP(F190, '[1]Can Matrix'!$M:$X, 12, FALSE)), "")</f>
        <v/>
      </c>
      <c r="O190" s="17"/>
      <c r="P190" s="17"/>
      <c r="Q190" s="17"/>
      <c r="R190" s="17"/>
      <c r="S190" s="17"/>
      <c r="T190" s="17"/>
      <c r="U190" s="17"/>
      <c r="V190" s="17"/>
      <c r="W190" s="17"/>
      <c r="X190" s="103"/>
      <c r="Y190" s="17"/>
      <c r="Z190" s="101" t="str">
        <f>IF(N190="", "", IF(ISNUMBER(MATCH(N190, TextTables!A:A, 0)), "Y", "N"))</f>
        <v/>
      </c>
      <c r="AA190" s="101" t="str">
        <f>IF(ISNUMBER(MATCH(F190, '[1]Can Matrix'!M:M, 0)), "Y", "N")</f>
        <v>Y</v>
      </c>
    </row>
    <row r="191" spans="1:29" ht="16.8">
      <c r="A191" s="17"/>
      <c r="B191" s="17"/>
      <c r="C191" s="17"/>
      <c r="D191" s="17" t="s">
        <v>143</v>
      </c>
      <c r="E191" s="17"/>
      <c r="F191" s="17" t="s">
        <v>6027</v>
      </c>
      <c r="G191" s="17" t="s">
        <v>6027</v>
      </c>
      <c r="H191" s="17"/>
      <c r="I191" s="97">
        <f>VLOOKUP(F191, '[1]Can Matrix'!$M:$X, 2, FALSE)</f>
        <v>8</v>
      </c>
      <c r="J191" s="17" t="str">
        <f t="shared" si="3"/>
        <v>uint8</v>
      </c>
      <c r="K191" s="17"/>
      <c r="L191" s="17"/>
      <c r="M191" s="100" t="str">
        <f>'[1]Can Matrix'!$R$2</f>
        <v>Unsigned</v>
      </c>
      <c r="N191" s="101" t="str">
        <f>IFERROR(IF(VLOOKUP(F191, '[1]Can Matrix'!$M:$X, 12, FALSE)=0, "", "TMS_Enum_" &amp; VLOOKUP(F191, '[1]Can Matrix'!$M:$X, 12, FALSE)), "")</f>
        <v/>
      </c>
      <c r="O191" s="17"/>
      <c r="P191" s="17"/>
      <c r="Q191" s="17"/>
      <c r="R191" s="17"/>
      <c r="S191" s="17"/>
      <c r="T191" s="17"/>
      <c r="U191" s="17"/>
      <c r="V191" s="17"/>
      <c r="W191" s="17"/>
      <c r="X191" s="103"/>
      <c r="Y191" s="17"/>
      <c r="Z191" s="101" t="str">
        <f>IF(N191="", "", IF(ISNUMBER(MATCH(N191, TextTables!A:A, 0)), "Y", "N"))</f>
        <v/>
      </c>
      <c r="AA191" s="101" t="str">
        <f>IF(ISNUMBER(MATCH(F191, '[1]Can Matrix'!M:M, 0)), "Y", "N")</f>
        <v>Y</v>
      </c>
    </row>
    <row r="192" spans="1:29" ht="16.8">
      <c r="A192" s="17"/>
      <c r="B192" s="17"/>
      <c r="C192" s="17"/>
      <c r="D192" s="17" t="s">
        <v>143</v>
      </c>
      <c r="E192" s="17"/>
      <c r="F192" s="17" t="s">
        <v>6028</v>
      </c>
      <c r="G192" s="17" t="s">
        <v>6028</v>
      </c>
      <c r="H192" s="17"/>
      <c r="I192" s="97">
        <f>VLOOKUP(F192, '[1]Can Matrix'!$M:$X, 2, FALSE)</f>
        <v>8</v>
      </c>
      <c r="J192" s="17" t="str">
        <f t="shared" si="3"/>
        <v>uint8</v>
      </c>
      <c r="K192" s="17"/>
      <c r="L192" s="17"/>
      <c r="M192" s="100" t="str">
        <f>'[1]Can Matrix'!$R$2</f>
        <v>Unsigned</v>
      </c>
      <c r="N192" s="101" t="str">
        <f>IFERROR(IF(VLOOKUP(F192, '[1]Can Matrix'!$M:$X, 12, FALSE)=0, "", "TMS_Enum_" &amp; VLOOKUP(F192, '[1]Can Matrix'!$M:$X, 12, FALSE)), "")</f>
        <v/>
      </c>
      <c r="O192" s="17"/>
      <c r="P192" s="17"/>
      <c r="Q192" s="17"/>
      <c r="R192" s="17"/>
      <c r="S192" s="17"/>
      <c r="T192" s="17"/>
      <c r="U192" s="17"/>
      <c r="V192" s="17"/>
      <c r="W192" s="17"/>
      <c r="X192" s="103"/>
      <c r="Y192" s="17"/>
      <c r="Z192" s="101" t="str">
        <f>IF(N192="", "", IF(ISNUMBER(MATCH(N192, TextTables!A:A, 0)), "Y", "N"))</f>
        <v/>
      </c>
      <c r="AA192" s="101" t="str">
        <f>IF(ISNUMBER(MATCH(F192, '[1]Can Matrix'!M:M, 0)), "Y", "N")</f>
        <v>Y</v>
      </c>
    </row>
    <row r="193" spans="1:27" ht="16.8">
      <c r="A193" s="17"/>
      <c r="B193" s="17"/>
      <c r="C193" s="17"/>
      <c r="D193" s="17" t="s">
        <v>143</v>
      </c>
      <c r="E193" s="17"/>
      <c r="F193" s="17" t="s">
        <v>6029</v>
      </c>
      <c r="G193" s="17" t="s">
        <v>6029</v>
      </c>
      <c r="H193" s="17"/>
      <c r="I193" s="97">
        <f>VLOOKUP(F193, '[1]Can Matrix'!$M:$X, 2, FALSE)</f>
        <v>8</v>
      </c>
      <c r="J193" s="17" t="str">
        <f t="shared" si="3"/>
        <v>uint8</v>
      </c>
      <c r="K193" s="17"/>
      <c r="L193" s="17"/>
      <c r="M193" s="100" t="str">
        <f>'[1]Can Matrix'!$R$2</f>
        <v>Unsigned</v>
      </c>
      <c r="N193" s="101" t="str">
        <f>IFERROR(IF(VLOOKUP(F193, '[1]Can Matrix'!$M:$X, 12, FALSE)=0, "", "TMS_Enum_" &amp; VLOOKUP(F193, '[1]Can Matrix'!$M:$X, 12, FALSE)), "")</f>
        <v/>
      </c>
      <c r="O193" s="17"/>
      <c r="P193" s="17"/>
      <c r="Q193" s="17"/>
      <c r="R193" s="17"/>
      <c r="S193" s="17"/>
      <c r="T193" s="17"/>
      <c r="U193" s="17"/>
      <c r="V193" s="17"/>
      <c r="W193" s="17"/>
      <c r="X193" s="103"/>
      <c r="Y193" s="17"/>
      <c r="Z193" s="101" t="str">
        <f>IF(N193="", "", IF(ISNUMBER(MATCH(N193, TextTables!A:A, 0)), "Y", "N"))</f>
        <v/>
      </c>
      <c r="AA193" s="101" t="str">
        <f>IF(ISNUMBER(MATCH(F193, '[1]Can Matrix'!M:M, 0)), "Y", "N")</f>
        <v>Y</v>
      </c>
    </row>
    <row r="194" spans="1:27" ht="16.8">
      <c r="A194" s="17"/>
      <c r="B194" s="17"/>
      <c r="C194" s="17"/>
      <c r="D194" s="17" t="s">
        <v>143</v>
      </c>
      <c r="E194" s="17"/>
      <c r="F194" s="17" t="s">
        <v>6030</v>
      </c>
      <c r="G194" s="17" t="s">
        <v>6030</v>
      </c>
      <c r="H194" s="17"/>
      <c r="I194" s="97">
        <f>VLOOKUP(F194, '[1]Can Matrix'!$M:$X, 2, FALSE)</f>
        <v>8</v>
      </c>
      <c r="J194" s="17" t="str">
        <f t="shared" si="3"/>
        <v>uint8</v>
      </c>
      <c r="K194" s="17"/>
      <c r="L194" s="17"/>
      <c r="M194" s="100" t="str">
        <f>'[1]Can Matrix'!$R$2</f>
        <v>Unsigned</v>
      </c>
      <c r="N194" s="101" t="str">
        <f>IFERROR(IF(VLOOKUP(F194, '[1]Can Matrix'!$M:$X, 12, FALSE)=0, "", "TMS_Enum_" &amp; VLOOKUP(F194, '[1]Can Matrix'!$M:$X, 12, FALSE)), "")</f>
        <v/>
      </c>
      <c r="O194" s="17"/>
      <c r="P194" s="17"/>
      <c r="Q194" s="17"/>
      <c r="R194" s="17"/>
      <c r="S194" s="17"/>
      <c r="T194" s="17"/>
      <c r="U194" s="17"/>
      <c r="V194" s="17"/>
      <c r="W194" s="17"/>
      <c r="X194" s="103"/>
      <c r="Y194" s="17"/>
      <c r="Z194" s="101" t="str">
        <f>IF(N194="", "", IF(ISNUMBER(MATCH(N194, TextTables!A:A, 0)), "Y", "N"))</f>
        <v/>
      </c>
      <c r="AA194" s="101" t="str">
        <f>IF(ISNUMBER(MATCH(F194, '[1]Can Matrix'!M:M, 0)), "Y", "N")</f>
        <v>Y</v>
      </c>
    </row>
    <row r="195" spans="1:27" ht="16.8">
      <c r="A195" s="17"/>
      <c r="B195" s="17"/>
      <c r="C195" s="17"/>
      <c r="D195" s="17" t="s">
        <v>143</v>
      </c>
      <c r="E195" s="17"/>
      <c r="F195" s="17" t="s">
        <v>6031</v>
      </c>
      <c r="G195" s="17" t="s">
        <v>6031</v>
      </c>
      <c r="H195" s="17"/>
      <c r="I195" s="97">
        <f>VLOOKUP(F195, '[1]Can Matrix'!$M:$X, 2, FALSE)</f>
        <v>8</v>
      </c>
      <c r="J195" s="17" t="str">
        <f t="shared" si="3"/>
        <v>uint8</v>
      </c>
      <c r="K195" s="17"/>
      <c r="L195" s="17"/>
      <c r="M195" s="100" t="str">
        <f>'[1]Can Matrix'!$R$2</f>
        <v>Unsigned</v>
      </c>
      <c r="N195" s="101" t="str">
        <f>IFERROR(IF(VLOOKUP(F195, '[1]Can Matrix'!$M:$X, 12, FALSE)=0, "", "TMS_Enum_" &amp; VLOOKUP(F195, '[1]Can Matrix'!$M:$X, 12, FALSE)), "")</f>
        <v/>
      </c>
      <c r="O195" s="17"/>
      <c r="P195" s="17"/>
      <c r="Q195" s="17"/>
      <c r="R195" s="17"/>
      <c r="S195" s="17"/>
      <c r="T195" s="17"/>
      <c r="U195" s="17"/>
      <c r="V195" s="17"/>
      <c r="W195" s="17"/>
      <c r="X195" s="103"/>
      <c r="Y195" s="17"/>
      <c r="Z195" s="101" t="str">
        <f>IF(N195="", "", IF(ISNUMBER(MATCH(N195, TextTables!A:A, 0)), "Y", "N"))</f>
        <v/>
      </c>
      <c r="AA195" s="101" t="str">
        <f>IF(ISNUMBER(MATCH(F195, '[1]Can Matrix'!M:M, 0)), "Y", "N")</f>
        <v>Y</v>
      </c>
    </row>
    <row r="196" spans="1:27" ht="16.8">
      <c r="A196" s="17"/>
      <c r="B196" s="17"/>
      <c r="C196" s="17"/>
      <c r="D196" s="17" t="s">
        <v>143</v>
      </c>
      <c r="E196" s="17"/>
      <c r="F196" s="17" t="s">
        <v>6032</v>
      </c>
      <c r="G196" s="17" t="s">
        <v>6032</v>
      </c>
      <c r="H196" s="17"/>
      <c r="I196" s="97">
        <f>VLOOKUP(F196, '[1]Can Matrix'!$M:$X, 2, FALSE)</f>
        <v>8</v>
      </c>
      <c r="J196" s="17" t="str">
        <f t="shared" si="3"/>
        <v>uint8</v>
      </c>
      <c r="K196" s="17"/>
      <c r="L196" s="17"/>
      <c r="M196" s="100" t="str">
        <f>'[1]Can Matrix'!$R$2</f>
        <v>Unsigned</v>
      </c>
      <c r="N196" s="101" t="str">
        <f>IFERROR(IF(VLOOKUP(F196, '[1]Can Matrix'!$M:$X, 12, FALSE)=0, "", "TMS_Enum_" &amp; VLOOKUP(F196, '[1]Can Matrix'!$M:$X, 12, FALSE)), "")</f>
        <v/>
      </c>
      <c r="O196" s="17"/>
      <c r="P196" s="17"/>
      <c r="Q196" s="17"/>
      <c r="R196" s="17"/>
      <c r="S196" s="17"/>
      <c r="T196" s="17"/>
      <c r="U196" s="17"/>
      <c r="V196" s="17"/>
      <c r="W196" s="17"/>
      <c r="X196" s="103"/>
      <c r="Y196" s="17"/>
      <c r="Z196" s="101" t="str">
        <f>IF(N196="", "", IF(ISNUMBER(MATCH(N196, TextTables!A:A, 0)), "Y", "N"))</f>
        <v/>
      </c>
      <c r="AA196" s="101" t="str">
        <f>IF(ISNUMBER(MATCH(F196, '[1]Can Matrix'!M:M, 0)), "Y", "N")</f>
        <v>Y</v>
      </c>
    </row>
    <row r="197" spans="1:27" ht="16.8">
      <c r="A197" s="17"/>
      <c r="B197" s="17"/>
      <c r="C197" s="17"/>
      <c r="D197" s="17" t="s">
        <v>143</v>
      </c>
      <c r="E197" s="17"/>
      <c r="F197" s="17" t="s">
        <v>6033</v>
      </c>
      <c r="G197" s="17" t="s">
        <v>6033</v>
      </c>
      <c r="H197" s="17"/>
      <c r="I197" s="97">
        <f>VLOOKUP(F197, '[1]Can Matrix'!$M:$X, 2, FALSE)</f>
        <v>8</v>
      </c>
      <c r="J197" s="17" t="str">
        <f t="shared" si="3"/>
        <v>uint8</v>
      </c>
      <c r="K197" s="17"/>
      <c r="L197" s="17"/>
      <c r="M197" s="100" t="str">
        <f>'[1]Can Matrix'!$R$2</f>
        <v>Unsigned</v>
      </c>
      <c r="N197" s="101" t="str">
        <f>IFERROR(IF(VLOOKUP(F197, '[1]Can Matrix'!$M:$X, 12, FALSE)=0, "", "TMS_Enum_" &amp; VLOOKUP(F197, '[1]Can Matrix'!$M:$X, 12, FALSE)), "")</f>
        <v/>
      </c>
      <c r="O197" s="17"/>
      <c r="P197" s="17"/>
      <c r="Q197" s="17"/>
      <c r="R197" s="17"/>
      <c r="S197" s="17"/>
      <c r="T197" s="17"/>
      <c r="U197" s="17"/>
      <c r="V197" s="17"/>
      <c r="W197" s="17"/>
      <c r="X197" s="103"/>
      <c r="Y197" s="17"/>
      <c r="Z197" s="101" t="str">
        <f>IF(N197="", "", IF(ISNUMBER(MATCH(N197, TextTables!A:A, 0)), "Y", "N"))</f>
        <v/>
      </c>
      <c r="AA197" s="101" t="str">
        <f>IF(ISNUMBER(MATCH(F197, '[1]Can Matrix'!M:M, 0)), "Y", "N")</f>
        <v>Y</v>
      </c>
    </row>
    <row r="198" spans="1:27" ht="16.8">
      <c r="A198" s="17"/>
      <c r="B198" s="17"/>
      <c r="C198" s="17"/>
      <c r="D198" s="17" t="s">
        <v>143</v>
      </c>
      <c r="E198" s="17"/>
      <c r="F198" s="17" t="s">
        <v>6034</v>
      </c>
      <c r="G198" s="17" t="s">
        <v>6034</v>
      </c>
      <c r="H198" s="17"/>
      <c r="I198" s="97">
        <f>VLOOKUP(F198, '[1]Can Matrix'!$M:$X, 2, FALSE)</f>
        <v>8</v>
      </c>
      <c r="J198" s="17" t="str">
        <f t="shared" si="3"/>
        <v>uint8</v>
      </c>
      <c r="K198" s="17"/>
      <c r="L198" s="17"/>
      <c r="M198" s="100" t="str">
        <f>'[1]Can Matrix'!$R$2</f>
        <v>Unsigned</v>
      </c>
      <c r="N198" s="101" t="str">
        <f>IFERROR(IF(VLOOKUP(F198, '[1]Can Matrix'!$M:$X, 12, FALSE)=0, "", "TMS_Enum_" &amp; VLOOKUP(F198, '[1]Can Matrix'!$M:$X, 12, FALSE)), "")</f>
        <v/>
      </c>
      <c r="O198" s="17"/>
      <c r="P198" s="17"/>
      <c r="Q198" s="17"/>
      <c r="R198" s="17"/>
      <c r="S198" s="17"/>
      <c r="T198" s="17"/>
      <c r="U198" s="17"/>
      <c r="V198" s="17"/>
      <c r="W198" s="17"/>
      <c r="X198" s="103"/>
      <c r="Y198" s="17"/>
      <c r="Z198" s="101" t="str">
        <f>IF(N198="", "", IF(ISNUMBER(MATCH(N198, TextTables!A:A, 0)), "Y", "N"))</f>
        <v/>
      </c>
      <c r="AA198" s="101" t="str">
        <f>IF(ISNUMBER(MATCH(F198, '[1]Can Matrix'!M:M, 0)), "Y", "N")</f>
        <v>Y</v>
      </c>
    </row>
    <row r="199" spans="1:27" ht="16.8">
      <c r="A199" s="17"/>
      <c r="B199" s="17"/>
      <c r="C199" s="17"/>
      <c r="D199" s="17" t="s">
        <v>143</v>
      </c>
      <c r="E199" s="17"/>
      <c r="F199" s="17" t="s">
        <v>6035</v>
      </c>
      <c r="G199" s="17" t="s">
        <v>6035</v>
      </c>
      <c r="H199" s="17"/>
      <c r="I199" s="97">
        <f>VLOOKUP(F199, '[1]Can Matrix'!$M:$X, 2, FALSE)</f>
        <v>8</v>
      </c>
      <c r="J199" s="17" t="str">
        <f t="shared" si="3"/>
        <v>uint8</v>
      </c>
      <c r="K199" s="17"/>
      <c r="L199" s="17"/>
      <c r="M199" s="100" t="str">
        <f>'[1]Can Matrix'!$R$2</f>
        <v>Unsigned</v>
      </c>
      <c r="N199" s="101" t="str">
        <f>IFERROR(IF(VLOOKUP(F199, '[1]Can Matrix'!$M:$X, 12, FALSE)=0, "", "TMS_Enum_" &amp; VLOOKUP(F199, '[1]Can Matrix'!$M:$X, 12, FALSE)), "")</f>
        <v/>
      </c>
      <c r="O199" s="17"/>
      <c r="P199" s="17"/>
      <c r="Q199" s="17"/>
      <c r="R199" s="17"/>
      <c r="S199" s="17"/>
      <c r="T199" s="17"/>
      <c r="U199" s="17"/>
      <c r="V199" s="17"/>
      <c r="W199" s="17"/>
      <c r="X199" s="103"/>
      <c r="Y199" s="17"/>
      <c r="Z199" s="101" t="str">
        <f>IF(N199="", "", IF(ISNUMBER(MATCH(N199, TextTables!A:A, 0)), "Y", "N"))</f>
        <v/>
      </c>
      <c r="AA199" s="101" t="str">
        <f>IF(ISNUMBER(MATCH(F199, '[1]Can Matrix'!M:M, 0)), "Y", "N")</f>
        <v>Y</v>
      </c>
    </row>
    <row r="200" spans="1:27" ht="16.8">
      <c r="A200" s="17"/>
      <c r="B200" s="17"/>
      <c r="C200" s="17"/>
      <c r="D200" s="17" t="s">
        <v>143</v>
      </c>
      <c r="E200" s="17"/>
      <c r="F200" s="17" t="s">
        <v>6036</v>
      </c>
      <c r="G200" s="17" t="s">
        <v>6036</v>
      </c>
      <c r="H200" s="17"/>
      <c r="I200" s="97">
        <f>VLOOKUP(F200, '[1]Can Matrix'!$M:$X, 2, FALSE)</f>
        <v>8</v>
      </c>
      <c r="J200" s="17" t="str">
        <f t="shared" si="3"/>
        <v>uint8</v>
      </c>
      <c r="K200" s="17"/>
      <c r="L200" s="17"/>
      <c r="M200" s="100" t="str">
        <f>'[1]Can Matrix'!$R$2</f>
        <v>Unsigned</v>
      </c>
      <c r="N200" s="101" t="str">
        <f>IFERROR(IF(VLOOKUP(F200, '[1]Can Matrix'!$M:$X, 12, FALSE)=0, "", "TMS_Enum_" &amp; VLOOKUP(F200, '[1]Can Matrix'!$M:$X, 12, FALSE)), "")</f>
        <v/>
      </c>
      <c r="O200" s="17"/>
      <c r="P200" s="17"/>
      <c r="Q200" s="17"/>
      <c r="R200" s="17"/>
      <c r="S200" s="17"/>
      <c r="T200" s="17"/>
      <c r="U200" s="17"/>
      <c r="V200" s="17"/>
      <c r="W200" s="17"/>
      <c r="X200" s="103"/>
      <c r="Y200" s="17"/>
      <c r="Z200" s="101" t="str">
        <f>IF(N200="", "", IF(ISNUMBER(MATCH(N200, TextTables!A:A, 0)), "Y", "N"))</f>
        <v/>
      </c>
      <c r="AA200" s="101" t="str">
        <f>IF(ISNUMBER(MATCH(F200, '[1]Can Matrix'!M:M, 0)), "Y", "N")</f>
        <v>Y</v>
      </c>
    </row>
    <row r="201" spans="1:27" ht="16.8">
      <c r="A201" s="17"/>
      <c r="B201" s="17"/>
      <c r="C201" s="17"/>
      <c r="D201" s="17" t="s">
        <v>143</v>
      </c>
      <c r="E201" s="17"/>
      <c r="F201" s="17" t="s">
        <v>6037</v>
      </c>
      <c r="G201" s="17" t="s">
        <v>6037</v>
      </c>
      <c r="H201" s="17"/>
      <c r="I201" s="97">
        <f>VLOOKUP(F201, '[1]Can Matrix'!$M:$X, 2, FALSE)</f>
        <v>8</v>
      </c>
      <c r="J201" s="17" t="str">
        <f t="shared" si="3"/>
        <v>uint8</v>
      </c>
      <c r="K201" s="17"/>
      <c r="L201" s="17"/>
      <c r="M201" s="100" t="str">
        <f>'[1]Can Matrix'!$R$2</f>
        <v>Unsigned</v>
      </c>
      <c r="N201" s="101" t="str">
        <f>IFERROR(IF(VLOOKUP(F201, '[1]Can Matrix'!$M:$X, 12, FALSE)=0, "", "TMS_Enum_" &amp; VLOOKUP(F201, '[1]Can Matrix'!$M:$X, 12, FALSE)), "")</f>
        <v/>
      </c>
      <c r="O201" s="17"/>
      <c r="P201" s="17"/>
      <c r="Q201" s="17"/>
      <c r="R201" s="17"/>
      <c r="S201" s="17"/>
      <c r="T201" s="17"/>
      <c r="U201" s="17"/>
      <c r="V201" s="17"/>
      <c r="W201" s="17"/>
      <c r="X201" s="103"/>
      <c r="Y201" s="17"/>
      <c r="Z201" s="101" t="str">
        <f>IF(N201="", "", IF(ISNUMBER(MATCH(N201, TextTables!A:A, 0)), "Y", "N"))</f>
        <v/>
      </c>
      <c r="AA201" s="101" t="str">
        <f>IF(ISNUMBER(MATCH(F201, '[1]Can Matrix'!M:M, 0)), "Y", "N")</f>
        <v>Y</v>
      </c>
    </row>
    <row r="202" spans="1:27" ht="16.8">
      <c r="A202" s="17"/>
      <c r="B202" s="17"/>
      <c r="C202" s="17"/>
      <c r="D202" s="17" t="s">
        <v>143</v>
      </c>
      <c r="E202" s="17"/>
      <c r="F202" s="17" t="s">
        <v>6038</v>
      </c>
      <c r="G202" s="17" t="s">
        <v>6038</v>
      </c>
      <c r="H202" s="17"/>
      <c r="I202" s="97">
        <f>VLOOKUP(F202, '[1]Can Matrix'!$M:$X, 2, FALSE)</f>
        <v>8</v>
      </c>
      <c r="J202" s="17" t="str">
        <f t="shared" si="3"/>
        <v>uint8</v>
      </c>
      <c r="K202" s="17"/>
      <c r="L202" s="17"/>
      <c r="M202" s="100" t="str">
        <f>'[1]Can Matrix'!$R$2</f>
        <v>Unsigned</v>
      </c>
      <c r="N202" s="101" t="str">
        <f>IFERROR(IF(VLOOKUP(F202, '[1]Can Matrix'!$M:$X, 12, FALSE)=0, "", "TMS_Enum_" &amp; VLOOKUP(F202, '[1]Can Matrix'!$M:$X, 12, FALSE)), "")</f>
        <v/>
      </c>
      <c r="O202" s="17"/>
      <c r="P202" s="17"/>
      <c r="Q202" s="17"/>
      <c r="R202" s="17"/>
      <c r="S202" s="17"/>
      <c r="T202" s="17"/>
      <c r="U202" s="17"/>
      <c r="V202" s="17"/>
      <c r="W202" s="17"/>
      <c r="X202" s="103"/>
      <c r="Y202" s="17"/>
      <c r="Z202" s="101" t="str">
        <f>IF(N202="", "", IF(ISNUMBER(MATCH(N202, TextTables!A:A, 0)), "Y", "N"))</f>
        <v/>
      </c>
      <c r="AA202" s="101" t="str">
        <f>IF(ISNUMBER(MATCH(F202, '[1]Can Matrix'!M:M, 0)), "Y", "N")</f>
        <v>Y</v>
      </c>
    </row>
    <row r="203" spans="1:27" ht="16.8">
      <c r="A203" s="17"/>
      <c r="B203" s="17"/>
      <c r="C203" s="17"/>
      <c r="D203" s="17" t="s">
        <v>143</v>
      </c>
      <c r="E203" s="17"/>
      <c r="F203" s="17" t="s">
        <v>6039</v>
      </c>
      <c r="G203" s="17" t="s">
        <v>6039</v>
      </c>
      <c r="H203" s="17"/>
      <c r="I203" s="97">
        <f>VLOOKUP(F203, '[1]Can Matrix'!$M:$X, 2, FALSE)</f>
        <v>8</v>
      </c>
      <c r="J203" s="17" t="str">
        <f t="shared" si="3"/>
        <v>uint8</v>
      </c>
      <c r="K203" s="17"/>
      <c r="L203" s="17"/>
      <c r="M203" s="100" t="str">
        <f>'[1]Can Matrix'!$R$2</f>
        <v>Unsigned</v>
      </c>
      <c r="N203" s="101" t="str">
        <f>IFERROR(IF(VLOOKUP(F203, '[1]Can Matrix'!$M:$X, 12, FALSE)=0, "", "TMS_Enum_" &amp; VLOOKUP(F203, '[1]Can Matrix'!$M:$X, 12, FALSE)), "")</f>
        <v/>
      </c>
      <c r="O203" s="17"/>
      <c r="P203" s="17"/>
      <c r="Q203" s="17"/>
      <c r="R203" s="17"/>
      <c r="S203" s="17"/>
      <c r="T203" s="17"/>
      <c r="U203" s="17"/>
      <c r="V203" s="17"/>
      <c r="W203" s="17"/>
      <c r="X203" s="103"/>
      <c r="Y203" s="17"/>
      <c r="Z203" s="101" t="str">
        <f>IF(N203="", "", IF(ISNUMBER(MATCH(N203, TextTables!A:A, 0)), "Y", "N"))</f>
        <v/>
      </c>
      <c r="AA203" s="101" t="str">
        <f>IF(ISNUMBER(MATCH(F203, '[1]Can Matrix'!M:M, 0)), "Y", "N")</f>
        <v>Y</v>
      </c>
    </row>
    <row r="204" spans="1:27" ht="16.8">
      <c r="A204" s="17"/>
      <c r="B204" s="17"/>
      <c r="C204" s="17"/>
      <c r="D204" s="17" t="s">
        <v>143</v>
      </c>
      <c r="E204" s="17"/>
      <c r="F204" s="17" t="s">
        <v>6040</v>
      </c>
      <c r="G204" s="17" t="s">
        <v>6040</v>
      </c>
      <c r="H204" s="17"/>
      <c r="I204" s="97">
        <f>VLOOKUP(F204, '[1]Can Matrix'!$M:$X, 2, FALSE)</f>
        <v>8</v>
      </c>
      <c r="J204" s="17" t="str">
        <f t="shared" si="3"/>
        <v>uint8</v>
      </c>
      <c r="K204" s="17"/>
      <c r="L204" s="17"/>
      <c r="M204" s="100" t="str">
        <f>'[1]Can Matrix'!$R$2</f>
        <v>Unsigned</v>
      </c>
      <c r="N204" s="101" t="str">
        <f>IFERROR(IF(VLOOKUP(F204, '[1]Can Matrix'!$M:$X, 12, FALSE)=0, "", "TMS_Enum_" &amp; VLOOKUP(F204, '[1]Can Matrix'!$M:$X, 12, FALSE)), "")</f>
        <v/>
      </c>
      <c r="O204" s="17"/>
      <c r="P204" s="17"/>
      <c r="Q204" s="17"/>
      <c r="R204" s="17"/>
      <c r="S204" s="17"/>
      <c r="T204" s="17"/>
      <c r="U204" s="17"/>
      <c r="V204" s="17"/>
      <c r="W204" s="17"/>
      <c r="X204" s="103"/>
      <c r="Y204" s="17"/>
      <c r="Z204" s="101" t="str">
        <f>IF(N204="", "", IF(ISNUMBER(MATCH(N204, TextTables!A:A, 0)), "Y", "N"))</f>
        <v/>
      </c>
      <c r="AA204" s="101" t="str">
        <f>IF(ISNUMBER(MATCH(F204, '[1]Can Matrix'!M:M, 0)), "Y", "N")</f>
        <v>Y</v>
      </c>
    </row>
    <row r="205" spans="1:27" ht="16.8">
      <c r="A205" s="17"/>
      <c r="B205" s="17"/>
      <c r="C205" s="17"/>
      <c r="D205" s="17" t="s">
        <v>143</v>
      </c>
      <c r="E205" s="17"/>
      <c r="F205" s="17" t="s">
        <v>6041</v>
      </c>
      <c r="G205" s="17" t="s">
        <v>6041</v>
      </c>
      <c r="H205" s="17"/>
      <c r="I205" s="97">
        <f>VLOOKUP(F205, '[1]Can Matrix'!$M:$X, 2, FALSE)</f>
        <v>8</v>
      </c>
      <c r="J205" s="17" t="str">
        <f t="shared" si="3"/>
        <v>uint8</v>
      </c>
      <c r="K205" s="17"/>
      <c r="L205" s="17"/>
      <c r="M205" s="100" t="str">
        <f>'[1]Can Matrix'!$R$2</f>
        <v>Unsigned</v>
      </c>
      <c r="N205" s="101" t="str">
        <f>IFERROR(IF(VLOOKUP(F205, '[1]Can Matrix'!$M:$X, 12, FALSE)=0, "", "TMS_Enum_" &amp; VLOOKUP(F205, '[1]Can Matrix'!$M:$X, 12, FALSE)), "")</f>
        <v/>
      </c>
      <c r="O205" s="17"/>
      <c r="P205" s="17"/>
      <c r="Q205" s="17"/>
      <c r="R205" s="17"/>
      <c r="S205" s="17"/>
      <c r="T205" s="17"/>
      <c r="U205" s="17"/>
      <c r="V205" s="17"/>
      <c r="W205" s="17"/>
      <c r="X205" s="103"/>
      <c r="Y205" s="17"/>
      <c r="Z205" s="101" t="str">
        <f>IF(N205="", "", IF(ISNUMBER(MATCH(N205, TextTables!A:A, 0)), "Y", "N"))</f>
        <v/>
      </c>
      <c r="AA205" s="101" t="str">
        <f>IF(ISNUMBER(MATCH(F205, '[1]Can Matrix'!M:M, 0)), "Y", "N")</f>
        <v>Y</v>
      </c>
    </row>
    <row r="206" spans="1:27" ht="16.8">
      <c r="A206" s="17"/>
      <c r="B206" s="17"/>
      <c r="C206" s="17"/>
      <c r="D206" s="17" t="s">
        <v>143</v>
      </c>
      <c r="E206" s="17"/>
      <c r="F206" s="17" t="s">
        <v>6042</v>
      </c>
      <c r="G206" s="17" t="s">
        <v>6042</v>
      </c>
      <c r="H206" s="17"/>
      <c r="I206" s="97">
        <f>VLOOKUP(F206, '[1]Can Matrix'!$M:$X, 2, FALSE)</f>
        <v>8</v>
      </c>
      <c r="J206" s="17" t="str">
        <f t="shared" si="3"/>
        <v>uint8</v>
      </c>
      <c r="K206" s="17"/>
      <c r="L206" s="17"/>
      <c r="M206" s="100" t="str">
        <f>'[1]Can Matrix'!$R$2</f>
        <v>Unsigned</v>
      </c>
      <c r="N206" s="101" t="str">
        <f>IFERROR(IF(VLOOKUP(F206, '[1]Can Matrix'!$M:$X, 12, FALSE)=0, "", "TMS_Enum_" &amp; VLOOKUP(F206, '[1]Can Matrix'!$M:$X, 12, FALSE)), "")</f>
        <v/>
      </c>
      <c r="O206" s="17"/>
      <c r="P206" s="17"/>
      <c r="Q206" s="17"/>
      <c r="R206" s="17"/>
      <c r="S206" s="17"/>
      <c r="T206" s="17"/>
      <c r="U206" s="17"/>
      <c r="V206" s="17"/>
      <c r="W206" s="17"/>
      <c r="X206" s="103"/>
      <c r="Y206" s="17"/>
      <c r="Z206" s="101" t="str">
        <f>IF(N206="", "", IF(ISNUMBER(MATCH(N206, TextTables!A:A, 0)), "Y", "N"))</f>
        <v/>
      </c>
      <c r="AA206" s="101" t="str">
        <f>IF(ISNUMBER(MATCH(F206, '[1]Can Matrix'!M:M, 0)), "Y", "N")</f>
        <v>Y</v>
      </c>
    </row>
    <row r="207" spans="1:27" ht="16.8">
      <c r="A207" s="17"/>
      <c r="B207" s="17"/>
      <c r="C207" s="17"/>
      <c r="D207" s="17" t="s">
        <v>143</v>
      </c>
      <c r="E207" s="17"/>
      <c r="F207" s="17" t="s">
        <v>6043</v>
      </c>
      <c r="G207" s="17" t="s">
        <v>6043</v>
      </c>
      <c r="H207" s="17"/>
      <c r="I207" s="97">
        <f>VLOOKUP(F207, '[1]Can Matrix'!$M:$X, 2, FALSE)</f>
        <v>8</v>
      </c>
      <c r="J207" s="17" t="str">
        <f t="shared" si="3"/>
        <v>uint8</v>
      </c>
      <c r="K207" s="17"/>
      <c r="L207" s="17"/>
      <c r="M207" s="100" t="str">
        <f>'[1]Can Matrix'!$R$2</f>
        <v>Unsigned</v>
      </c>
      <c r="N207" s="101" t="str">
        <f>IFERROR(IF(VLOOKUP(F207, '[1]Can Matrix'!$M:$X, 12, FALSE)=0, "", "TMS_Enum_" &amp; VLOOKUP(F207, '[1]Can Matrix'!$M:$X, 12, FALSE)), "")</f>
        <v/>
      </c>
      <c r="O207" s="17"/>
      <c r="P207" s="17"/>
      <c r="Q207" s="17"/>
      <c r="R207" s="17"/>
      <c r="S207" s="17"/>
      <c r="T207" s="17"/>
      <c r="U207" s="17"/>
      <c r="V207" s="17"/>
      <c r="W207" s="17"/>
      <c r="X207" s="103"/>
      <c r="Y207" s="17"/>
      <c r="Z207" s="101" t="str">
        <f>IF(N207="", "", IF(ISNUMBER(MATCH(N207, TextTables!A:A, 0)), "Y", "N"))</f>
        <v/>
      </c>
      <c r="AA207" s="101" t="str">
        <f>IF(ISNUMBER(MATCH(F207, '[1]Can Matrix'!M:M, 0)), "Y", "N")</f>
        <v>Y</v>
      </c>
    </row>
    <row r="208" spans="1:27" ht="16.8">
      <c r="A208" s="17"/>
      <c r="B208" s="17"/>
      <c r="C208" s="17"/>
      <c r="D208" s="17" t="s">
        <v>143</v>
      </c>
      <c r="E208" s="17"/>
      <c r="F208" s="17" t="s">
        <v>6044</v>
      </c>
      <c r="G208" s="17" t="s">
        <v>6044</v>
      </c>
      <c r="H208" s="17"/>
      <c r="I208" s="97">
        <f>VLOOKUP(F208, '[1]Can Matrix'!$M:$X, 2, FALSE)</f>
        <v>8</v>
      </c>
      <c r="J208" s="17" t="str">
        <f t="shared" si="3"/>
        <v>uint8</v>
      </c>
      <c r="K208" s="17"/>
      <c r="L208" s="17"/>
      <c r="M208" s="100" t="str">
        <f>'[1]Can Matrix'!$R$2</f>
        <v>Unsigned</v>
      </c>
      <c r="N208" s="101" t="str">
        <f>IFERROR(IF(VLOOKUP(F208, '[1]Can Matrix'!$M:$X, 12, FALSE)=0, "", "TMS_Enum_" &amp; VLOOKUP(F208, '[1]Can Matrix'!$M:$X, 12, FALSE)), "")</f>
        <v/>
      </c>
      <c r="O208" s="17"/>
      <c r="P208" s="17"/>
      <c r="Q208" s="17"/>
      <c r="R208" s="17"/>
      <c r="S208" s="17"/>
      <c r="T208" s="17"/>
      <c r="U208" s="17"/>
      <c r="V208" s="17"/>
      <c r="W208" s="17"/>
      <c r="X208" s="103"/>
      <c r="Y208" s="17"/>
      <c r="Z208" s="101" t="str">
        <f>IF(N208="", "", IF(ISNUMBER(MATCH(N208, TextTables!A:A, 0)), "Y", "N"))</f>
        <v/>
      </c>
      <c r="AA208" s="101" t="str">
        <f>IF(ISNUMBER(MATCH(F208, '[1]Can Matrix'!M:M, 0)), "Y", "N")</f>
        <v>Y</v>
      </c>
    </row>
    <row r="209" spans="1:27" ht="16.8">
      <c r="A209" s="17"/>
      <c r="B209" s="17"/>
      <c r="C209" s="17"/>
      <c r="D209" s="17" t="s">
        <v>143</v>
      </c>
      <c r="E209" s="17"/>
      <c r="F209" s="17" t="s">
        <v>6045</v>
      </c>
      <c r="G209" s="17" t="s">
        <v>6045</v>
      </c>
      <c r="H209" s="17"/>
      <c r="I209" s="97">
        <f>VLOOKUP(F209, '[1]Can Matrix'!$M:$X, 2, FALSE)</f>
        <v>8</v>
      </c>
      <c r="J209" s="17" t="str">
        <f t="shared" si="3"/>
        <v>uint8</v>
      </c>
      <c r="K209" s="17"/>
      <c r="L209" s="17"/>
      <c r="M209" s="100" t="str">
        <f>'[1]Can Matrix'!$R$2</f>
        <v>Unsigned</v>
      </c>
      <c r="N209" s="101" t="str">
        <f>IFERROR(IF(VLOOKUP(F209, '[1]Can Matrix'!$M:$X, 12, FALSE)=0, "", "TMS_Enum_" &amp; VLOOKUP(F209, '[1]Can Matrix'!$M:$X, 12, FALSE)), "")</f>
        <v/>
      </c>
      <c r="O209" s="17"/>
      <c r="P209" s="17"/>
      <c r="Q209" s="17"/>
      <c r="R209" s="17"/>
      <c r="S209" s="17"/>
      <c r="T209" s="17"/>
      <c r="U209" s="17"/>
      <c r="V209" s="17"/>
      <c r="W209" s="17"/>
      <c r="X209" s="103"/>
      <c r="Y209" s="17"/>
      <c r="Z209" s="101" t="str">
        <f>IF(N209="", "", IF(ISNUMBER(MATCH(N209, TextTables!A:A, 0)), "Y", "N"))</f>
        <v/>
      </c>
      <c r="AA209" s="101" t="str">
        <f>IF(ISNUMBER(MATCH(F209, '[1]Can Matrix'!M:M, 0)), "Y", "N")</f>
        <v>Y</v>
      </c>
    </row>
    <row r="210" spans="1:27" ht="16.8">
      <c r="A210" s="17"/>
      <c r="B210" s="17"/>
      <c r="C210" s="17"/>
      <c r="D210" s="17" t="s">
        <v>143</v>
      </c>
      <c r="E210" s="17"/>
      <c r="F210" s="17" t="s">
        <v>6046</v>
      </c>
      <c r="G210" s="17" t="s">
        <v>6046</v>
      </c>
      <c r="H210" s="17"/>
      <c r="I210" s="97">
        <f>VLOOKUP(F210, '[1]Can Matrix'!$M:$X, 2, FALSE)</f>
        <v>8</v>
      </c>
      <c r="J210" s="17" t="str">
        <f t="shared" si="3"/>
        <v>uint8</v>
      </c>
      <c r="K210" s="17"/>
      <c r="L210" s="17"/>
      <c r="M210" s="100" t="str">
        <f>'[1]Can Matrix'!$R$2</f>
        <v>Unsigned</v>
      </c>
      <c r="N210" s="101" t="str">
        <f>IFERROR(IF(VLOOKUP(F210, '[1]Can Matrix'!$M:$X, 12, FALSE)=0, "", "TMS_Enum_" &amp; VLOOKUP(F210, '[1]Can Matrix'!$M:$X, 12, FALSE)), "")</f>
        <v/>
      </c>
      <c r="O210" s="17"/>
      <c r="P210" s="17"/>
      <c r="Q210" s="17"/>
      <c r="R210" s="17"/>
      <c r="S210" s="17"/>
      <c r="T210" s="17"/>
      <c r="U210" s="17"/>
      <c r="V210" s="17"/>
      <c r="W210" s="17"/>
      <c r="X210" s="103"/>
      <c r="Y210" s="17"/>
      <c r="Z210" s="101" t="str">
        <f>IF(N210="", "", IF(ISNUMBER(MATCH(N210, TextTables!A:A, 0)), "Y", "N"))</f>
        <v/>
      </c>
      <c r="AA210" s="101" t="str">
        <f>IF(ISNUMBER(MATCH(F210, '[1]Can Matrix'!M:M, 0)), "Y", "N")</f>
        <v>Y</v>
      </c>
    </row>
    <row r="211" spans="1:27" ht="16.8">
      <c r="A211" s="17"/>
      <c r="B211" s="17"/>
      <c r="C211" s="17"/>
      <c r="D211" s="17" t="s">
        <v>143</v>
      </c>
      <c r="E211" s="17"/>
      <c r="F211" s="17" t="s">
        <v>6047</v>
      </c>
      <c r="G211" s="17" t="s">
        <v>6047</v>
      </c>
      <c r="H211" s="17"/>
      <c r="I211" s="97">
        <f>VLOOKUP(F211, '[1]Can Matrix'!$M:$X, 2, FALSE)</f>
        <v>8</v>
      </c>
      <c r="J211" s="17" t="str">
        <f t="shared" si="3"/>
        <v>uint8</v>
      </c>
      <c r="K211" s="17"/>
      <c r="L211" s="17"/>
      <c r="M211" s="100" t="str">
        <f>'[1]Can Matrix'!$R$2</f>
        <v>Unsigned</v>
      </c>
      <c r="N211" s="101" t="str">
        <f>IFERROR(IF(VLOOKUP(F211, '[1]Can Matrix'!$M:$X, 12, FALSE)=0, "", "TMS_Enum_" &amp; VLOOKUP(F211, '[1]Can Matrix'!$M:$X, 12, FALSE)), "")</f>
        <v/>
      </c>
      <c r="O211" s="17"/>
      <c r="P211" s="17"/>
      <c r="Q211" s="17"/>
      <c r="R211" s="17"/>
      <c r="S211" s="17"/>
      <c r="T211" s="17"/>
      <c r="U211" s="17"/>
      <c r="V211" s="17"/>
      <c r="W211" s="17"/>
      <c r="X211" s="103"/>
      <c r="Y211" s="17"/>
      <c r="Z211" s="101" t="str">
        <f>IF(N211="", "", IF(ISNUMBER(MATCH(N211, TextTables!A:A, 0)), "Y", "N"))</f>
        <v/>
      </c>
      <c r="AA211" s="101" t="str">
        <f>IF(ISNUMBER(MATCH(F211, '[1]Can Matrix'!M:M, 0)), "Y", "N")</f>
        <v>Y</v>
      </c>
    </row>
    <row r="212" spans="1:27" ht="16.8">
      <c r="A212" s="17"/>
      <c r="B212" s="17"/>
      <c r="C212" s="17"/>
      <c r="D212" s="17" t="s">
        <v>143</v>
      </c>
      <c r="E212" s="17"/>
      <c r="F212" s="17" t="s">
        <v>6048</v>
      </c>
      <c r="G212" s="17" t="s">
        <v>6048</v>
      </c>
      <c r="H212" s="17"/>
      <c r="I212" s="97">
        <f>VLOOKUP(F212, '[1]Can Matrix'!$M:$X, 2, FALSE)</f>
        <v>10</v>
      </c>
      <c r="J212" s="17" t="str">
        <f t="shared" si="3"/>
        <v>uint16</v>
      </c>
      <c r="K212" s="17"/>
      <c r="L212" s="17"/>
      <c r="M212" s="100" t="str">
        <f>'[1]Can Matrix'!$R$2</f>
        <v>Unsigned</v>
      </c>
      <c r="N212" s="101" t="str">
        <f>IFERROR(IF(VLOOKUP(F212, '[1]Can Matrix'!$M:$X, 12, FALSE)=0, "", "TMS_Enum_" &amp; VLOOKUP(F212, '[1]Can Matrix'!$M:$X, 12, FALSE)), "")</f>
        <v/>
      </c>
      <c r="O212" s="17"/>
      <c r="P212" s="17"/>
      <c r="Q212" s="17"/>
      <c r="R212" s="17"/>
      <c r="S212" s="17"/>
      <c r="T212" s="17"/>
      <c r="U212" s="17"/>
      <c r="V212" s="17"/>
      <c r="W212" s="17"/>
      <c r="X212" s="103"/>
      <c r="Y212" s="17"/>
      <c r="Z212" s="101" t="str">
        <f>IF(N212="", "", IF(ISNUMBER(MATCH(N212, TextTables!A:A, 0)), "Y", "N"))</f>
        <v/>
      </c>
      <c r="AA212" s="101" t="str">
        <f>IF(ISNUMBER(MATCH(F212, '[1]Can Matrix'!M:M, 0)), "Y", "N")</f>
        <v>Y</v>
      </c>
    </row>
    <row r="213" spans="1:27" ht="16.8">
      <c r="A213" s="17"/>
      <c r="B213" s="17"/>
      <c r="C213" s="17"/>
      <c r="D213" s="17" t="s">
        <v>143</v>
      </c>
      <c r="E213" s="17"/>
      <c r="F213" s="17" t="s">
        <v>6049</v>
      </c>
      <c r="G213" s="17" t="s">
        <v>6049</v>
      </c>
      <c r="H213" s="17"/>
      <c r="I213" s="97">
        <f>VLOOKUP(F213, '[1]Can Matrix'!$M:$X, 2, FALSE)</f>
        <v>10</v>
      </c>
      <c r="J213" s="17" t="str">
        <f t="shared" si="3"/>
        <v>uint16</v>
      </c>
      <c r="K213" s="17"/>
      <c r="L213" s="17"/>
      <c r="M213" s="100" t="str">
        <f>'[1]Can Matrix'!$R$2</f>
        <v>Unsigned</v>
      </c>
      <c r="N213" s="101" t="str">
        <f>IFERROR(IF(VLOOKUP(F213, '[1]Can Matrix'!$M:$X, 12, FALSE)=0, "", "TMS_Enum_" &amp; VLOOKUP(F213, '[1]Can Matrix'!$M:$X, 12, FALSE)), "")</f>
        <v/>
      </c>
      <c r="O213" s="17"/>
      <c r="P213" s="17"/>
      <c r="Q213" s="17"/>
      <c r="R213" s="17"/>
      <c r="S213" s="17"/>
      <c r="T213" s="17"/>
      <c r="U213" s="17"/>
      <c r="V213" s="17"/>
      <c r="W213" s="17"/>
      <c r="X213" s="103"/>
      <c r="Y213" s="17"/>
      <c r="Z213" s="101" t="str">
        <f>IF(N213="", "", IF(ISNUMBER(MATCH(N213, TextTables!A:A, 0)), "Y", "N"))</f>
        <v/>
      </c>
      <c r="AA213" s="101" t="str">
        <f>IF(ISNUMBER(MATCH(F213, '[1]Can Matrix'!M:M, 0)), "Y", "N")</f>
        <v>Y</v>
      </c>
    </row>
    <row r="214" spans="1:27" ht="16.8">
      <c r="A214" s="17"/>
      <c r="B214" s="17"/>
      <c r="C214" s="17"/>
      <c r="D214" s="17" t="s">
        <v>143</v>
      </c>
      <c r="E214" s="17"/>
      <c r="F214" s="17" t="s">
        <v>6050</v>
      </c>
      <c r="G214" s="17" t="s">
        <v>6050</v>
      </c>
      <c r="H214" s="17"/>
      <c r="I214" s="97">
        <f>VLOOKUP(F214, '[1]Can Matrix'!$M:$X, 2, FALSE)</f>
        <v>10</v>
      </c>
      <c r="J214" s="17" t="str">
        <f t="shared" si="3"/>
        <v>uint16</v>
      </c>
      <c r="K214" s="17"/>
      <c r="L214" s="17"/>
      <c r="M214" s="100" t="str">
        <f>'[1]Can Matrix'!$R$2</f>
        <v>Unsigned</v>
      </c>
      <c r="N214" s="101" t="str">
        <f>IFERROR(IF(VLOOKUP(F214, '[1]Can Matrix'!$M:$X, 12, FALSE)=0, "", "TMS_Enum_" &amp; VLOOKUP(F214, '[1]Can Matrix'!$M:$X, 12, FALSE)), "")</f>
        <v/>
      </c>
      <c r="O214" s="17"/>
      <c r="P214" s="17"/>
      <c r="Q214" s="17"/>
      <c r="R214" s="17"/>
      <c r="S214" s="17"/>
      <c r="T214" s="17"/>
      <c r="U214" s="17"/>
      <c r="V214" s="17"/>
      <c r="W214" s="17"/>
      <c r="X214" s="103"/>
      <c r="Y214" s="17"/>
      <c r="Z214" s="101" t="str">
        <f>IF(N214="", "", IF(ISNUMBER(MATCH(N214, TextTables!A:A, 0)), "Y", "N"))</f>
        <v/>
      </c>
      <c r="AA214" s="101" t="str">
        <f>IF(ISNUMBER(MATCH(F214, '[1]Can Matrix'!M:M, 0)), "Y", "N")</f>
        <v>Y</v>
      </c>
    </row>
    <row r="215" spans="1:27" ht="16.8">
      <c r="A215" s="17"/>
      <c r="B215" s="17"/>
      <c r="C215" s="17"/>
      <c r="D215" s="17" t="s">
        <v>143</v>
      </c>
      <c r="E215" s="17"/>
      <c r="F215" s="17" t="s">
        <v>6051</v>
      </c>
      <c r="G215" s="17" t="s">
        <v>6051</v>
      </c>
      <c r="H215" s="17"/>
      <c r="I215" s="97">
        <f>VLOOKUP(F215, '[1]Can Matrix'!$M:$X, 2, FALSE)</f>
        <v>10</v>
      </c>
      <c r="J215" s="17" t="str">
        <f t="shared" si="3"/>
        <v>uint16</v>
      </c>
      <c r="K215" s="17"/>
      <c r="L215" s="17"/>
      <c r="M215" s="100" t="str">
        <f>'[1]Can Matrix'!$R$2</f>
        <v>Unsigned</v>
      </c>
      <c r="N215" s="101" t="str">
        <f>IFERROR(IF(VLOOKUP(F215, '[1]Can Matrix'!$M:$X, 12, FALSE)=0, "", "TMS_Enum_" &amp; VLOOKUP(F215, '[1]Can Matrix'!$M:$X, 12, FALSE)), "")</f>
        <v/>
      </c>
      <c r="O215" s="17"/>
      <c r="P215" s="17"/>
      <c r="Q215" s="17"/>
      <c r="R215" s="17"/>
      <c r="S215" s="17"/>
      <c r="T215" s="17"/>
      <c r="U215" s="17"/>
      <c r="V215" s="17"/>
      <c r="W215" s="17"/>
      <c r="X215" s="103"/>
      <c r="Y215" s="17"/>
      <c r="Z215" s="101" t="str">
        <f>IF(N215="", "", IF(ISNUMBER(MATCH(N215, TextTables!A:A, 0)), "Y", "N"))</f>
        <v/>
      </c>
      <c r="AA215" s="101" t="str">
        <f>IF(ISNUMBER(MATCH(F215, '[1]Can Matrix'!M:M, 0)), "Y", "N")</f>
        <v>Y</v>
      </c>
    </row>
    <row r="216" spans="1:27" ht="16.8">
      <c r="A216" s="17"/>
      <c r="B216" s="17"/>
      <c r="C216" s="17"/>
      <c r="D216" s="17" t="s">
        <v>143</v>
      </c>
      <c r="E216" s="17"/>
      <c r="F216" s="17" t="s">
        <v>6052</v>
      </c>
      <c r="G216" s="17" t="s">
        <v>6052</v>
      </c>
      <c r="H216" s="17"/>
      <c r="I216" s="97">
        <f>VLOOKUP(F216, '[1]Can Matrix'!$M:$X, 2, FALSE)</f>
        <v>10</v>
      </c>
      <c r="J216" s="17" t="str">
        <f t="shared" si="3"/>
        <v>uint16</v>
      </c>
      <c r="K216" s="17"/>
      <c r="L216" s="17"/>
      <c r="M216" s="100" t="str">
        <f>'[1]Can Matrix'!$R$2</f>
        <v>Unsigned</v>
      </c>
      <c r="N216" s="101" t="str">
        <f>IFERROR(IF(VLOOKUP(F216, '[1]Can Matrix'!$M:$X, 12, FALSE)=0, "", "TMS_Enum_" &amp; VLOOKUP(F216, '[1]Can Matrix'!$M:$X, 12, FALSE)), "")</f>
        <v/>
      </c>
      <c r="O216" s="17"/>
      <c r="P216" s="17"/>
      <c r="Q216" s="17"/>
      <c r="R216" s="17"/>
      <c r="S216" s="17"/>
      <c r="T216" s="17"/>
      <c r="U216" s="17"/>
      <c r="V216" s="17"/>
      <c r="W216" s="17"/>
      <c r="X216" s="103"/>
      <c r="Y216" s="17"/>
      <c r="Z216" s="101" t="str">
        <f>IF(N216="", "", IF(ISNUMBER(MATCH(N216, TextTables!A:A, 0)), "Y", "N"))</f>
        <v/>
      </c>
      <c r="AA216" s="101" t="str">
        <f>IF(ISNUMBER(MATCH(F216, '[1]Can Matrix'!M:M, 0)), "Y", "N")</f>
        <v>Y</v>
      </c>
    </row>
    <row r="217" spans="1:27" ht="16.8">
      <c r="A217" s="17"/>
      <c r="B217" s="17"/>
      <c r="C217" s="17"/>
      <c r="D217" s="17" t="s">
        <v>143</v>
      </c>
      <c r="E217" s="17"/>
      <c r="F217" s="17" t="s">
        <v>6053</v>
      </c>
      <c r="G217" s="17" t="s">
        <v>6053</v>
      </c>
      <c r="H217" s="17"/>
      <c r="I217" s="97">
        <f>VLOOKUP(F217, '[1]Can Matrix'!$M:$X, 2, FALSE)</f>
        <v>10</v>
      </c>
      <c r="J217" s="17" t="str">
        <f t="shared" si="3"/>
        <v>uint16</v>
      </c>
      <c r="K217" s="17"/>
      <c r="L217" s="17"/>
      <c r="M217" s="100" t="str">
        <f>'[1]Can Matrix'!$R$2</f>
        <v>Unsigned</v>
      </c>
      <c r="N217" s="101" t="str">
        <f>IFERROR(IF(VLOOKUP(F217, '[1]Can Matrix'!$M:$X, 12, FALSE)=0, "", "TMS_Enum_" &amp; VLOOKUP(F217, '[1]Can Matrix'!$M:$X, 12, FALSE)), "")</f>
        <v/>
      </c>
      <c r="O217" s="17"/>
      <c r="P217" s="17"/>
      <c r="Q217" s="17"/>
      <c r="R217" s="17"/>
      <c r="S217" s="17"/>
      <c r="T217" s="17"/>
      <c r="U217" s="17"/>
      <c r="V217" s="17"/>
      <c r="W217" s="17"/>
      <c r="X217" s="103"/>
      <c r="Y217" s="17"/>
      <c r="Z217" s="101" t="str">
        <f>IF(N217="", "", IF(ISNUMBER(MATCH(N217, TextTables!A:A, 0)), "Y", "N"))</f>
        <v/>
      </c>
      <c r="AA217" s="101" t="str">
        <f>IF(ISNUMBER(MATCH(F217, '[1]Can Matrix'!M:M, 0)), "Y", "N")</f>
        <v>Y</v>
      </c>
    </row>
    <row r="218" spans="1:27" ht="16.8">
      <c r="A218" s="17"/>
      <c r="B218" s="17"/>
      <c r="C218" s="17"/>
      <c r="D218" s="17" t="s">
        <v>143</v>
      </c>
      <c r="E218" s="17"/>
      <c r="F218" s="17" t="s">
        <v>6054</v>
      </c>
      <c r="G218" s="17" t="s">
        <v>6054</v>
      </c>
      <c r="H218" s="17"/>
      <c r="I218" s="97">
        <f>VLOOKUP(F218, '[1]Can Matrix'!$M:$X, 2, FALSE)</f>
        <v>10</v>
      </c>
      <c r="J218" s="17" t="str">
        <f t="shared" si="3"/>
        <v>uint16</v>
      </c>
      <c r="K218" s="17"/>
      <c r="L218" s="17"/>
      <c r="M218" s="100" t="str">
        <f>'[1]Can Matrix'!$R$2</f>
        <v>Unsigned</v>
      </c>
      <c r="N218" s="101" t="str">
        <f>IFERROR(IF(VLOOKUP(F218, '[1]Can Matrix'!$M:$X, 12, FALSE)=0, "", "TMS_Enum_" &amp; VLOOKUP(F218, '[1]Can Matrix'!$M:$X, 12, FALSE)), "")</f>
        <v/>
      </c>
      <c r="O218" s="17"/>
      <c r="P218" s="17"/>
      <c r="Q218" s="17"/>
      <c r="R218" s="17"/>
      <c r="S218" s="17"/>
      <c r="T218" s="17"/>
      <c r="U218" s="17"/>
      <c r="V218" s="17"/>
      <c r="W218" s="17"/>
      <c r="X218" s="103"/>
      <c r="Y218" s="17"/>
      <c r="Z218" s="101" t="str">
        <f>IF(N218="", "", IF(ISNUMBER(MATCH(N218, TextTables!A:A, 0)), "Y", "N"))</f>
        <v/>
      </c>
      <c r="AA218" s="101" t="str">
        <f>IF(ISNUMBER(MATCH(F218, '[1]Can Matrix'!M:M, 0)), "Y", "N")</f>
        <v>Y</v>
      </c>
    </row>
    <row r="219" spans="1:27" ht="16.8">
      <c r="A219" s="17"/>
      <c r="B219" s="17"/>
      <c r="C219" s="17"/>
      <c r="D219" s="17" t="s">
        <v>143</v>
      </c>
      <c r="E219" s="17"/>
      <c r="F219" s="17" t="s">
        <v>6055</v>
      </c>
      <c r="G219" s="17" t="s">
        <v>6055</v>
      </c>
      <c r="H219" s="17"/>
      <c r="I219" s="97">
        <f>VLOOKUP(F219, '[1]Can Matrix'!$M:$X, 2, FALSE)</f>
        <v>10</v>
      </c>
      <c r="J219" s="17" t="str">
        <f t="shared" si="3"/>
        <v>uint16</v>
      </c>
      <c r="K219" s="17"/>
      <c r="L219" s="17"/>
      <c r="M219" s="100" t="str">
        <f>'[1]Can Matrix'!$R$2</f>
        <v>Unsigned</v>
      </c>
      <c r="N219" s="101" t="str">
        <f>IFERROR(IF(VLOOKUP(F219, '[1]Can Matrix'!$M:$X, 12, FALSE)=0, "", "TMS_Enum_" &amp; VLOOKUP(F219, '[1]Can Matrix'!$M:$X, 12, FALSE)), "")</f>
        <v/>
      </c>
      <c r="O219" s="17"/>
      <c r="P219" s="17"/>
      <c r="Q219" s="17"/>
      <c r="R219" s="17"/>
      <c r="S219" s="17"/>
      <c r="T219" s="17"/>
      <c r="U219" s="17"/>
      <c r="V219" s="17"/>
      <c r="W219" s="17"/>
      <c r="X219" s="103"/>
      <c r="Y219" s="17"/>
      <c r="Z219" s="101" t="str">
        <f>IF(N219="", "", IF(ISNUMBER(MATCH(N219, TextTables!A:A, 0)), "Y", "N"))</f>
        <v/>
      </c>
      <c r="AA219" s="101" t="str">
        <f>IF(ISNUMBER(MATCH(F219, '[1]Can Matrix'!M:M, 0)), "Y", "N")</f>
        <v>Y</v>
      </c>
    </row>
    <row r="220" spans="1:27" ht="16.8">
      <c r="A220" s="17"/>
      <c r="B220" s="17"/>
      <c r="C220" s="17"/>
      <c r="D220" s="17" t="s">
        <v>143</v>
      </c>
      <c r="E220" s="17"/>
      <c r="F220" s="17" t="s">
        <v>6056</v>
      </c>
      <c r="G220" s="17" t="s">
        <v>6056</v>
      </c>
      <c r="H220" s="17"/>
      <c r="I220" s="97">
        <f>VLOOKUP(F220, '[1]Can Matrix'!$M:$X, 2, FALSE)</f>
        <v>10</v>
      </c>
      <c r="J220" s="17" t="str">
        <f t="shared" si="3"/>
        <v>uint16</v>
      </c>
      <c r="K220" s="17"/>
      <c r="L220" s="17"/>
      <c r="M220" s="100" t="str">
        <f>'[1]Can Matrix'!$R$2</f>
        <v>Unsigned</v>
      </c>
      <c r="N220" s="101" t="str">
        <f>IFERROR(IF(VLOOKUP(F220, '[1]Can Matrix'!$M:$X, 12, FALSE)=0, "", "TMS_Enum_" &amp; VLOOKUP(F220, '[1]Can Matrix'!$M:$X, 12, FALSE)), "")</f>
        <v/>
      </c>
      <c r="O220" s="17"/>
      <c r="P220" s="17"/>
      <c r="Q220" s="17"/>
      <c r="R220" s="17"/>
      <c r="S220" s="17"/>
      <c r="T220" s="17"/>
      <c r="U220" s="17"/>
      <c r="V220" s="17"/>
      <c r="W220" s="17"/>
      <c r="X220" s="103"/>
      <c r="Y220" s="17"/>
      <c r="Z220" s="101" t="str">
        <f>IF(N220="", "", IF(ISNUMBER(MATCH(N220, TextTables!A:A, 0)), "Y", "N"))</f>
        <v/>
      </c>
      <c r="AA220" s="101" t="str">
        <f>IF(ISNUMBER(MATCH(F220, '[1]Can Matrix'!M:M, 0)), "Y", "N")</f>
        <v>Y</v>
      </c>
    </row>
    <row r="221" spans="1:27" ht="16.8">
      <c r="A221" s="17"/>
      <c r="B221" s="17"/>
      <c r="C221" s="17"/>
      <c r="D221" s="17" t="s">
        <v>143</v>
      </c>
      <c r="E221" s="17"/>
      <c r="F221" s="17" t="s">
        <v>6057</v>
      </c>
      <c r="G221" s="17" t="s">
        <v>6057</v>
      </c>
      <c r="H221" s="17"/>
      <c r="I221" s="97">
        <f>VLOOKUP(F221, '[1]Can Matrix'!$M:$X, 2, FALSE)</f>
        <v>10</v>
      </c>
      <c r="J221" s="17" t="str">
        <f t="shared" si="3"/>
        <v>uint16</v>
      </c>
      <c r="K221" s="17"/>
      <c r="L221" s="17"/>
      <c r="M221" s="100" t="str">
        <f>'[1]Can Matrix'!$R$2</f>
        <v>Unsigned</v>
      </c>
      <c r="N221" s="101" t="str">
        <f>IFERROR(IF(VLOOKUP(F221, '[1]Can Matrix'!$M:$X, 12, FALSE)=0, "", "TMS_Enum_" &amp; VLOOKUP(F221, '[1]Can Matrix'!$M:$X, 12, FALSE)), "")</f>
        <v/>
      </c>
      <c r="O221" s="17"/>
      <c r="P221" s="17"/>
      <c r="Q221" s="17"/>
      <c r="R221" s="17"/>
      <c r="S221" s="17"/>
      <c r="T221" s="17"/>
      <c r="U221" s="17"/>
      <c r="V221" s="17"/>
      <c r="W221" s="17"/>
      <c r="X221" s="103"/>
      <c r="Y221" s="17"/>
      <c r="Z221" s="101" t="str">
        <f>IF(N221="", "", IF(ISNUMBER(MATCH(N221, TextTables!A:A, 0)), "Y", "N"))</f>
        <v/>
      </c>
      <c r="AA221" s="101" t="str">
        <f>IF(ISNUMBER(MATCH(F221, '[1]Can Matrix'!M:M, 0)), "Y", "N")</f>
        <v>Y</v>
      </c>
    </row>
    <row r="222" spans="1:27" ht="16.8">
      <c r="A222" s="17"/>
      <c r="B222" s="17"/>
      <c r="C222" s="17"/>
      <c r="D222" s="17" t="s">
        <v>143</v>
      </c>
      <c r="E222" s="17"/>
      <c r="F222" s="17" t="s">
        <v>6058</v>
      </c>
      <c r="G222" s="17" t="s">
        <v>6058</v>
      </c>
      <c r="H222" s="17"/>
      <c r="I222" s="97">
        <f>VLOOKUP(F222, '[1]Can Matrix'!$M:$X, 2, FALSE)</f>
        <v>10</v>
      </c>
      <c r="J222" s="17" t="str">
        <f t="shared" ref="J222:J285" si="4">IF(I222&lt;=8,"uint8",IF(I222&lt;=16,"uint16","uint32"))</f>
        <v>uint16</v>
      </c>
      <c r="K222" s="17"/>
      <c r="L222" s="17"/>
      <c r="M222" s="100" t="str">
        <f>'[1]Can Matrix'!$R$2</f>
        <v>Unsigned</v>
      </c>
      <c r="N222" s="101" t="str">
        <f>IFERROR(IF(VLOOKUP(F222, '[1]Can Matrix'!$M:$X, 12, FALSE)=0, "", "TMS_Enum_" &amp; VLOOKUP(F222, '[1]Can Matrix'!$M:$X, 12, FALSE)), "")</f>
        <v/>
      </c>
      <c r="O222" s="17"/>
      <c r="P222" s="17"/>
      <c r="Q222" s="17"/>
      <c r="R222" s="17"/>
      <c r="S222" s="17"/>
      <c r="T222" s="17"/>
      <c r="U222" s="17"/>
      <c r="V222" s="17"/>
      <c r="W222" s="17"/>
      <c r="X222" s="103"/>
      <c r="Y222" s="17"/>
      <c r="Z222" s="101" t="str">
        <f>IF(N222="", "", IF(ISNUMBER(MATCH(N222, TextTables!A:A, 0)), "Y", "N"))</f>
        <v/>
      </c>
      <c r="AA222" s="101" t="str">
        <f>IF(ISNUMBER(MATCH(F222, '[1]Can Matrix'!M:M, 0)), "Y", "N")</f>
        <v>Y</v>
      </c>
    </row>
    <row r="223" spans="1:27" ht="16.8">
      <c r="A223" s="17"/>
      <c r="B223" s="17"/>
      <c r="C223" s="17"/>
      <c r="D223" s="17" t="s">
        <v>143</v>
      </c>
      <c r="E223" s="17"/>
      <c r="F223" s="17" t="s">
        <v>6059</v>
      </c>
      <c r="G223" s="17" t="s">
        <v>6059</v>
      </c>
      <c r="H223" s="17"/>
      <c r="I223" s="97">
        <f>VLOOKUP(F223, '[1]Can Matrix'!$M:$X, 2, FALSE)</f>
        <v>1</v>
      </c>
      <c r="J223" s="17" t="str">
        <f t="shared" si="4"/>
        <v>uint8</v>
      </c>
      <c r="K223" s="17"/>
      <c r="L223" s="17"/>
      <c r="M223" s="100" t="str">
        <f>'[1]Can Matrix'!$R$2</f>
        <v>Unsigned</v>
      </c>
      <c r="N223" s="101" t="str">
        <f>IFERROR(IF(VLOOKUP(F223, '[1]Can Matrix'!$M:$X, 12, FALSE)=0, "", "TMS_Enum_" &amp; VLOOKUP(F223, '[1]Can Matrix'!$M:$X, 12, FALSE)), "")</f>
        <v>TMS_Enum_OnOffSts</v>
      </c>
      <c r="O223" s="17"/>
      <c r="P223" s="17"/>
      <c r="Q223" s="17"/>
      <c r="R223" s="17"/>
      <c r="S223" s="17"/>
      <c r="T223" s="17"/>
      <c r="U223" s="17"/>
      <c r="V223" s="17"/>
      <c r="W223" s="17"/>
      <c r="X223" s="103"/>
      <c r="Y223" s="17"/>
      <c r="Z223" s="101" t="str">
        <f>IF(N223="", "", IF(ISNUMBER(MATCH(N223, TextTables!A:A, 0)), "Y", "N"))</f>
        <v>Y</v>
      </c>
      <c r="AA223" s="101" t="str">
        <f>IF(ISNUMBER(MATCH(F223, '[1]Can Matrix'!M:M, 0)), "Y", "N")</f>
        <v>Y</v>
      </c>
    </row>
    <row r="224" spans="1:27" ht="16.8">
      <c r="A224" s="17"/>
      <c r="B224" s="17"/>
      <c r="C224" s="17"/>
      <c r="D224" s="17" t="s">
        <v>143</v>
      </c>
      <c r="E224" s="17"/>
      <c r="F224" s="17" t="s">
        <v>6060</v>
      </c>
      <c r="G224" s="17" t="s">
        <v>6060</v>
      </c>
      <c r="H224" s="17"/>
      <c r="I224" s="97">
        <f>VLOOKUP(F224, '[1]Can Matrix'!$M:$X, 2, FALSE)</f>
        <v>9</v>
      </c>
      <c r="J224" s="17" t="str">
        <f t="shared" si="4"/>
        <v>uint16</v>
      </c>
      <c r="K224" s="17"/>
      <c r="L224" s="17"/>
      <c r="M224" s="100" t="str">
        <f>'[1]Can Matrix'!$R$2</f>
        <v>Unsigned</v>
      </c>
      <c r="N224" s="101" t="str">
        <f>IFERROR(IF(VLOOKUP(F224, '[1]Can Matrix'!$M:$X, 12, FALSE)=0, "", "TMS_Enum_" &amp; VLOOKUP(F224, '[1]Can Matrix'!$M:$X, 12, FALSE)), "")</f>
        <v/>
      </c>
      <c r="O224" s="17"/>
      <c r="P224" s="17"/>
      <c r="Q224" s="17"/>
      <c r="R224" s="17"/>
      <c r="S224" s="17"/>
      <c r="T224" s="17"/>
      <c r="U224" s="17"/>
      <c r="V224" s="17"/>
      <c r="W224" s="17"/>
      <c r="X224" s="103"/>
      <c r="Y224" s="17"/>
      <c r="Z224" s="101" t="str">
        <f>IF(N224="", "", IF(ISNUMBER(MATCH(N224, TextTables!A:A, 0)), "Y", "N"))</f>
        <v/>
      </c>
      <c r="AA224" s="101" t="str">
        <f>IF(ISNUMBER(MATCH(F224, '[1]Can Matrix'!M:M, 0)), "Y", "N")</f>
        <v>Y</v>
      </c>
    </row>
    <row r="225" spans="1:27" s="6" customFormat="1" ht="16.8">
      <c r="A225" s="17"/>
      <c r="B225" s="17"/>
      <c r="C225" s="17"/>
      <c r="D225" s="17" t="s">
        <v>143</v>
      </c>
      <c r="E225" s="17"/>
      <c r="F225" s="17" t="s">
        <v>6061</v>
      </c>
      <c r="G225" s="17" t="s">
        <v>6061</v>
      </c>
      <c r="H225" s="17"/>
      <c r="I225" s="97">
        <f>VLOOKUP(F225, '[1]Can Matrix'!$M:$X, 2, FALSE)</f>
        <v>3</v>
      </c>
      <c r="J225" s="17" t="str">
        <f t="shared" si="4"/>
        <v>uint8</v>
      </c>
      <c r="K225" s="17"/>
      <c r="L225" s="17"/>
      <c r="M225" s="100" t="str">
        <f>'[1]Can Matrix'!$R$2</f>
        <v>Unsigned</v>
      </c>
      <c r="N225" s="101" t="str">
        <f>IFERROR(IF(VLOOKUP(F225, '[1]Can Matrix'!$M:$X, 12, FALSE)=0, "", "TMS_Enum_" &amp; VLOOKUP(F225, '[1]Can Matrix'!$M:$X, 12, FALSE)), "")</f>
        <v>TMS_Enum_HvCoolg1</v>
      </c>
      <c r="O225" s="17"/>
      <c r="P225" s="17"/>
      <c r="Q225" s="17"/>
      <c r="R225" s="17"/>
      <c r="S225" s="17"/>
      <c r="T225" s="17"/>
      <c r="U225" s="17"/>
      <c r="V225" s="17"/>
      <c r="W225" s="17"/>
      <c r="X225" s="103"/>
      <c r="Y225" s="17"/>
      <c r="Z225" s="101" t="str">
        <f>IF(N225="", "", IF(ISNUMBER(MATCH(N225, TextTables!A:A, 0)), "Y", "N"))</f>
        <v>Y</v>
      </c>
      <c r="AA225" s="101" t="str">
        <f>IF(ISNUMBER(MATCH(F225, '[1]Can Matrix'!M:M, 0)), "Y", "N")</f>
        <v>Y</v>
      </c>
    </row>
    <row r="226" spans="1:27" s="6" customFormat="1" ht="16.8">
      <c r="A226" s="17"/>
      <c r="B226" s="17"/>
      <c r="C226" s="17"/>
      <c r="D226" s="17" t="s">
        <v>143</v>
      </c>
      <c r="E226" s="17"/>
      <c r="F226" s="17" t="s">
        <v>6062</v>
      </c>
      <c r="G226" s="17" t="s">
        <v>6062</v>
      </c>
      <c r="H226" s="17"/>
      <c r="I226" s="97">
        <f>VLOOKUP(F226, '[1]Can Matrix'!$M:$X, 2, FALSE)</f>
        <v>12</v>
      </c>
      <c r="J226" s="17" t="str">
        <f t="shared" si="4"/>
        <v>uint16</v>
      </c>
      <c r="K226" s="17"/>
      <c r="L226" s="17"/>
      <c r="M226" s="100" t="str">
        <f>'[1]Can Matrix'!$R$2</f>
        <v>Unsigned</v>
      </c>
      <c r="N226" s="101" t="str">
        <f>IFERROR(IF(VLOOKUP(F226, '[1]Can Matrix'!$M:$X, 12, FALSE)=0, "", "TMS_Enum_" &amp; VLOOKUP(F226, '[1]Can Matrix'!$M:$X, 12, FALSE)), "")</f>
        <v/>
      </c>
      <c r="O226" s="17"/>
      <c r="P226" s="17"/>
      <c r="Q226" s="17"/>
      <c r="R226" s="17"/>
      <c r="S226" s="17"/>
      <c r="T226" s="17"/>
      <c r="U226" s="17"/>
      <c r="V226" s="17"/>
      <c r="W226" s="17"/>
      <c r="X226" s="103"/>
      <c r="Y226" s="17"/>
      <c r="Z226" s="101" t="str">
        <f>IF(N226="", "", IF(ISNUMBER(MATCH(N226, TextTables!A:A, 0)), "Y", "N"))</f>
        <v/>
      </c>
      <c r="AA226" s="101" t="str">
        <f>IF(ISNUMBER(MATCH(F226, '[1]Can Matrix'!M:M, 0)), "Y", "N")</f>
        <v>Y</v>
      </c>
    </row>
    <row r="227" spans="1:27" ht="16.8">
      <c r="A227" s="17"/>
      <c r="B227" s="17"/>
      <c r="C227" s="17"/>
      <c r="D227" s="17" t="s">
        <v>143</v>
      </c>
      <c r="E227" s="17"/>
      <c r="F227" s="17" t="s">
        <v>6063</v>
      </c>
      <c r="G227" s="17" t="s">
        <v>6063</v>
      </c>
      <c r="H227" s="17"/>
      <c r="I227" s="97">
        <f>VLOOKUP(F227, '[1]Can Matrix'!$M:$X, 2, FALSE)</f>
        <v>12</v>
      </c>
      <c r="J227" s="17" t="str">
        <f t="shared" si="4"/>
        <v>uint16</v>
      </c>
      <c r="K227" s="17"/>
      <c r="L227" s="17"/>
      <c r="M227" s="100" t="str">
        <f>'[1]Can Matrix'!$R$2</f>
        <v>Unsigned</v>
      </c>
      <c r="N227" s="101" t="str">
        <f>IFERROR(IF(VLOOKUP(F227, '[1]Can Matrix'!$M:$X, 12, FALSE)=0, "", "TMS_Enum_" &amp; VLOOKUP(F227, '[1]Can Matrix'!$M:$X, 12, FALSE)), "")</f>
        <v/>
      </c>
      <c r="O227" s="17"/>
      <c r="P227" s="17"/>
      <c r="Q227" s="17"/>
      <c r="R227" s="17"/>
      <c r="S227" s="17"/>
      <c r="T227" s="17"/>
      <c r="U227" s="17"/>
      <c r="V227" s="17"/>
      <c r="W227" s="17"/>
      <c r="X227" s="103"/>
      <c r="Y227" s="17"/>
      <c r="Z227" s="101" t="str">
        <f>IF(N227="", "", IF(ISNUMBER(MATCH(N227, TextTables!A:A, 0)), "Y", "N"))</f>
        <v/>
      </c>
      <c r="AA227" s="101" t="str">
        <f>IF(ISNUMBER(MATCH(F227, '[1]Can Matrix'!M:M, 0)), "Y", "N")</f>
        <v>Y</v>
      </c>
    </row>
    <row r="228" spans="1:27" ht="16.8">
      <c r="A228" s="17"/>
      <c r="B228" s="17"/>
      <c r="C228" s="17"/>
      <c r="D228" s="17" t="s">
        <v>143</v>
      </c>
      <c r="E228" s="17"/>
      <c r="F228" s="17" t="s">
        <v>6064</v>
      </c>
      <c r="G228" s="17" t="s">
        <v>6064</v>
      </c>
      <c r="H228" s="17"/>
      <c r="I228" s="97">
        <f>VLOOKUP(F228, '[1]Can Matrix'!$M:$X, 2, FALSE)</f>
        <v>12</v>
      </c>
      <c r="J228" s="17" t="str">
        <f t="shared" si="4"/>
        <v>uint16</v>
      </c>
      <c r="K228" s="17"/>
      <c r="L228" s="17"/>
      <c r="M228" s="100" t="str">
        <f>'[1]Can Matrix'!$R$2</f>
        <v>Unsigned</v>
      </c>
      <c r="N228" s="101" t="str">
        <f>IFERROR(IF(VLOOKUP(F228, '[1]Can Matrix'!$M:$X, 12, FALSE)=0, "", "TMS_Enum_" &amp; VLOOKUP(F228, '[1]Can Matrix'!$M:$X, 12, FALSE)), "")</f>
        <v/>
      </c>
      <c r="O228" s="17"/>
      <c r="P228" s="17"/>
      <c r="Q228" s="17"/>
      <c r="R228" s="17"/>
      <c r="S228" s="17"/>
      <c r="T228" s="17"/>
      <c r="U228" s="17"/>
      <c r="V228" s="17"/>
      <c r="W228" s="17"/>
      <c r="X228" s="103"/>
      <c r="Y228" s="17"/>
      <c r="Z228" s="101" t="str">
        <f>IF(N228="", "", IF(ISNUMBER(MATCH(N228, TextTables!A:A, 0)), "Y", "N"))</f>
        <v/>
      </c>
      <c r="AA228" s="101" t="str">
        <f>IF(ISNUMBER(MATCH(F228, '[1]Can Matrix'!M:M, 0)), "Y", "N")</f>
        <v>Y</v>
      </c>
    </row>
    <row r="229" spans="1:27" ht="16.8">
      <c r="A229" s="17"/>
      <c r="B229" s="17"/>
      <c r="C229" s="17"/>
      <c r="D229" s="17" t="s">
        <v>143</v>
      </c>
      <c r="E229" s="17"/>
      <c r="F229" s="17" t="s">
        <v>6065</v>
      </c>
      <c r="G229" s="17" t="s">
        <v>6065</v>
      </c>
      <c r="H229" s="17"/>
      <c r="I229" s="97">
        <f>VLOOKUP(F229, '[1]Can Matrix'!$M:$X, 2, FALSE)</f>
        <v>4</v>
      </c>
      <c r="J229" s="17" t="str">
        <f t="shared" si="4"/>
        <v>uint8</v>
      </c>
      <c r="K229" s="17"/>
      <c r="L229" s="17"/>
      <c r="M229" s="100" t="str">
        <f>'[1]Can Matrix'!$R$2</f>
        <v>Unsigned</v>
      </c>
      <c r="N229" s="101" t="str">
        <f>IFERROR(IF(VLOOKUP(F229, '[1]Can Matrix'!$M:$X, 12, FALSE)=0, "", "TMS_Enum_" &amp; VLOOKUP(F229, '[1]Can Matrix'!$M:$X, 12, FALSE)), "")</f>
        <v>TMS_Enum_DCChrgrSts</v>
      </c>
      <c r="O229" s="17"/>
      <c r="P229" s="17"/>
      <c r="Q229" s="17"/>
      <c r="R229" s="17"/>
      <c r="S229" s="17"/>
      <c r="T229" s="17"/>
      <c r="U229" s="17"/>
      <c r="V229" s="17"/>
      <c r="W229" s="17"/>
      <c r="X229" s="103"/>
      <c r="Y229" s="17"/>
      <c r="Z229" s="101" t="str">
        <f>IF(N229="", "", IF(ISNUMBER(MATCH(N229, TextTables!A:A, 0)), "Y", "N"))</f>
        <v>Y</v>
      </c>
      <c r="AA229" s="101" t="str">
        <f>IF(ISNUMBER(MATCH(F229, '[1]Can Matrix'!M:M, 0)), "Y", "N")</f>
        <v>Y</v>
      </c>
    </row>
    <row r="230" spans="1:27" ht="16.8">
      <c r="A230" s="17"/>
      <c r="B230" s="17"/>
      <c r="C230" s="17"/>
      <c r="D230" s="17" t="s">
        <v>143</v>
      </c>
      <c r="E230" s="17"/>
      <c r="F230" s="17" t="s">
        <v>6066</v>
      </c>
      <c r="G230" s="17" t="s">
        <v>6066</v>
      </c>
      <c r="H230" s="17"/>
      <c r="I230" s="97">
        <f>VLOOKUP(F230, '[1]Can Matrix'!$M:$X, 2, FALSE)</f>
        <v>3</v>
      </c>
      <c r="J230" s="17" t="str">
        <f t="shared" si="4"/>
        <v>uint8</v>
      </c>
      <c r="K230" s="17"/>
      <c r="L230" s="17"/>
      <c r="M230" s="100" t="str">
        <f>'[1]Can Matrix'!$R$2</f>
        <v>Unsigned</v>
      </c>
      <c r="N230" s="101" t="str">
        <f>IFERROR(IF(VLOOKUP(F230, '[1]Can Matrix'!$M:$X, 12, FALSE)=0, "", "TMS_Enum_" &amp; VLOOKUP(F230, '[1]Can Matrix'!$M:$X, 12, FALSE)), "")</f>
        <v>TMS_Enum_OnBdChrgrHndlSts</v>
      </c>
      <c r="O230" s="17"/>
      <c r="P230" s="17"/>
      <c r="Q230" s="17"/>
      <c r="R230" s="17"/>
      <c r="S230" s="17"/>
      <c r="T230" s="17"/>
      <c r="U230" s="17"/>
      <c r="V230" s="17"/>
      <c r="W230" s="17"/>
      <c r="X230" s="103"/>
      <c r="Y230" s="17"/>
      <c r="Z230" s="101" t="str">
        <f>IF(N230="", "", IF(ISNUMBER(MATCH(N230, TextTables!A:A, 0)), "Y", "N"))</f>
        <v>Y</v>
      </c>
      <c r="AA230" s="101" t="str">
        <f>IF(ISNUMBER(MATCH(F230, '[1]Can Matrix'!M:M, 0)), "Y", "N")</f>
        <v>Y</v>
      </c>
    </row>
    <row r="231" spans="1:27" ht="16.8">
      <c r="A231" s="17"/>
      <c r="B231" s="17"/>
      <c r="C231" s="17"/>
      <c r="D231" s="17" t="s">
        <v>143</v>
      </c>
      <c r="E231" s="17"/>
      <c r="F231" s="17" t="s">
        <v>6067</v>
      </c>
      <c r="G231" s="17" t="s">
        <v>6067</v>
      </c>
      <c r="H231" s="17"/>
      <c r="I231" s="97">
        <f>VLOOKUP(F231, '[1]Can Matrix'!$M:$X, 2, FALSE)</f>
        <v>4</v>
      </c>
      <c r="J231" s="17" t="str">
        <f t="shared" si="4"/>
        <v>uint8</v>
      </c>
      <c r="K231" s="17"/>
      <c r="L231" s="17"/>
      <c r="M231" s="100" t="str">
        <f>'[1]Can Matrix'!$R$2</f>
        <v>Unsigned</v>
      </c>
      <c r="N231" s="101" t="str">
        <f>IFERROR(IF(VLOOKUP(F231, '[1]Can Matrix'!$M:$X, 12, FALSE)=0, "", "TMS_Enum_" &amp; VLOOKUP(F231, '[1]Can Matrix'!$M:$X, 12, FALSE)), "")</f>
        <v>TMS_Enum_DCChrgrSts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03"/>
      <c r="Y231" s="17"/>
      <c r="Z231" s="101" t="str">
        <f>IF(N231="", "", IF(ISNUMBER(MATCH(N231, TextTables!A:A, 0)), "Y", "N"))</f>
        <v>Y</v>
      </c>
      <c r="AA231" s="101" t="str">
        <f>IF(ISNUMBER(MATCH(F231, '[1]Can Matrix'!M:M, 0)), "Y", "N")</f>
        <v>Y</v>
      </c>
    </row>
    <row r="232" spans="1:27" ht="16.8">
      <c r="A232" s="17"/>
      <c r="B232" s="17"/>
      <c r="C232" s="17"/>
      <c r="D232" s="17" t="s">
        <v>143</v>
      </c>
      <c r="E232" s="17"/>
      <c r="F232" s="17" t="s">
        <v>6068</v>
      </c>
      <c r="G232" s="17" t="s">
        <v>6068</v>
      </c>
      <c r="H232" s="17"/>
      <c r="I232" s="97">
        <f>VLOOKUP(F232, '[1]Can Matrix'!$M:$X, 2, FALSE)</f>
        <v>3</v>
      </c>
      <c r="J232" s="17" t="str">
        <f t="shared" si="4"/>
        <v>uint8</v>
      </c>
      <c r="K232" s="17"/>
      <c r="L232" s="17"/>
      <c r="M232" s="100" t="str">
        <f>'[1]Can Matrix'!$R$2</f>
        <v>Unsigned</v>
      </c>
      <c r="N232" s="101" t="str">
        <f>IFERROR(IF(VLOOKUP(F232, '[1]Can Matrix'!$M:$X, 12, FALSE)=0, "", "TMS_Enum_" &amp; VLOOKUP(F232, '[1]Can Matrix'!$M:$X, 12, FALSE)), "")</f>
        <v>TMS_Enum_OnBdChrgrHndlSts</v>
      </c>
      <c r="O232" s="17"/>
      <c r="P232" s="17"/>
      <c r="Q232" s="17"/>
      <c r="R232" s="17"/>
      <c r="S232" s="17"/>
      <c r="T232" s="17"/>
      <c r="U232" s="17"/>
      <c r="V232" s="17"/>
      <c r="W232" s="17"/>
      <c r="X232" s="103"/>
      <c r="Y232" s="17"/>
      <c r="Z232" s="101" t="str">
        <f>IF(N232="", "", IF(ISNUMBER(MATCH(N232, TextTables!A:A, 0)), "Y", "N"))</f>
        <v>Y</v>
      </c>
      <c r="AA232" s="101" t="str">
        <f>IF(ISNUMBER(MATCH(F232, '[1]Can Matrix'!M:M, 0)), "Y", "N")</f>
        <v>Y</v>
      </c>
    </row>
    <row r="233" spans="1:27" ht="16.8">
      <c r="A233" s="17"/>
      <c r="B233" s="17"/>
      <c r="C233" s="17"/>
      <c r="D233" s="17" t="s">
        <v>143</v>
      </c>
      <c r="E233" s="17"/>
      <c r="F233" s="17" t="s">
        <v>6069</v>
      </c>
      <c r="G233" s="17" t="s">
        <v>6069</v>
      </c>
      <c r="H233" s="17"/>
      <c r="I233" s="97">
        <f>VLOOKUP(F233, '[1]Can Matrix'!$M:$X, 2, FALSE)</f>
        <v>9</v>
      </c>
      <c r="J233" s="17" t="str">
        <f t="shared" si="4"/>
        <v>uint16</v>
      </c>
      <c r="K233" s="17"/>
      <c r="L233" s="17"/>
      <c r="M233" s="100" t="str">
        <f>'[1]Can Matrix'!$R$2</f>
        <v>Unsigned</v>
      </c>
      <c r="N233" s="101" t="str">
        <f>IFERROR(IF(VLOOKUP(F233, '[1]Can Matrix'!$M:$X, 12, FALSE)=0, "", "TMS_Enum_" &amp; VLOOKUP(F233, '[1]Can Matrix'!$M:$X, 12, FALSE)), "")</f>
        <v/>
      </c>
      <c r="O233" s="17"/>
      <c r="P233" s="17"/>
      <c r="Q233" s="17"/>
      <c r="R233" s="17"/>
      <c r="S233" s="17"/>
      <c r="T233" s="17"/>
      <c r="U233" s="17"/>
      <c r="V233" s="17"/>
      <c r="W233" s="17"/>
      <c r="X233" s="103"/>
      <c r="Y233" s="17"/>
      <c r="Z233" s="101" t="str">
        <f>IF(N233="", "", IF(ISNUMBER(MATCH(N233, TextTables!A:A, 0)), "Y", "N"))</f>
        <v/>
      </c>
      <c r="AA233" s="101" t="str">
        <f>IF(ISNUMBER(MATCH(F233, '[1]Can Matrix'!M:M, 0)), "Y", "N")</f>
        <v>Y</v>
      </c>
    </row>
    <row r="234" spans="1:27" ht="16.8">
      <c r="A234" s="17"/>
      <c r="B234" s="17"/>
      <c r="C234" s="17"/>
      <c r="D234" s="17" t="s">
        <v>143</v>
      </c>
      <c r="E234" s="17"/>
      <c r="F234" s="17" t="s">
        <v>6070</v>
      </c>
      <c r="G234" s="17" t="s">
        <v>6070</v>
      </c>
      <c r="H234" s="17"/>
      <c r="I234" s="97">
        <f>VLOOKUP(F234, '[1]Can Matrix'!$M:$X, 2, FALSE)</f>
        <v>12</v>
      </c>
      <c r="J234" s="17" t="str">
        <f t="shared" si="4"/>
        <v>uint16</v>
      </c>
      <c r="K234" s="17"/>
      <c r="L234" s="17"/>
      <c r="M234" s="100" t="str">
        <f>'[1]Can Matrix'!$R$2</f>
        <v>Unsigned</v>
      </c>
      <c r="N234" s="101" t="str">
        <f>IFERROR(IF(VLOOKUP(F234, '[1]Can Matrix'!$M:$X, 12, FALSE)=0, "", "TMS_Enum_" &amp; VLOOKUP(F234, '[1]Can Matrix'!$M:$X, 12, FALSE)), "")</f>
        <v/>
      </c>
      <c r="O234" s="17"/>
      <c r="P234" s="17"/>
      <c r="Q234" s="17"/>
      <c r="R234" s="17"/>
      <c r="S234" s="17"/>
      <c r="T234" s="17"/>
      <c r="U234" s="17"/>
      <c r="V234" s="17"/>
      <c r="W234" s="17"/>
      <c r="X234" s="103"/>
      <c r="Y234" s="17"/>
      <c r="Z234" s="101" t="str">
        <f>IF(N234="", "", IF(ISNUMBER(MATCH(N234, TextTables!A:A, 0)), "Y", "N"))</f>
        <v/>
      </c>
      <c r="AA234" s="101" t="str">
        <f>IF(ISNUMBER(MATCH(F234, '[1]Can Matrix'!M:M, 0)), "Y", "N")</f>
        <v>Y</v>
      </c>
    </row>
    <row r="235" spans="1:27" ht="16.8">
      <c r="A235" s="17"/>
      <c r="B235" s="17"/>
      <c r="C235" s="17"/>
      <c r="D235" s="17" t="s">
        <v>143</v>
      </c>
      <c r="E235" s="17"/>
      <c r="F235" s="17" t="s">
        <v>6071</v>
      </c>
      <c r="G235" s="17" t="s">
        <v>6071</v>
      </c>
      <c r="H235" s="17"/>
      <c r="I235" s="97">
        <f>VLOOKUP(F235, '[1]Can Matrix'!$M:$X, 2, FALSE)</f>
        <v>12</v>
      </c>
      <c r="J235" s="17" t="str">
        <f t="shared" si="4"/>
        <v>uint16</v>
      </c>
      <c r="K235" s="17"/>
      <c r="L235" s="17"/>
      <c r="M235" s="100" t="str">
        <f>'[1]Can Matrix'!$R$2</f>
        <v>Unsigned</v>
      </c>
      <c r="N235" s="101" t="str">
        <f>IFERROR(IF(VLOOKUP(F235, '[1]Can Matrix'!$M:$X, 12, FALSE)=0, "", "TMS_Enum_" &amp; VLOOKUP(F235, '[1]Can Matrix'!$M:$X, 12, FALSE)), "")</f>
        <v/>
      </c>
      <c r="O235" s="17"/>
      <c r="P235" s="17"/>
      <c r="Q235" s="17"/>
      <c r="R235" s="17"/>
      <c r="S235" s="17"/>
      <c r="T235" s="17"/>
      <c r="U235" s="17"/>
      <c r="V235" s="17"/>
      <c r="W235" s="17"/>
      <c r="X235" s="103"/>
      <c r="Y235" s="17"/>
      <c r="Z235" s="101" t="str">
        <f>IF(N235="", "", IF(ISNUMBER(MATCH(N235, TextTables!A:A, 0)), "Y", "N"))</f>
        <v/>
      </c>
      <c r="AA235" s="101" t="str">
        <f>IF(ISNUMBER(MATCH(F235, '[1]Can Matrix'!M:M, 0)), "Y", "N")</f>
        <v>Y</v>
      </c>
    </row>
    <row r="236" spans="1:27" ht="16.8">
      <c r="A236" s="17"/>
      <c r="B236" s="17"/>
      <c r="C236" s="17"/>
      <c r="D236" s="17" t="s">
        <v>143</v>
      </c>
      <c r="E236" s="17"/>
      <c r="F236" s="17" t="s">
        <v>6072</v>
      </c>
      <c r="G236" s="17" t="s">
        <v>6072</v>
      </c>
      <c r="H236" s="17"/>
      <c r="I236" s="97">
        <f>VLOOKUP(F236, '[1]Can Matrix'!$M:$X, 2, FALSE)</f>
        <v>12</v>
      </c>
      <c r="J236" s="17" t="str">
        <f t="shared" si="4"/>
        <v>uint16</v>
      </c>
      <c r="K236" s="17"/>
      <c r="L236" s="17"/>
      <c r="M236" s="100" t="str">
        <f>'[1]Can Matrix'!$R$2</f>
        <v>Unsigned</v>
      </c>
      <c r="N236" s="101" t="str">
        <f>IFERROR(IF(VLOOKUP(F236, '[1]Can Matrix'!$M:$X, 12, FALSE)=0, "", "TMS_Enum_" &amp; VLOOKUP(F236, '[1]Can Matrix'!$M:$X, 12, FALSE)), "")</f>
        <v/>
      </c>
      <c r="O236" s="17"/>
      <c r="P236" s="17"/>
      <c r="Q236" s="17"/>
      <c r="R236" s="17"/>
      <c r="S236" s="17"/>
      <c r="T236" s="17"/>
      <c r="U236" s="17"/>
      <c r="V236" s="17"/>
      <c r="W236" s="17"/>
      <c r="X236" s="103"/>
      <c r="Y236" s="17"/>
      <c r="Z236" s="101" t="str">
        <f>IF(N236="", "", IF(ISNUMBER(MATCH(N236, TextTables!A:A, 0)), "Y", "N"))</f>
        <v/>
      </c>
      <c r="AA236" s="101" t="str">
        <f>IF(ISNUMBER(MATCH(F236, '[1]Can Matrix'!M:M, 0)), "Y", "N")</f>
        <v>Y</v>
      </c>
    </row>
    <row r="237" spans="1:27" ht="16.8">
      <c r="A237" s="17"/>
      <c r="B237" s="17"/>
      <c r="C237" s="17"/>
      <c r="D237" s="17" t="s">
        <v>143</v>
      </c>
      <c r="E237" s="17"/>
      <c r="F237" s="17" t="s">
        <v>6073</v>
      </c>
      <c r="G237" s="17" t="s">
        <v>6073</v>
      </c>
      <c r="H237" s="17"/>
      <c r="I237" s="97">
        <f>VLOOKUP(F237, '[1]Can Matrix'!$M:$X, 2, FALSE)</f>
        <v>3</v>
      </c>
      <c r="J237" s="17" t="str">
        <f t="shared" si="4"/>
        <v>uint8</v>
      </c>
      <c r="K237" s="17"/>
      <c r="L237" s="17"/>
      <c r="M237" s="100" t="str">
        <f>'[1]Can Matrix'!$R$2</f>
        <v>Unsigned</v>
      </c>
      <c r="N237" s="101" t="str">
        <f>IFERROR(IF(VLOOKUP(F237, '[1]Can Matrix'!$M:$X, 12, FALSE)=0, "", "TMS_Enum_" &amp; VLOOKUP(F237, '[1]Can Matrix'!$M:$X, 12, FALSE)), "")</f>
        <v>TMS_Enum_HvBattThermMod</v>
      </c>
      <c r="O237" s="17"/>
      <c r="P237" s="17"/>
      <c r="Q237" s="17"/>
      <c r="R237" s="17"/>
      <c r="S237" s="17"/>
      <c r="T237" s="17"/>
      <c r="U237" s="17"/>
      <c r="V237" s="17"/>
      <c r="W237" s="17"/>
      <c r="X237" s="103"/>
      <c r="Y237" s="17"/>
      <c r="Z237" s="101" t="str">
        <f>IF(N237="", "", IF(ISNUMBER(MATCH(N237, TextTables!A:A, 0)), "Y", "N"))</f>
        <v>Y</v>
      </c>
      <c r="AA237" s="101" t="str">
        <f>IF(ISNUMBER(MATCH(F237, '[1]Can Matrix'!M:M, 0)), "Y", "N")</f>
        <v>Y</v>
      </c>
    </row>
    <row r="238" spans="1:27" ht="16.8">
      <c r="A238" s="17"/>
      <c r="B238" s="17"/>
      <c r="C238" s="17"/>
      <c r="D238" s="17" t="s">
        <v>143</v>
      </c>
      <c r="E238" s="17"/>
      <c r="F238" s="17" t="s">
        <v>6074</v>
      </c>
      <c r="G238" s="17" t="s">
        <v>6074</v>
      </c>
      <c r="H238" s="17"/>
      <c r="I238" s="97">
        <f>VLOOKUP(F238, '[1]Can Matrix'!$M:$X, 2, FALSE)</f>
        <v>12</v>
      </c>
      <c r="J238" s="17" t="str">
        <f t="shared" si="4"/>
        <v>uint16</v>
      </c>
      <c r="K238" s="17"/>
      <c r="L238" s="17"/>
      <c r="M238" s="100" t="str">
        <f>'[1]Can Matrix'!$R$2</f>
        <v>Unsigned</v>
      </c>
      <c r="N238" s="101" t="str">
        <f>IFERROR(IF(VLOOKUP(F238, '[1]Can Matrix'!$M:$X, 12, FALSE)=0, "", "TMS_Enum_" &amp; VLOOKUP(F238, '[1]Can Matrix'!$M:$X, 12, FALSE)), "")</f>
        <v/>
      </c>
      <c r="O238" s="17"/>
      <c r="P238" s="17"/>
      <c r="Q238" s="17"/>
      <c r="R238" s="17"/>
      <c r="S238" s="17"/>
      <c r="T238" s="17"/>
      <c r="U238" s="17"/>
      <c r="V238" s="17"/>
      <c r="W238" s="17"/>
      <c r="X238" s="103"/>
      <c r="Y238" s="17"/>
      <c r="Z238" s="101" t="str">
        <f>IF(N238="", "", IF(ISNUMBER(MATCH(N238, TextTables!A:A, 0)), "Y", "N"))</f>
        <v/>
      </c>
      <c r="AA238" s="101" t="str">
        <f>IF(ISNUMBER(MATCH(F238, '[1]Can Matrix'!M:M, 0)), "Y", "N")</f>
        <v>Y</v>
      </c>
    </row>
    <row r="239" spans="1:27" ht="16.8">
      <c r="A239" s="17"/>
      <c r="B239" s="17"/>
      <c r="C239" s="17"/>
      <c r="D239" s="17" t="s">
        <v>143</v>
      </c>
      <c r="E239" s="17"/>
      <c r="F239" s="17" t="s">
        <v>6075</v>
      </c>
      <c r="G239" s="17" t="s">
        <v>6075</v>
      </c>
      <c r="H239" s="17"/>
      <c r="I239" s="97">
        <f>VLOOKUP(F239, '[1]Can Matrix'!$M:$X, 2, FALSE)</f>
        <v>12</v>
      </c>
      <c r="J239" s="17" t="str">
        <f t="shared" si="4"/>
        <v>uint16</v>
      </c>
      <c r="K239" s="17"/>
      <c r="L239" s="17"/>
      <c r="M239" s="100" t="str">
        <f>'[1]Can Matrix'!$R$2</f>
        <v>Unsigned</v>
      </c>
      <c r="N239" s="101" t="str">
        <f>IFERROR(IF(VLOOKUP(F239, '[1]Can Matrix'!$M:$X, 12, FALSE)=0, "", "TMS_Enum_" &amp; VLOOKUP(F239, '[1]Can Matrix'!$M:$X, 12, FALSE)), "")</f>
        <v/>
      </c>
      <c r="O239" s="17"/>
      <c r="P239" s="17"/>
      <c r="Q239" s="17"/>
      <c r="R239" s="17"/>
      <c r="S239" s="17"/>
      <c r="T239" s="17"/>
      <c r="U239" s="17"/>
      <c r="V239" s="17"/>
      <c r="W239" s="17"/>
      <c r="X239" s="103"/>
      <c r="Y239" s="17"/>
      <c r="Z239" s="101" t="str">
        <f>IF(N239="", "", IF(ISNUMBER(MATCH(N239, TextTables!A:A, 0)), "Y", "N"))</f>
        <v/>
      </c>
      <c r="AA239" s="101" t="str">
        <f>IF(ISNUMBER(MATCH(F239, '[1]Can Matrix'!M:M, 0)), "Y", "N")</f>
        <v>Y</v>
      </c>
    </row>
    <row r="240" spans="1:27" ht="16.8">
      <c r="A240" s="17"/>
      <c r="B240" s="17"/>
      <c r="C240" s="17"/>
      <c r="D240" s="17" t="s">
        <v>143</v>
      </c>
      <c r="E240" s="17"/>
      <c r="F240" s="17" t="s">
        <v>6076</v>
      </c>
      <c r="G240" s="17" t="s">
        <v>6076</v>
      </c>
      <c r="H240" s="17"/>
      <c r="I240" s="97">
        <f>VLOOKUP(F240, '[1]Can Matrix'!$M:$X, 2, FALSE)</f>
        <v>12</v>
      </c>
      <c r="J240" s="17" t="str">
        <f t="shared" si="4"/>
        <v>uint16</v>
      </c>
      <c r="K240" s="17"/>
      <c r="L240" s="17"/>
      <c r="M240" s="100" t="str">
        <f>'[1]Can Matrix'!$R$2</f>
        <v>Unsigned</v>
      </c>
      <c r="N240" s="101" t="str">
        <f>IFERROR(IF(VLOOKUP(F240, '[1]Can Matrix'!$M:$X, 12, FALSE)=0, "", "TMS_Enum_" &amp; VLOOKUP(F240, '[1]Can Matrix'!$M:$X, 12, FALSE)), "")</f>
        <v/>
      </c>
      <c r="O240" s="17"/>
      <c r="P240" s="17"/>
      <c r="Q240" s="17"/>
      <c r="R240" s="17"/>
      <c r="S240" s="17"/>
      <c r="T240" s="17"/>
      <c r="U240" s="17"/>
      <c r="V240" s="17"/>
      <c r="W240" s="17"/>
      <c r="X240" s="103"/>
      <c r="Y240" s="17"/>
      <c r="Z240" s="101" t="str">
        <f>IF(N240="", "", IF(ISNUMBER(MATCH(N240, TextTables!A:A, 0)), "Y", "N"))</f>
        <v/>
      </c>
      <c r="AA240" s="101" t="str">
        <f>IF(ISNUMBER(MATCH(F240, '[1]Can Matrix'!M:M, 0)), "Y", "N")</f>
        <v>Y</v>
      </c>
    </row>
    <row r="241" spans="1:27" ht="16.8">
      <c r="A241" s="17"/>
      <c r="B241" s="17"/>
      <c r="C241" s="17"/>
      <c r="D241" s="17" t="s">
        <v>143</v>
      </c>
      <c r="E241" s="17"/>
      <c r="F241" s="17" t="s">
        <v>6077</v>
      </c>
      <c r="G241" s="17" t="s">
        <v>6077</v>
      </c>
      <c r="H241" s="17"/>
      <c r="I241" s="97">
        <f>VLOOKUP(F241, '[1]Can Matrix'!$M:$X, 2, FALSE)</f>
        <v>10</v>
      </c>
      <c r="J241" s="17" t="str">
        <f t="shared" si="4"/>
        <v>uint16</v>
      </c>
      <c r="K241" s="17"/>
      <c r="L241" s="17"/>
      <c r="M241" s="100" t="str">
        <f>'[1]Can Matrix'!$R$2</f>
        <v>Unsigned</v>
      </c>
      <c r="N241" s="101" t="str">
        <f>IFERROR(IF(VLOOKUP(F241, '[1]Can Matrix'!$M:$X, 12, FALSE)=0, "", "TMS_Enum_" &amp; VLOOKUP(F241, '[1]Can Matrix'!$M:$X, 12, FALSE)), "")</f>
        <v/>
      </c>
      <c r="O241" s="17"/>
      <c r="P241" s="17"/>
      <c r="Q241" s="17"/>
      <c r="R241" s="17"/>
      <c r="S241" s="17"/>
      <c r="T241" s="17"/>
      <c r="U241" s="17"/>
      <c r="V241" s="17"/>
      <c r="W241" s="17"/>
      <c r="X241" s="103"/>
      <c r="Y241" s="17"/>
      <c r="Z241" s="101" t="str">
        <f>IF(N241="", "", IF(ISNUMBER(MATCH(N241, TextTables!A:A, 0)), "Y", "N"))</f>
        <v/>
      </c>
      <c r="AA241" s="101" t="str">
        <f>IF(ISNUMBER(MATCH(F241, '[1]Can Matrix'!M:M, 0)), "Y", "N")</f>
        <v>Y</v>
      </c>
    </row>
    <row r="242" spans="1:27" ht="16.8">
      <c r="A242" s="17"/>
      <c r="B242" s="17"/>
      <c r="C242" s="17"/>
      <c r="D242" s="17" t="s">
        <v>143</v>
      </c>
      <c r="E242" s="17"/>
      <c r="F242" s="17" t="s">
        <v>6078</v>
      </c>
      <c r="G242" s="17" t="s">
        <v>6078</v>
      </c>
      <c r="H242" s="17"/>
      <c r="I242" s="97">
        <f>VLOOKUP(F242, '[1]Can Matrix'!$M:$X, 2, FALSE)</f>
        <v>8</v>
      </c>
      <c r="J242" s="17" t="str">
        <f t="shared" si="4"/>
        <v>uint8</v>
      </c>
      <c r="K242" s="17"/>
      <c r="L242" s="17"/>
      <c r="M242" s="100" t="str">
        <f>'[1]Can Matrix'!$R$2</f>
        <v>Unsigned</v>
      </c>
      <c r="N242" s="101" t="str">
        <f>IFERROR(IF(VLOOKUP(F242, '[1]Can Matrix'!$M:$X, 12, FALSE)=0, "", "TMS_Enum_" &amp; VLOOKUP(F242, '[1]Can Matrix'!$M:$X, 12, FALSE)), "")</f>
        <v/>
      </c>
      <c r="O242" s="17"/>
      <c r="P242" s="17"/>
      <c r="Q242" s="17"/>
      <c r="R242" s="17"/>
      <c r="S242" s="17"/>
      <c r="T242" s="17"/>
      <c r="U242" s="17"/>
      <c r="V242" s="17"/>
      <c r="W242" s="17"/>
      <c r="X242" s="103"/>
      <c r="Y242" s="17"/>
      <c r="Z242" s="101" t="str">
        <f>IF(N242="", "", IF(ISNUMBER(MATCH(N242, TextTables!A:A, 0)), "Y", "N"))</f>
        <v/>
      </c>
      <c r="AA242" s="101" t="str">
        <f>IF(ISNUMBER(MATCH(F242, '[1]Can Matrix'!M:M, 0)), "Y", "N")</f>
        <v>Y</v>
      </c>
    </row>
    <row r="243" spans="1:27" ht="16.8">
      <c r="A243" s="17"/>
      <c r="B243" s="17"/>
      <c r="C243" s="17"/>
      <c r="D243" s="17" t="s">
        <v>143</v>
      </c>
      <c r="E243" s="17"/>
      <c r="F243" s="17" t="s">
        <v>6079</v>
      </c>
      <c r="G243" s="17" t="s">
        <v>6079</v>
      </c>
      <c r="H243" s="17"/>
      <c r="I243" s="97">
        <f>VLOOKUP(F243, '[1]Can Matrix'!$M:$X, 2, FALSE)</f>
        <v>4</v>
      </c>
      <c r="J243" s="17" t="str">
        <f t="shared" si="4"/>
        <v>uint8</v>
      </c>
      <c r="K243" s="17"/>
      <c r="L243" s="17"/>
      <c r="M243" s="100" t="str">
        <f>'[1]Can Matrix'!$R$2</f>
        <v>Unsigned</v>
      </c>
      <c r="N243" s="101" t="str">
        <f>IFERROR(IF(VLOOKUP(F243, '[1]Can Matrix'!$M:$X, 12, FALSE)=0, "", "TMS_Enum_" &amp; VLOOKUP(F243, '[1]Can Matrix'!$M:$X, 12, FALSE)), "")</f>
        <v/>
      </c>
      <c r="O243" s="17"/>
      <c r="P243" s="17"/>
      <c r="Q243" s="17"/>
      <c r="R243" s="17"/>
      <c r="S243" s="17"/>
      <c r="T243" s="17"/>
      <c r="U243" s="17"/>
      <c r="V243" s="17"/>
      <c r="W243" s="17"/>
      <c r="X243" s="103"/>
      <c r="Y243" s="17"/>
      <c r="Z243" s="101" t="str">
        <f>IF(N243="", "", IF(ISNUMBER(MATCH(N243, TextTables!A:A, 0)), "Y", "N"))</f>
        <v/>
      </c>
      <c r="AA243" s="101" t="str">
        <f>IF(ISNUMBER(MATCH(F243, '[1]Can Matrix'!M:M, 0)), "Y", "N")</f>
        <v>Y</v>
      </c>
    </row>
    <row r="244" spans="1:27" ht="16.8">
      <c r="A244" s="17"/>
      <c r="B244" s="17"/>
      <c r="C244" s="17"/>
      <c r="D244" s="17" t="s">
        <v>143</v>
      </c>
      <c r="E244" s="17"/>
      <c r="F244" s="17" t="s">
        <v>6080</v>
      </c>
      <c r="G244" s="17" t="s">
        <v>6080</v>
      </c>
      <c r="H244" s="17"/>
      <c r="I244" s="97">
        <f>VLOOKUP(F244, '[1]Can Matrix'!$M:$X, 2, FALSE)</f>
        <v>2</v>
      </c>
      <c r="J244" s="17" t="str">
        <f t="shared" si="4"/>
        <v>uint8</v>
      </c>
      <c r="K244" s="17"/>
      <c r="L244" s="17"/>
      <c r="M244" s="100" t="str">
        <f>'[1]Can Matrix'!$R$2</f>
        <v>Unsigned</v>
      </c>
      <c r="N244" s="101" t="str">
        <f>IFERROR(IF(VLOOKUP(F244, '[1]Can Matrix'!$M:$X, 12, FALSE)=0, "", "TMS_Enum_" &amp; VLOOKUP(F244, '[1]Can Matrix'!$M:$X, 12, FALSE)), "")</f>
        <v>TMS_Enum_HvActvnSts</v>
      </c>
      <c r="O244" s="17"/>
      <c r="P244" s="17"/>
      <c r="Q244" s="17"/>
      <c r="R244" s="17"/>
      <c r="S244" s="17"/>
      <c r="T244" s="17"/>
      <c r="U244" s="17"/>
      <c r="V244" s="17"/>
      <c r="W244" s="17"/>
      <c r="X244" s="103"/>
      <c r="Y244" s="17"/>
      <c r="Z244" s="101" t="str">
        <f>IF(N244="", "", IF(ISNUMBER(MATCH(N244, TextTables!A:A, 0)), "Y", "N"))</f>
        <v>Y</v>
      </c>
      <c r="AA244" s="101" t="str">
        <f>IF(ISNUMBER(MATCH(F244, '[1]Can Matrix'!M:M, 0)), "Y", "N")</f>
        <v>Y</v>
      </c>
    </row>
    <row r="245" spans="1:27" ht="16.8">
      <c r="A245" s="17"/>
      <c r="B245" s="17"/>
      <c r="C245" s="17"/>
      <c r="D245" s="17" t="s">
        <v>143</v>
      </c>
      <c r="E245" s="17"/>
      <c r="F245" s="17" t="s">
        <v>6081</v>
      </c>
      <c r="G245" s="17" t="s">
        <v>6081</v>
      </c>
      <c r="H245" s="17"/>
      <c r="I245" s="97">
        <f>VLOOKUP(F245, '[1]Can Matrix'!$M:$X, 2, FALSE)</f>
        <v>8</v>
      </c>
      <c r="J245" s="17" t="str">
        <f t="shared" si="4"/>
        <v>uint8</v>
      </c>
      <c r="K245" s="17"/>
      <c r="L245" s="17"/>
      <c r="M245" s="100" t="str">
        <f>'[1]Can Matrix'!$R$2</f>
        <v>Unsigned</v>
      </c>
      <c r="N245" s="101" t="str">
        <f>IFERROR(IF(VLOOKUP(F245, '[1]Can Matrix'!$M:$X, 12, FALSE)=0, "", "TMS_Enum_" &amp; VLOOKUP(F245, '[1]Can Matrix'!$M:$X, 12, FALSE)), "")</f>
        <v/>
      </c>
      <c r="O245" s="17"/>
      <c r="P245" s="17"/>
      <c r="Q245" s="17"/>
      <c r="R245" s="17"/>
      <c r="S245" s="17"/>
      <c r="T245" s="17"/>
      <c r="U245" s="17"/>
      <c r="V245" s="17"/>
      <c r="W245" s="17"/>
      <c r="X245" s="103"/>
      <c r="Y245" s="17"/>
      <c r="Z245" s="101" t="str">
        <f>IF(N245="", "", IF(ISNUMBER(MATCH(N245, TextTables!A:A, 0)), "Y", "N"))</f>
        <v/>
      </c>
      <c r="AA245" s="101" t="str">
        <f>IF(ISNUMBER(MATCH(F245, '[1]Can Matrix'!M:M, 0)), "Y", "N")</f>
        <v>Y</v>
      </c>
    </row>
    <row r="246" spans="1:27" ht="16.8">
      <c r="A246" s="17"/>
      <c r="B246" s="17"/>
      <c r="C246" s="17"/>
      <c r="D246" s="17" t="s">
        <v>143</v>
      </c>
      <c r="E246" s="17"/>
      <c r="F246" s="17" t="s">
        <v>6082</v>
      </c>
      <c r="G246" s="17" t="s">
        <v>6082</v>
      </c>
      <c r="H246" s="17"/>
      <c r="I246" s="97">
        <f>VLOOKUP(F246, '[1]Can Matrix'!$M:$X, 2, FALSE)</f>
        <v>8</v>
      </c>
      <c r="J246" s="17" t="str">
        <f t="shared" si="4"/>
        <v>uint8</v>
      </c>
      <c r="K246" s="17"/>
      <c r="L246" s="17"/>
      <c r="M246" s="100" t="str">
        <f>'[1]Can Matrix'!$R$2</f>
        <v>Unsigned</v>
      </c>
      <c r="N246" s="101" t="str">
        <f>IFERROR(IF(VLOOKUP(F246, '[1]Can Matrix'!$M:$X, 12, FALSE)=0, "", "TMS_Enum_" &amp; VLOOKUP(F246, '[1]Can Matrix'!$M:$X, 12, FALSE)), "")</f>
        <v/>
      </c>
      <c r="O246" s="17"/>
      <c r="P246" s="17"/>
      <c r="Q246" s="17"/>
      <c r="R246" s="17"/>
      <c r="S246" s="17"/>
      <c r="T246" s="17"/>
      <c r="U246" s="17"/>
      <c r="V246" s="17"/>
      <c r="W246" s="17"/>
      <c r="X246" s="103"/>
      <c r="Y246" s="17"/>
      <c r="Z246" s="101" t="str">
        <f>IF(N246="", "", IF(ISNUMBER(MATCH(N246, TextTables!A:A, 0)), "Y", "N"))</f>
        <v/>
      </c>
      <c r="AA246" s="101" t="str">
        <f>IF(ISNUMBER(MATCH(F246, '[1]Can Matrix'!M:M, 0)), "Y", "N")</f>
        <v>Y</v>
      </c>
    </row>
    <row r="247" spans="1:27" ht="16.8">
      <c r="A247" s="17"/>
      <c r="B247" s="17"/>
      <c r="C247" s="17"/>
      <c r="D247" s="17" t="s">
        <v>143</v>
      </c>
      <c r="E247" s="17"/>
      <c r="F247" s="17" t="s">
        <v>6083</v>
      </c>
      <c r="G247" s="17" t="s">
        <v>6083</v>
      </c>
      <c r="H247" s="17"/>
      <c r="I247" s="97">
        <f>VLOOKUP(F247, '[1]Can Matrix'!$M:$X, 2, FALSE)</f>
        <v>9</v>
      </c>
      <c r="J247" s="17" t="str">
        <f t="shared" si="4"/>
        <v>uint16</v>
      </c>
      <c r="K247" s="17"/>
      <c r="L247" s="17"/>
      <c r="M247" s="100" t="str">
        <f>'[1]Can Matrix'!$R$2</f>
        <v>Unsigned</v>
      </c>
      <c r="N247" s="101" t="str">
        <f>IFERROR(IF(VLOOKUP(F247, '[1]Can Matrix'!$M:$X, 12, FALSE)=0, "", "TMS_Enum_" &amp; VLOOKUP(F247, '[1]Can Matrix'!$M:$X, 12, FALSE)), "")</f>
        <v/>
      </c>
      <c r="O247" s="17"/>
      <c r="P247" s="17"/>
      <c r="Q247" s="17"/>
      <c r="R247" s="17"/>
      <c r="S247" s="17"/>
      <c r="T247" s="17"/>
      <c r="U247" s="17"/>
      <c r="V247" s="17"/>
      <c r="W247" s="17"/>
      <c r="X247" s="103"/>
      <c r="Y247" s="17"/>
      <c r="Z247" s="101" t="str">
        <f>IF(N247="", "", IF(ISNUMBER(MATCH(N247, TextTables!A:A, 0)), "Y", "N"))</f>
        <v/>
      </c>
      <c r="AA247" s="101" t="str">
        <f>IF(ISNUMBER(MATCH(F247, '[1]Can Matrix'!M:M, 0)), "Y", "N")</f>
        <v>Y</v>
      </c>
    </row>
    <row r="248" spans="1:27" ht="16.8">
      <c r="A248" s="17"/>
      <c r="B248" s="17"/>
      <c r="C248" s="17"/>
      <c r="D248" s="17" t="s">
        <v>143</v>
      </c>
      <c r="E248" s="17"/>
      <c r="F248" s="17" t="s">
        <v>6084</v>
      </c>
      <c r="G248" s="17" t="s">
        <v>6084</v>
      </c>
      <c r="H248" s="17"/>
      <c r="I248" s="97">
        <f>VLOOKUP(F248, '[1]Can Matrix'!$M:$X, 2, FALSE)</f>
        <v>9</v>
      </c>
      <c r="J248" s="17" t="str">
        <f t="shared" si="4"/>
        <v>uint16</v>
      </c>
      <c r="K248" s="17"/>
      <c r="L248" s="17"/>
      <c r="M248" s="100" t="str">
        <f>'[1]Can Matrix'!$R$2</f>
        <v>Unsigned</v>
      </c>
      <c r="N248" s="101" t="str">
        <f>IFERROR(IF(VLOOKUP(F248, '[1]Can Matrix'!$M:$X, 12, FALSE)=0, "", "TMS_Enum_" &amp; VLOOKUP(F248, '[1]Can Matrix'!$M:$X, 12, FALSE)), "")</f>
        <v/>
      </c>
      <c r="O248" s="17"/>
      <c r="P248" s="17"/>
      <c r="Q248" s="17"/>
      <c r="R248" s="17"/>
      <c r="S248" s="17"/>
      <c r="T248" s="17"/>
      <c r="U248" s="17"/>
      <c r="V248" s="17"/>
      <c r="W248" s="17"/>
      <c r="X248" s="103"/>
      <c r="Y248" s="17"/>
      <c r="Z248" s="101" t="str">
        <f>IF(N248="", "", IF(ISNUMBER(MATCH(N248, TextTables!A:A, 0)), "Y", "N"))</f>
        <v/>
      </c>
      <c r="AA248" s="101" t="str">
        <f>IF(ISNUMBER(MATCH(F248, '[1]Can Matrix'!M:M, 0)), "Y", "N")</f>
        <v>Y</v>
      </c>
    </row>
    <row r="249" spans="1:27" ht="16.8">
      <c r="A249" s="17"/>
      <c r="B249" s="17"/>
      <c r="C249" s="17"/>
      <c r="D249" s="17" t="s">
        <v>143</v>
      </c>
      <c r="E249" s="17"/>
      <c r="F249" s="17" t="s">
        <v>6085</v>
      </c>
      <c r="G249" s="17" t="s">
        <v>6085</v>
      </c>
      <c r="H249" s="17"/>
      <c r="I249" s="97">
        <f>VLOOKUP(F249, '[1]Can Matrix'!$M:$X, 2, FALSE)</f>
        <v>4</v>
      </c>
      <c r="J249" s="17" t="str">
        <f t="shared" si="4"/>
        <v>uint8</v>
      </c>
      <c r="K249" s="17"/>
      <c r="L249" s="17"/>
      <c r="M249" s="100" t="str">
        <f>'[1]Can Matrix'!$R$2</f>
        <v>Unsigned</v>
      </c>
      <c r="N249" s="101" t="str">
        <f>IFERROR(IF(VLOOKUP(F249, '[1]Can Matrix'!$M:$X, 12, FALSE)=0, "", "TMS_Enum_" &amp; VLOOKUP(F249, '[1]Can Matrix'!$M:$X, 12, FALSE)), "")</f>
        <v>TMS_Enum_HvBattThermReqFb</v>
      </c>
      <c r="O249" s="17"/>
      <c r="P249" s="17"/>
      <c r="Q249" s="17"/>
      <c r="R249" s="17"/>
      <c r="S249" s="17"/>
      <c r="T249" s="17"/>
      <c r="U249" s="17"/>
      <c r="V249" s="17"/>
      <c r="W249" s="17"/>
      <c r="X249" s="103"/>
      <c r="Y249" s="17"/>
      <c r="Z249" s="101" t="str">
        <f>IF(N249="", "", IF(ISNUMBER(MATCH(N249, TextTables!A:A, 0)), "Y", "N"))</f>
        <v>Y</v>
      </c>
      <c r="AA249" s="101" t="str">
        <f>IF(ISNUMBER(MATCH(F249, '[1]Can Matrix'!M:M, 0)), "Y", "N")</f>
        <v>Y</v>
      </c>
    </row>
    <row r="250" spans="1:27" ht="16.8">
      <c r="A250" s="17"/>
      <c r="B250" s="17"/>
      <c r="C250" s="17"/>
      <c r="D250" s="17" t="s">
        <v>143</v>
      </c>
      <c r="E250" s="17"/>
      <c r="F250" s="17" t="s">
        <v>6086</v>
      </c>
      <c r="G250" s="17" t="s">
        <v>6086</v>
      </c>
      <c r="H250" s="17"/>
      <c r="I250" s="97">
        <f>VLOOKUP(F250, '[1]Can Matrix'!$M:$X, 2, FALSE)</f>
        <v>8</v>
      </c>
      <c r="J250" s="17" t="str">
        <f t="shared" si="4"/>
        <v>uint8</v>
      </c>
      <c r="K250" s="17"/>
      <c r="L250" s="17"/>
      <c r="M250" s="100" t="str">
        <f>'[1]Can Matrix'!$R$2</f>
        <v>Unsigned</v>
      </c>
      <c r="N250" s="101" t="str">
        <f>IFERROR(IF(VLOOKUP(F250, '[1]Can Matrix'!$M:$X, 12, FALSE)=0, "", "TMS_Enum_" &amp; VLOOKUP(F250, '[1]Can Matrix'!$M:$X, 12, FALSE)), "")</f>
        <v/>
      </c>
      <c r="O250" s="17"/>
      <c r="P250" s="17"/>
      <c r="Q250" s="17"/>
      <c r="R250" s="17"/>
      <c r="S250" s="17"/>
      <c r="T250" s="17"/>
      <c r="U250" s="17"/>
      <c r="V250" s="17"/>
      <c r="W250" s="17"/>
      <c r="X250" s="103"/>
      <c r="Y250" s="17"/>
      <c r="Z250" s="101" t="str">
        <f>IF(N250="", "", IF(ISNUMBER(MATCH(N250, TextTables!A:A, 0)), "Y", "N"))</f>
        <v/>
      </c>
      <c r="AA250" s="101" t="str">
        <f>IF(ISNUMBER(MATCH(F250, '[1]Can Matrix'!M:M, 0)), "Y", "N")</f>
        <v>Y</v>
      </c>
    </row>
    <row r="251" spans="1:27" ht="16.8">
      <c r="A251" s="17"/>
      <c r="B251" s="17"/>
      <c r="C251" s="17"/>
      <c r="D251" s="17" t="s">
        <v>143</v>
      </c>
      <c r="E251" s="17"/>
      <c r="F251" s="17" t="s">
        <v>6087</v>
      </c>
      <c r="G251" s="17" t="s">
        <v>6087</v>
      </c>
      <c r="H251" s="17"/>
      <c r="I251" s="97">
        <f>VLOOKUP(F251, '[1]Can Matrix'!$M:$X, 2, FALSE)</f>
        <v>8</v>
      </c>
      <c r="J251" s="17" t="str">
        <f t="shared" si="4"/>
        <v>uint8</v>
      </c>
      <c r="K251" s="17"/>
      <c r="L251" s="17"/>
      <c r="M251" s="100" t="str">
        <f>'[1]Can Matrix'!$R$2</f>
        <v>Unsigned</v>
      </c>
      <c r="N251" s="101" t="str">
        <f>IFERROR(IF(VLOOKUP(F251, '[1]Can Matrix'!$M:$X, 12, FALSE)=0, "", "TMS_Enum_" &amp; VLOOKUP(F251, '[1]Can Matrix'!$M:$X, 12, FALSE)), "")</f>
        <v/>
      </c>
      <c r="O251" s="17"/>
      <c r="P251" s="17"/>
      <c r="Q251" s="17"/>
      <c r="R251" s="17"/>
      <c r="S251" s="17"/>
      <c r="T251" s="17"/>
      <c r="U251" s="17"/>
      <c r="V251" s="17"/>
      <c r="W251" s="17"/>
      <c r="X251" s="103"/>
      <c r="Y251" s="17"/>
      <c r="Z251" s="101" t="str">
        <f>IF(N251="", "", IF(ISNUMBER(MATCH(N251, TextTables!A:A, 0)), "Y", "N"))</f>
        <v/>
      </c>
      <c r="AA251" s="101" t="str">
        <f>IF(ISNUMBER(MATCH(F251, '[1]Can Matrix'!M:M, 0)), "Y", "N")</f>
        <v>Y</v>
      </c>
    </row>
    <row r="252" spans="1:27" ht="16.8">
      <c r="A252" s="17"/>
      <c r="B252" s="17"/>
      <c r="C252" s="17"/>
      <c r="D252" s="17" t="s">
        <v>143</v>
      </c>
      <c r="E252" s="17"/>
      <c r="F252" s="17" t="s">
        <v>6088</v>
      </c>
      <c r="G252" s="17" t="s">
        <v>6088</v>
      </c>
      <c r="H252" s="17"/>
      <c r="I252" s="97">
        <f>VLOOKUP(F252, '[1]Can Matrix'!$M:$X, 2, FALSE)</f>
        <v>8</v>
      </c>
      <c r="J252" s="17" t="str">
        <f t="shared" si="4"/>
        <v>uint8</v>
      </c>
      <c r="K252" s="17"/>
      <c r="L252" s="17"/>
      <c r="M252" s="100" t="str">
        <f>'[1]Can Matrix'!$R$2</f>
        <v>Unsigned</v>
      </c>
      <c r="N252" s="101" t="str">
        <f>IFERROR(IF(VLOOKUP(F252, '[1]Can Matrix'!$M:$X, 12, FALSE)=0, "", "TMS_Enum_" &amp; VLOOKUP(F252, '[1]Can Matrix'!$M:$X, 12, FALSE)), "")</f>
        <v/>
      </c>
      <c r="O252" s="17"/>
      <c r="P252" s="17"/>
      <c r="Q252" s="17"/>
      <c r="R252" s="17"/>
      <c r="S252" s="17"/>
      <c r="T252" s="17"/>
      <c r="U252" s="17"/>
      <c r="V252" s="17"/>
      <c r="W252" s="17"/>
      <c r="X252" s="103"/>
      <c r="Y252" s="17"/>
      <c r="Z252" s="101" t="str">
        <f>IF(N252="", "", IF(ISNUMBER(MATCH(N252, TextTables!A:A, 0)), "Y", "N"))</f>
        <v/>
      </c>
      <c r="AA252" s="101" t="str">
        <f>IF(ISNUMBER(MATCH(F252, '[1]Can Matrix'!M:M, 0)), "Y", "N")</f>
        <v>Y</v>
      </c>
    </row>
    <row r="253" spans="1:27" ht="16.8">
      <c r="A253" s="17"/>
      <c r="B253" s="17"/>
      <c r="C253" s="17"/>
      <c r="D253" s="17" t="s">
        <v>143</v>
      </c>
      <c r="E253" s="17"/>
      <c r="F253" s="17" t="s">
        <v>6089</v>
      </c>
      <c r="G253" s="17" t="s">
        <v>6089</v>
      </c>
      <c r="H253" s="17"/>
      <c r="I253" s="97">
        <f>VLOOKUP(F253, '[1]Can Matrix'!$M:$X, 2, FALSE)</f>
        <v>8</v>
      </c>
      <c r="J253" s="17" t="str">
        <f t="shared" si="4"/>
        <v>uint8</v>
      </c>
      <c r="K253" s="17"/>
      <c r="L253" s="17"/>
      <c r="M253" s="100" t="str">
        <f>'[1]Can Matrix'!$R$2</f>
        <v>Unsigned</v>
      </c>
      <c r="N253" s="101" t="str">
        <f>IFERROR(IF(VLOOKUP(F253, '[1]Can Matrix'!$M:$X, 12, FALSE)=0, "", "TMS_Enum_" &amp; VLOOKUP(F253, '[1]Can Matrix'!$M:$X, 12, FALSE)), "")</f>
        <v/>
      </c>
      <c r="O253" s="17"/>
      <c r="P253" s="17"/>
      <c r="Q253" s="17"/>
      <c r="R253" s="17"/>
      <c r="S253" s="17"/>
      <c r="T253" s="17"/>
      <c r="U253" s="17"/>
      <c r="V253" s="17"/>
      <c r="W253" s="17"/>
      <c r="X253" s="103"/>
      <c r="Y253" s="17"/>
      <c r="Z253" s="101" t="str">
        <f>IF(N253="", "", IF(ISNUMBER(MATCH(N253, TextTables!A:A, 0)), "Y", "N"))</f>
        <v/>
      </c>
      <c r="AA253" s="101" t="str">
        <f>IF(ISNUMBER(MATCH(F253, '[1]Can Matrix'!M:M, 0)), "Y", "N")</f>
        <v>Y</v>
      </c>
    </row>
    <row r="254" spans="1:27" ht="16.8">
      <c r="A254" s="17"/>
      <c r="B254" s="17"/>
      <c r="C254" s="17"/>
      <c r="D254" s="17" t="s">
        <v>143</v>
      </c>
      <c r="E254" s="17"/>
      <c r="F254" s="17" t="s">
        <v>6090</v>
      </c>
      <c r="G254" s="17" t="s">
        <v>6090</v>
      </c>
      <c r="H254" s="17"/>
      <c r="I254" s="97">
        <f>VLOOKUP(F254, '[1]Can Matrix'!$M:$X, 2, FALSE)</f>
        <v>3</v>
      </c>
      <c r="J254" s="17" t="str">
        <f t="shared" si="4"/>
        <v>uint8</v>
      </c>
      <c r="K254" s="17"/>
      <c r="L254" s="17"/>
      <c r="M254" s="100" t="str">
        <f>'[1]Can Matrix'!$R$2</f>
        <v>Unsigned</v>
      </c>
      <c r="N254" s="101" t="str">
        <f>IFERROR(IF(VLOOKUP(F254, '[1]Can Matrix'!$M:$X, 12, FALSE)=0, "", "TMS_Enum_" &amp; VLOOKUP(F254, '[1]Can Matrix'!$M:$X, 12, FALSE)), "")</f>
        <v>TMS_Enum_DeiceReq</v>
      </c>
      <c r="O254" s="17"/>
      <c r="P254" s="17"/>
      <c r="Q254" s="17"/>
      <c r="R254" s="17"/>
      <c r="S254" s="17"/>
      <c r="T254" s="17"/>
      <c r="U254" s="17"/>
      <c r="V254" s="17"/>
      <c r="W254" s="17"/>
      <c r="X254" s="103"/>
      <c r="Y254" s="17"/>
      <c r="Z254" s="101" t="str">
        <f>IF(N254="", "", IF(ISNUMBER(MATCH(N254, TextTables!A:A, 0)), "Y", "N"))</f>
        <v>Y</v>
      </c>
      <c r="AA254" s="101" t="str">
        <f>IF(ISNUMBER(MATCH(F254, '[1]Can Matrix'!M:M, 0)), "Y", "N")</f>
        <v>Y</v>
      </c>
    </row>
    <row r="255" spans="1:27" ht="16.8">
      <c r="A255" s="17"/>
      <c r="B255" s="17"/>
      <c r="C255" s="17"/>
      <c r="D255" s="17" t="s">
        <v>143</v>
      </c>
      <c r="E255" s="17"/>
      <c r="F255" s="17" t="s">
        <v>6091</v>
      </c>
      <c r="G255" s="17" t="s">
        <v>6091</v>
      </c>
      <c r="H255" s="17"/>
      <c r="I255" s="97">
        <f>VLOOKUP(F255, '[1]Can Matrix'!$M:$X, 2, FALSE)</f>
        <v>7</v>
      </c>
      <c r="J255" s="17" t="str">
        <f t="shared" si="4"/>
        <v>uint8</v>
      </c>
      <c r="K255" s="17"/>
      <c r="L255" s="17"/>
      <c r="M255" s="100" t="str">
        <f>'[1]Can Matrix'!$R$2</f>
        <v>Unsigned</v>
      </c>
      <c r="N255" s="101" t="str">
        <f>IFERROR(IF(VLOOKUP(F255, '[1]Can Matrix'!$M:$X, 12, FALSE)=0, "", "TMS_Enum_" &amp; VLOOKUP(F255, '[1]Can Matrix'!$M:$X, 12, FALSE)), "")</f>
        <v>TMS_Enum_HeatPmpModCmd</v>
      </c>
      <c r="O255" s="17"/>
      <c r="P255" s="17"/>
      <c r="Q255" s="17"/>
      <c r="R255" s="17"/>
      <c r="S255" s="17"/>
      <c r="T255" s="17"/>
      <c r="U255" s="17"/>
      <c r="V255" s="17"/>
      <c r="W255" s="17"/>
      <c r="X255" s="103"/>
      <c r="Y255" s="17"/>
      <c r="Z255" s="101" t="str">
        <f>IF(N255="", "", IF(ISNUMBER(MATCH(N255, TextTables!A:A, 0)), "Y", "N"))</f>
        <v>Y</v>
      </c>
      <c r="AA255" s="101" t="str">
        <f>IF(ISNUMBER(MATCH(F255, '[1]Can Matrix'!M:M, 0)), "Y", "N")</f>
        <v>Y</v>
      </c>
    </row>
    <row r="256" spans="1:27" ht="16.8">
      <c r="A256" s="17"/>
      <c r="B256" s="17"/>
      <c r="C256" s="17"/>
      <c r="D256" s="17" t="s">
        <v>143</v>
      </c>
      <c r="E256" s="17"/>
      <c r="F256" s="17" t="s">
        <v>6092</v>
      </c>
      <c r="G256" s="17" t="s">
        <v>6092</v>
      </c>
      <c r="H256" s="17"/>
      <c r="I256" s="97">
        <f>VLOOKUP(F256, '[1]Can Matrix'!$M:$X, 2, FALSE)</f>
        <v>7</v>
      </c>
      <c r="J256" s="17" t="str">
        <f t="shared" si="4"/>
        <v>uint8</v>
      </c>
      <c r="K256" s="17"/>
      <c r="L256" s="17"/>
      <c r="M256" s="100" t="str">
        <f>'[1]Can Matrix'!$R$2</f>
        <v>Unsigned</v>
      </c>
      <c r="N256" s="101" t="str">
        <f>IFERROR(IF(VLOOKUP(F256, '[1]Can Matrix'!$M:$X, 12, FALSE)=0, "", "TMS_Enum_" &amp; VLOOKUP(F256, '[1]Can Matrix'!$M:$X, 12, FALSE)), "")</f>
        <v>TMS_Enum_HeatPmpModCmd</v>
      </c>
      <c r="O256" s="17"/>
      <c r="P256" s="17"/>
      <c r="Q256" s="17"/>
      <c r="R256" s="17"/>
      <c r="S256" s="17"/>
      <c r="T256" s="17"/>
      <c r="U256" s="17"/>
      <c r="V256" s="17"/>
      <c r="W256" s="17"/>
      <c r="X256" s="103"/>
      <c r="Y256" s="17"/>
      <c r="Z256" s="101" t="str">
        <f>IF(N256="", "", IF(ISNUMBER(MATCH(N256, TextTables!A:A, 0)), "Y", "N"))</f>
        <v>Y</v>
      </c>
      <c r="AA256" s="101" t="str">
        <f>IF(ISNUMBER(MATCH(F256, '[1]Can Matrix'!M:M, 0)), "Y", "N")</f>
        <v>Y</v>
      </c>
    </row>
    <row r="257" spans="1:27" ht="16.8">
      <c r="A257" s="17"/>
      <c r="B257" s="17"/>
      <c r="C257" s="17"/>
      <c r="D257" s="17" t="s">
        <v>143</v>
      </c>
      <c r="E257" s="17"/>
      <c r="F257" s="17" t="s">
        <v>6093</v>
      </c>
      <c r="G257" s="17" t="s">
        <v>6093</v>
      </c>
      <c r="H257" s="17"/>
      <c r="I257" s="97">
        <f>VLOOKUP(F257, '[1]Can Matrix'!$M:$X, 2, FALSE)</f>
        <v>1</v>
      </c>
      <c r="J257" s="17" t="str">
        <f t="shared" si="4"/>
        <v>uint8</v>
      </c>
      <c r="K257" s="17"/>
      <c r="L257" s="17"/>
      <c r="M257" s="100" t="str">
        <f>'[1]Can Matrix'!$R$2</f>
        <v>Unsigned</v>
      </c>
      <c r="N257" s="101" t="str">
        <f>IFERROR(IF(VLOOKUP(F257, '[1]Can Matrix'!$M:$X, 12, FALSE)=0, "", "TMS_Enum_" &amp; VLOOKUP(F257, '[1]Can Matrix'!$M:$X, 12, FALSE)), "")</f>
        <v>TMS_Enum_ClimaSts</v>
      </c>
      <c r="O257" s="17"/>
      <c r="P257" s="17"/>
      <c r="Q257" s="17"/>
      <c r="R257" s="17"/>
      <c r="S257" s="17"/>
      <c r="T257" s="17"/>
      <c r="U257" s="17"/>
      <c r="V257" s="17"/>
      <c r="W257" s="17"/>
      <c r="X257" s="103"/>
      <c r="Y257" s="17"/>
      <c r="Z257" s="101" t="str">
        <f>IF(N257="", "", IF(ISNUMBER(MATCH(N257, TextTables!A:A, 0)), "Y", "N"))</f>
        <v>Y</v>
      </c>
      <c r="AA257" s="101" t="str">
        <f>IF(ISNUMBER(MATCH(F257, '[1]Can Matrix'!M:M, 0)), "Y", "N")</f>
        <v>Y</v>
      </c>
    </row>
    <row r="258" spans="1:27" ht="16.8">
      <c r="A258" s="17"/>
      <c r="B258" s="17"/>
      <c r="C258" s="17"/>
      <c r="D258" s="17" t="s">
        <v>143</v>
      </c>
      <c r="E258" s="17"/>
      <c r="F258" s="17" t="s">
        <v>6094</v>
      </c>
      <c r="G258" s="17" t="s">
        <v>6094</v>
      </c>
      <c r="H258" s="17"/>
      <c r="I258" s="97">
        <f>VLOOKUP(F258, '[1]Can Matrix'!$M:$X, 2, FALSE)</f>
        <v>7</v>
      </c>
      <c r="J258" s="17" t="str">
        <f t="shared" si="4"/>
        <v>uint8</v>
      </c>
      <c r="K258" s="17"/>
      <c r="L258" s="17"/>
      <c r="M258" s="100" t="str">
        <f>'[1]Can Matrix'!$R$2</f>
        <v>Unsigned</v>
      </c>
      <c r="N258" s="101" t="str">
        <f>IFERROR(IF(VLOOKUP(F258, '[1]Can Matrix'!$M:$X, 12, FALSE)=0, "", "TMS_Enum_" &amp; VLOOKUP(F258, '[1]Can Matrix'!$M:$X, 12, FALSE)), "")</f>
        <v>TMS_Enum_HeatPmpModCmd</v>
      </c>
      <c r="O258" s="17"/>
      <c r="P258" s="17"/>
      <c r="Q258" s="17"/>
      <c r="R258" s="17"/>
      <c r="S258" s="17"/>
      <c r="T258" s="17"/>
      <c r="U258" s="17"/>
      <c r="V258" s="17"/>
      <c r="W258" s="17"/>
      <c r="X258" s="103"/>
      <c r="Y258" s="17"/>
      <c r="Z258" s="101" t="str">
        <f>IF(N258="", "", IF(ISNUMBER(MATCH(N258, TextTables!A:A, 0)), "Y", "N"))</f>
        <v>Y</v>
      </c>
      <c r="AA258" s="101" t="str">
        <f>IF(ISNUMBER(MATCH(F258, '[1]Can Matrix'!M:M, 0)), "Y", "N")</f>
        <v>Y</v>
      </c>
    </row>
    <row r="259" spans="1:27" ht="16.8">
      <c r="A259" s="17"/>
      <c r="B259" s="17"/>
      <c r="C259" s="17"/>
      <c r="D259" s="17" t="s">
        <v>143</v>
      </c>
      <c r="E259" s="17"/>
      <c r="F259" s="17" t="s">
        <v>6095</v>
      </c>
      <c r="G259" s="17" t="s">
        <v>6095</v>
      </c>
      <c r="H259" s="17"/>
      <c r="I259" s="97">
        <f>VLOOKUP(F259, '[1]Can Matrix'!$M:$X, 2, FALSE)</f>
        <v>7</v>
      </c>
      <c r="J259" s="17" t="str">
        <f t="shared" si="4"/>
        <v>uint8</v>
      </c>
      <c r="K259" s="17"/>
      <c r="L259" s="17"/>
      <c r="M259" s="100" t="str">
        <f>'[1]Can Matrix'!$R$2</f>
        <v>Unsigned</v>
      </c>
      <c r="N259" s="101" t="str">
        <f>IFERROR(IF(VLOOKUP(F259, '[1]Can Matrix'!$M:$X, 12, FALSE)=0, "", "TMS_Enum_" &amp; VLOOKUP(F259, '[1]Can Matrix'!$M:$X, 12, FALSE)), "")</f>
        <v>TMS_Enum_HeatPmpModCmd</v>
      </c>
      <c r="O259" s="17"/>
      <c r="P259" s="17"/>
      <c r="Q259" s="17"/>
      <c r="R259" s="17"/>
      <c r="S259" s="17"/>
      <c r="T259" s="17"/>
      <c r="U259" s="17"/>
      <c r="V259" s="17"/>
      <c r="W259" s="17"/>
      <c r="X259" s="103"/>
      <c r="Y259" s="17"/>
      <c r="Z259" s="101" t="str">
        <f>IF(N259="", "", IF(ISNUMBER(MATCH(N259, TextTables!A:A, 0)), "Y", "N"))</f>
        <v>Y</v>
      </c>
      <c r="AA259" s="101" t="str">
        <f>IF(ISNUMBER(MATCH(F259, '[1]Can Matrix'!M:M, 0)), "Y", "N")</f>
        <v>Y</v>
      </c>
    </row>
    <row r="260" spans="1:27" ht="16.8">
      <c r="A260" s="17"/>
      <c r="B260" s="17"/>
      <c r="C260" s="17"/>
      <c r="D260" s="17" t="s">
        <v>143</v>
      </c>
      <c r="E260" s="17"/>
      <c r="F260" s="17" t="s">
        <v>6096</v>
      </c>
      <c r="G260" s="17" t="s">
        <v>6096</v>
      </c>
      <c r="H260" s="17"/>
      <c r="I260" s="97">
        <f>VLOOKUP(F260, '[1]Can Matrix'!$M:$X, 2, FALSE)</f>
        <v>1</v>
      </c>
      <c r="J260" s="17" t="str">
        <f t="shared" si="4"/>
        <v>uint8</v>
      </c>
      <c r="K260" s="17"/>
      <c r="L260" s="17"/>
      <c r="M260" s="100" t="str">
        <f>'[1]Can Matrix'!$R$2</f>
        <v>Unsigned</v>
      </c>
      <c r="N260" s="101" t="str">
        <f>IFERROR(IF(VLOOKUP(F260, '[1]Can Matrix'!$M:$X, 12, FALSE)=0, "", "TMS_Enum_" &amp; VLOOKUP(F260, '[1]Can Matrix'!$M:$X, 12, FALSE)), "")</f>
        <v>TMS_Enum_ClimaSts</v>
      </c>
      <c r="O260" s="17"/>
      <c r="P260" s="17"/>
      <c r="Q260" s="17"/>
      <c r="R260" s="17"/>
      <c r="S260" s="17"/>
      <c r="T260" s="17"/>
      <c r="U260" s="17"/>
      <c r="V260" s="17"/>
      <c r="W260" s="17"/>
      <c r="X260" s="103"/>
      <c r="Y260" s="17"/>
      <c r="Z260" s="101" t="str">
        <f>IF(N260="", "", IF(ISNUMBER(MATCH(N260, TextTables!A:A, 0)), "Y", "N"))</f>
        <v>Y</v>
      </c>
      <c r="AA260" s="101" t="str">
        <f>IF(ISNUMBER(MATCH(F260, '[1]Can Matrix'!M:M, 0)), "Y", "N")</f>
        <v>Y</v>
      </c>
    </row>
    <row r="261" spans="1:27" ht="16.8">
      <c r="A261" s="17"/>
      <c r="B261" s="17"/>
      <c r="C261" s="17"/>
      <c r="D261" s="17" t="s">
        <v>143</v>
      </c>
      <c r="E261" s="17"/>
      <c r="F261" s="17" t="s">
        <v>6097</v>
      </c>
      <c r="G261" s="17" t="s">
        <v>6097</v>
      </c>
      <c r="H261" s="17"/>
      <c r="I261" s="97">
        <f>VLOOKUP(F261, '[1]Can Matrix'!$M:$X, 2, FALSE)</f>
        <v>12</v>
      </c>
      <c r="J261" s="17" t="str">
        <f t="shared" si="4"/>
        <v>uint16</v>
      </c>
      <c r="K261" s="17"/>
      <c r="L261" s="17"/>
      <c r="M261" s="100" t="str">
        <f>'[1]Can Matrix'!$R$2</f>
        <v>Unsigned</v>
      </c>
      <c r="N261" s="101" t="str">
        <f>IFERROR(IF(VLOOKUP(F261, '[1]Can Matrix'!$M:$X, 12, FALSE)=0, "", "TMS_Enum_" &amp; VLOOKUP(F261, '[1]Can Matrix'!$M:$X, 12, FALSE)), "")</f>
        <v/>
      </c>
      <c r="O261" s="17"/>
      <c r="P261" s="17"/>
      <c r="Q261" s="17"/>
      <c r="R261" s="17"/>
      <c r="S261" s="17"/>
      <c r="T261" s="17"/>
      <c r="U261" s="17"/>
      <c r="V261" s="17"/>
      <c r="W261" s="17"/>
      <c r="X261" s="103"/>
      <c r="Y261" s="17"/>
      <c r="Z261" s="101" t="str">
        <f>IF(N261="", "", IF(ISNUMBER(MATCH(N261, TextTables!A:A, 0)), "Y", "N"))</f>
        <v/>
      </c>
      <c r="AA261" s="101" t="str">
        <f>IF(ISNUMBER(MATCH(F261, '[1]Can Matrix'!M:M, 0)), "Y", "N")</f>
        <v>Y</v>
      </c>
    </row>
    <row r="262" spans="1:27" ht="16.8">
      <c r="A262" s="17"/>
      <c r="B262" s="17"/>
      <c r="C262" s="17"/>
      <c r="D262" s="17" t="s">
        <v>143</v>
      </c>
      <c r="E262" s="17"/>
      <c r="F262" s="17" t="s">
        <v>6098</v>
      </c>
      <c r="G262" s="17" t="s">
        <v>6098</v>
      </c>
      <c r="H262" s="17"/>
      <c r="I262" s="97">
        <f>VLOOKUP(F262, '[1]Can Matrix'!$M:$X, 2, FALSE)</f>
        <v>12</v>
      </c>
      <c r="J262" s="17" t="str">
        <f t="shared" si="4"/>
        <v>uint16</v>
      </c>
      <c r="K262" s="17"/>
      <c r="L262" s="17"/>
      <c r="M262" s="100" t="str">
        <f>'[1]Can Matrix'!$R$2</f>
        <v>Unsigned</v>
      </c>
      <c r="N262" s="101" t="str">
        <f>IFERROR(IF(VLOOKUP(F262, '[1]Can Matrix'!$M:$X, 12, FALSE)=0, "", "TMS_Enum_" &amp; VLOOKUP(F262, '[1]Can Matrix'!$M:$X, 12, FALSE)), "")</f>
        <v/>
      </c>
      <c r="O262" s="17"/>
      <c r="P262" s="17"/>
      <c r="Q262" s="17"/>
      <c r="R262" s="17"/>
      <c r="S262" s="17"/>
      <c r="T262" s="17"/>
      <c r="U262" s="17"/>
      <c r="V262" s="17"/>
      <c r="W262" s="17"/>
      <c r="X262" s="103"/>
      <c r="Y262" s="17"/>
      <c r="Z262" s="101" t="str">
        <f>IF(N262="", "", IF(ISNUMBER(MATCH(N262, TextTables!A:A, 0)), "Y", "N"))</f>
        <v/>
      </c>
      <c r="AA262" s="101" t="str">
        <f>IF(ISNUMBER(MATCH(F262, '[1]Can Matrix'!M:M, 0)), "Y", "N")</f>
        <v>Y</v>
      </c>
    </row>
    <row r="263" spans="1:27" ht="16.8">
      <c r="A263" s="17"/>
      <c r="B263" s="17"/>
      <c r="C263" s="17"/>
      <c r="D263" s="17" t="s">
        <v>143</v>
      </c>
      <c r="E263" s="17"/>
      <c r="F263" s="17" t="s">
        <v>6099</v>
      </c>
      <c r="G263" s="17" t="s">
        <v>6099</v>
      </c>
      <c r="H263" s="17"/>
      <c r="I263" s="97">
        <f>VLOOKUP(F263, '[1]Can Matrix'!$M:$X, 2, FALSE)</f>
        <v>12</v>
      </c>
      <c r="J263" s="17" t="str">
        <f t="shared" si="4"/>
        <v>uint16</v>
      </c>
      <c r="K263" s="17"/>
      <c r="L263" s="17"/>
      <c r="M263" s="100" t="str">
        <f>'[1]Can Matrix'!$R$2</f>
        <v>Unsigned</v>
      </c>
      <c r="N263" s="101" t="str">
        <f>IFERROR(IF(VLOOKUP(F263, '[1]Can Matrix'!$M:$X, 12, FALSE)=0, "", "TMS_Enum_" &amp; VLOOKUP(F263, '[1]Can Matrix'!$M:$X, 12, FALSE)), "")</f>
        <v/>
      </c>
      <c r="O263" s="17"/>
      <c r="P263" s="17"/>
      <c r="Q263" s="17"/>
      <c r="R263" s="17"/>
      <c r="S263" s="17"/>
      <c r="T263" s="17"/>
      <c r="U263" s="17"/>
      <c r="V263" s="17"/>
      <c r="W263" s="17"/>
      <c r="X263" s="103"/>
      <c r="Y263" s="17"/>
      <c r="Z263" s="101" t="str">
        <f>IF(N263="", "", IF(ISNUMBER(MATCH(N263, TextTables!A:A, 0)), "Y", "N"))</f>
        <v/>
      </c>
      <c r="AA263" s="101" t="str">
        <f>IF(ISNUMBER(MATCH(F263, '[1]Can Matrix'!M:M, 0)), "Y", "N")</f>
        <v>Y</v>
      </c>
    </row>
    <row r="264" spans="1:27" ht="16.8">
      <c r="A264" s="17"/>
      <c r="B264" s="17"/>
      <c r="C264" s="17"/>
      <c r="D264" s="17" t="s">
        <v>143</v>
      </c>
      <c r="E264" s="17"/>
      <c r="F264" s="17" t="s">
        <v>6100</v>
      </c>
      <c r="G264" s="17" t="s">
        <v>6100</v>
      </c>
      <c r="H264" s="17"/>
      <c r="I264" s="97">
        <f>VLOOKUP(F264, '[1]Can Matrix'!$M:$X, 2, FALSE)</f>
        <v>12</v>
      </c>
      <c r="J264" s="17" t="str">
        <f t="shared" si="4"/>
        <v>uint16</v>
      </c>
      <c r="K264" s="17"/>
      <c r="L264" s="17"/>
      <c r="M264" s="100" t="str">
        <f>'[1]Can Matrix'!$R$2</f>
        <v>Unsigned</v>
      </c>
      <c r="N264" s="101" t="str">
        <f>IFERROR(IF(VLOOKUP(F264, '[1]Can Matrix'!$M:$X, 12, FALSE)=0, "", "TMS_Enum_" &amp; VLOOKUP(F264, '[1]Can Matrix'!$M:$X, 12, FALSE)), "")</f>
        <v/>
      </c>
      <c r="O264" s="17"/>
      <c r="P264" s="17"/>
      <c r="Q264" s="17"/>
      <c r="R264" s="17"/>
      <c r="S264" s="17"/>
      <c r="T264" s="17"/>
      <c r="U264" s="17"/>
      <c r="V264" s="17"/>
      <c r="W264" s="17"/>
      <c r="X264" s="103"/>
      <c r="Y264" s="17"/>
      <c r="Z264" s="101" t="str">
        <f>IF(N264="", "", IF(ISNUMBER(MATCH(N264, TextTables!A:A, 0)), "Y", "N"))</f>
        <v/>
      </c>
      <c r="AA264" s="101" t="str">
        <f>IF(ISNUMBER(MATCH(F264, '[1]Can Matrix'!M:M, 0)), "Y", "N")</f>
        <v>Y</v>
      </c>
    </row>
    <row r="265" spans="1:27" ht="16.8">
      <c r="A265" s="17"/>
      <c r="B265" s="17"/>
      <c r="C265" s="17"/>
      <c r="D265" s="17" t="s">
        <v>143</v>
      </c>
      <c r="E265" s="17"/>
      <c r="F265" s="17" t="s">
        <v>6101</v>
      </c>
      <c r="G265" s="17" t="s">
        <v>6101</v>
      </c>
      <c r="H265" s="17"/>
      <c r="I265" s="97">
        <f>VLOOKUP(F265, '[1]Can Matrix'!$M:$X, 2, FALSE)</f>
        <v>13</v>
      </c>
      <c r="J265" s="17" t="str">
        <f t="shared" si="4"/>
        <v>uint16</v>
      </c>
      <c r="K265" s="17"/>
      <c r="L265" s="17"/>
      <c r="M265" s="100" t="str">
        <f>'[1]Can Matrix'!$R$2</f>
        <v>Unsigned</v>
      </c>
      <c r="N265" s="101" t="str">
        <f>IFERROR(IF(VLOOKUP(F265, '[1]Can Matrix'!$M:$X, 12, FALSE)=0, "", "TMS_Enum_" &amp; VLOOKUP(F265, '[1]Can Matrix'!$M:$X, 12, FALSE)), "")</f>
        <v/>
      </c>
      <c r="O265" s="17"/>
      <c r="P265" s="17"/>
      <c r="Q265" s="17"/>
      <c r="R265" s="17"/>
      <c r="S265" s="17"/>
      <c r="T265" s="17"/>
      <c r="U265" s="17"/>
      <c r="V265" s="17"/>
      <c r="W265" s="17"/>
      <c r="X265" s="103"/>
      <c r="Y265" s="17"/>
      <c r="Z265" s="101" t="str">
        <f>IF(N265="", "", IF(ISNUMBER(MATCH(N265, TextTables!A:A, 0)), "Y", "N"))</f>
        <v/>
      </c>
      <c r="AA265" s="101" t="str">
        <f>IF(ISNUMBER(MATCH(F265, '[1]Can Matrix'!M:M, 0)), "Y", "N")</f>
        <v>Y</v>
      </c>
    </row>
    <row r="266" spans="1:27" ht="16.8">
      <c r="A266" s="17"/>
      <c r="B266" s="17"/>
      <c r="C266" s="17"/>
      <c r="D266" s="17" t="s">
        <v>143</v>
      </c>
      <c r="E266" s="17"/>
      <c r="F266" s="17" t="s">
        <v>6102</v>
      </c>
      <c r="G266" s="17" t="s">
        <v>6102</v>
      </c>
      <c r="H266" s="17"/>
      <c r="I266" s="97">
        <f>VLOOKUP(F266, '[1]Can Matrix'!$M:$X, 2, FALSE)</f>
        <v>12</v>
      </c>
      <c r="J266" s="17" t="str">
        <f t="shared" si="4"/>
        <v>uint16</v>
      </c>
      <c r="K266" s="17"/>
      <c r="L266" s="17"/>
      <c r="M266" s="100" t="str">
        <f>'[1]Can Matrix'!$R$2</f>
        <v>Unsigned</v>
      </c>
      <c r="N266" s="101" t="str">
        <f>IFERROR(IF(VLOOKUP(F266, '[1]Can Matrix'!$M:$X, 12, FALSE)=0, "", "TMS_Enum_" &amp; VLOOKUP(F266, '[1]Can Matrix'!$M:$X, 12, FALSE)), "")</f>
        <v/>
      </c>
      <c r="O266" s="17"/>
      <c r="P266" s="17"/>
      <c r="Q266" s="17"/>
      <c r="R266" s="17"/>
      <c r="S266" s="17"/>
      <c r="T266" s="17"/>
      <c r="U266" s="17"/>
      <c r="V266" s="17"/>
      <c r="W266" s="17"/>
      <c r="X266" s="103"/>
      <c r="Y266" s="17"/>
      <c r="Z266" s="101" t="str">
        <f>IF(N266="", "", IF(ISNUMBER(MATCH(N266, TextTables!A:A, 0)), "Y", "N"))</f>
        <v/>
      </c>
      <c r="AA266" s="101" t="str">
        <f>IF(ISNUMBER(MATCH(F266, '[1]Can Matrix'!M:M, 0)), "Y", "N")</f>
        <v>Y</v>
      </c>
    </row>
    <row r="267" spans="1:27" ht="16.8">
      <c r="A267" s="17"/>
      <c r="B267" s="17"/>
      <c r="C267" s="17"/>
      <c r="D267" s="17" t="s">
        <v>143</v>
      </c>
      <c r="E267" s="17"/>
      <c r="F267" s="17" t="s">
        <v>6103</v>
      </c>
      <c r="G267" s="17" t="s">
        <v>6103</v>
      </c>
      <c r="H267" s="17"/>
      <c r="I267" s="97">
        <f>VLOOKUP(F267, '[1]Can Matrix'!$M:$X, 2, FALSE)</f>
        <v>13</v>
      </c>
      <c r="J267" s="17" t="str">
        <f t="shared" si="4"/>
        <v>uint16</v>
      </c>
      <c r="K267" s="17"/>
      <c r="L267" s="17"/>
      <c r="M267" s="100" t="str">
        <f>'[1]Can Matrix'!$R$2</f>
        <v>Unsigned</v>
      </c>
      <c r="N267" s="101" t="str">
        <f>IFERROR(IF(VLOOKUP(F267, '[1]Can Matrix'!$M:$X, 12, FALSE)=0, "", "TMS_Enum_" &amp; VLOOKUP(F267, '[1]Can Matrix'!$M:$X, 12, FALSE)), "")</f>
        <v/>
      </c>
      <c r="O267" s="17"/>
      <c r="P267" s="17"/>
      <c r="Q267" s="17"/>
      <c r="R267" s="17"/>
      <c r="S267" s="17"/>
      <c r="T267" s="17"/>
      <c r="U267" s="17"/>
      <c r="V267" s="17"/>
      <c r="W267" s="17"/>
      <c r="X267" s="103"/>
      <c r="Y267" s="17"/>
      <c r="Z267" s="101" t="str">
        <f>IF(N267="", "", IF(ISNUMBER(MATCH(N267, TextTables!A:A, 0)), "Y", "N"))</f>
        <v/>
      </c>
      <c r="AA267" s="101" t="str">
        <f>IF(ISNUMBER(MATCH(F267, '[1]Can Matrix'!M:M, 0)), "Y", "N")</f>
        <v>Y</v>
      </c>
    </row>
    <row r="268" spans="1:27" ht="16.8">
      <c r="A268" s="17"/>
      <c r="B268" s="17"/>
      <c r="C268" s="17"/>
      <c r="D268" s="17" t="s">
        <v>143</v>
      </c>
      <c r="E268" s="17"/>
      <c r="F268" s="17" t="s">
        <v>6104</v>
      </c>
      <c r="G268" s="17" t="s">
        <v>6104</v>
      </c>
      <c r="H268" s="17"/>
      <c r="I268" s="97">
        <f>VLOOKUP(F268, '[1]Can Matrix'!$M:$X, 2, FALSE)</f>
        <v>12</v>
      </c>
      <c r="J268" s="17" t="str">
        <f t="shared" si="4"/>
        <v>uint16</v>
      </c>
      <c r="K268" s="17"/>
      <c r="L268" s="17"/>
      <c r="M268" s="100" t="str">
        <f>'[1]Can Matrix'!$R$2</f>
        <v>Unsigned</v>
      </c>
      <c r="N268" s="101" t="str">
        <f>IFERROR(IF(VLOOKUP(F268, '[1]Can Matrix'!$M:$X, 12, FALSE)=0, "", "TMS_Enum_" &amp; VLOOKUP(F268, '[1]Can Matrix'!$M:$X, 12, FALSE)), "")</f>
        <v/>
      </c>
      <c r="O268" s="17"/>
      <c r="P268" s="17"/>
      <c r="Q268" s="17"/>
      <c r="R268" s="17"/>
      <c r="S268" s="17"/>
      <c r="T268" s="17"/>
      <c r="U268" s="17"/>
      <c r="V268" s="17"/>
      <c r="W268" s="17"/>
      <c r="X268" s="103"/>
      <c r="Y268" s="17"/>
      <c r="Z268" s="101" t="str">
        <f>IF(N268="", "", IF(ISNUMBER(MATCH(N268, TextTables!A:A, 0)), "Y", "N"))</f>
        <v/>
      </c>
      <c r="AA268" s="101" t="str">
        <f>IF(ISNUMBER(MATCH(F268, '[1]Can Matrix'!M:M, 0)), "Y", "N")</f>
        <v>Y</v>
      </c>
    </row>
    <row r="269" spans="1:27" ht="16.8">
      <c r="A269" s="17"/>
      <c r="B269" s="17"/>
      <c r="C269" s="17"/>
      <c r="D269" s="17" t="s">
        <v>143</v>
      </c>
      <c r="E269" s="17"/>
      <c r="F269" s="17" t="s">
        <v>6105</v>
      </c>
      <c r="G269" s="17" t="s">
        <v>6105</v>
      </c>
      <c r="H269" s="17"/>
      <c r="I269" s="97">
        <f>VLOOKUP(F269, '[1]Can Matrix'!$M:$X, 2, FALSE)</f>
        <v>12</v>
      </c>
      <c r="J269" s="17" t="str">
        <f t="shared" si="4"/>
        <v>uint16</v>
      </c>
      <c r="K269" s="17"/>
      <c r="L269" s="17"/>
      <c r="M269" s="100" t="str">
        <f>'[1]Can Matrix'!$R$2</f>
        <v>Unsigned</v>
      </c>
      <c r="N269" s="101" t="str">
        <f>IFERROR(IF(VLOOKUP(F269, '[1]Can Matrix'!$M:$X, 12, FALSE)=0, "", "TMS_Enum_" &amp; VLOOKUP(F269, '[1]Can Matrix'!$M:$X, 12, FALSE)), "")</f>
        <v/>
      </c>
      <c r="O269" s="17"/>
      <c r="P269" s="17"/>
      <c r="Q269" s="17"/>
      <c r="R269" s="17"/>
      <c r="S269" s="17"/>
      <c r="T269" s="17"/>
      <c r="U269" s="17"/>
      <c r="V269" s="17"/>
      <c r="W269" s="17"/>
      <c r="X269" s="103"/>
      <c r="Y269" s="17"/>
      <c r="Z269" s="101" t="str">
        <f>IF(N269="", "", IF(ISNUMBER(MATCH(N269, TextTables!A:A, 0)), "Y", "N"))</f>
        <v/>
      </c>
      <c r="AA269" s="101" t="str">
        <f>IF(ISNUMBER(MATCH(F269, '[1]Can Matrix'!M:M, 0)), "Y", "N")</f>
        <v>Y</v>
      </c>
    </row>
    <row r="270" spans="1:27" ht="16.8">
      <c r="A270" s="17"/>
      <c r="B270" s="17"/>
      <c r="C270" s="17"/>
      <c r="D270" s="17" t="s">
        <v>143</v>
      </c>
      <c r="E270" s="17"/>
      <c r="F270" s="17" t="s">
        <v>6106</v>
      </c>
      <c r="G270" s="17" t="s">
        <v>6106</v>
      </c>
      <c r="H270" s="17"/>
      <c r="I270" s="97">
        <f>VLOOKUP(F270, '[1]Can Matrix'!$M:$X, 2, FALSE)</f>
        <v>12</v>
      </c>
      <c r="J270" s="17" t="str">
        <f t="shared" si="4"/>
        <v>uint16</v>
      </c>
      <c r="K270" s="17"/>
      <c r="L270" s="17"/>
      <c r="M270" s="100" t="str">
        <f>'[1]Can Matrix'!$R$2</f>
        <v>Unsigned</v>
      </c>
      <c r="N270" s="101" t="str">
        <f>IFERROR(IF(VLOOKUP(F270, '[1]Can Matrix'!$M:$X, 12, FALSE)=0, "", "TMS_Enum_" &amp; VLOOKUP(F270, '[1]Can Matrix'!$M:$X, 12, FALSE)), "")</f>
        <v/>
      </c>
      <c r="O270" s="17"/>
      <c r="P270" s="17"/>
      <c r="Q270" s="17"/>
      <c r="R270" s="17"/>
      <c r="S270" s="17"/>
      <c r="T270" s="17"/>
      <c r="U270" s="17"/>
      <c r="V270" s="17"/>
      <c r="W270" s="17"/>
      <c r="X270" s="103"/>
      <c r="Y270" s="17"/>
      <c r="Z270" s="101" t="str">
        <f>IF(N270="", "", IF(ISNUMBER(MATCH(N270, TextTables!A:A, 0)), "Y", "N"))</f>
        <v/>
      </c>
      <c r="AA270" s="101" t="str">
        <f>IF(ISNUMBER(MATCH(F270, '[1]Can Matrix'!M:M, 0)), "Y", "N")</f>
        <v>Y</v>
      </c>
    </row>
    <row r="271" spans="1:27" ht="16.8">
      <c r="A271" s="17"/>
      <c r="B271" s="17"/>
      <c r="C271" s="17"/>
      <c r="D271" s="17" t="s">
        <v>143</v>
      </c>
      <c r="E271" s="17"/>
      <c r="F271" s="17" t="s">
        <v>6107</v>
      </c>
      <c r="G271" s="17" t="s">
        <v>6107</v>
      </c>
      <c r="H271" s="17"/>
      <c r="I271" s="97">
        <f>VLOOKUP(F271, '[1]Can Matrix'!$M:$X, 2, FALSE)</f>
        <v>12</v>
      </c>
      <c r="J271" s="17" t="str">
        <f t="shared" si="4"/>
        <v>uint16</v>
      </c>
      <c r="K271" s="17"/>
      <c r="L271" s="17"/>
      <c r="M271" s="100" t="str">
        <f>'[1]Can Matrix'!$R$2</f>
        <v>Unsigned</v>
      </c>
      <c r="N271" s="101" t="str">
        <f>IFERROR(IF(VLOOKUP(F271, '[1]Can Matrix'!$M:$X, 12, FALSE)=0, "", "TMS_Enum_" &amp; VLOOKUP(F271, '[1]Can Matrix'!$M:$X, 12, FALSE)), "")</f>
        <v/>
      </c>
      <c r="O271" s="17"/>
      <c r="P271" s="17"/>
      <c r="Q271" s="17"/>
      <c r="R271" s="17"/>
      <c r="S271" s="17"/>
      <c r="T271" s="17"/>
      <c r="U271" s="17"/>
      <c r="V271" s="17"/>
      <c r="W271" s="17"/>
      <c r="X271" s="103"/>
      <c r="Y271" s="17"/>
      <c r="Z271" s="101" t="str">
        <f>IF(N271="", "", IF(ISNUMBER(MATCH(N271, TextTables!A:A, 0)), "Y", "N"))</f>
        <v/>
      </c>
      <c r="AA271" s="101" t="str">
        <f>IF(ISNUMBER(MATCH(F271, '[1]Can Matrix'!M:M, 0)), "Y", "N")</f>
        <v>Y</v>
      </c>
    </row>
    <row r="272" spans="1:27" ht="16.8">
      <c r="A272" s="17"/>
      <c r="B272" s="17"/>
      <c r="C272" s="17"/>
      <c r="D272" s="17" t="s">
        <v>143</v>
      </c>
      <c r="E272" s="17"/>
      <c r="F272" s="17" t="s">
        <v>6108</v>
      </c>
      <c r="G272" s="17" t="s">
        <v>6108</v>
      </c>
      <c r="H272" s="17"/>
      <c r="I272" s="97">
        <f>VLOOKUP(F272, '[1]Can Matrix'!$M:$X, 2, FALSE)</f>
        <v>13</v>
      </c>
      <c r="J272" s="17" t="str">
        <f t="shared" si="4"/>
        <v>uint16</v>
      </c>
      <c r="K272" s="17"/>
      <c r="L272" s="17"/>
      <c r="M272" s="100" t="str">
        <f>'[1]Can Matrix'!$R$2</f>
        <v>Unsigned</v>
      </c>
      <c r="N272" s="101" t="str">
        <f>IFERROR(IF(VLOOKUP(F272, '[1]Can Matrix'!$M:$X, 12, FALSE)=0, "", "TMS_Enum_" &amp; VLOOKUP(F272, '[1]Can Matrix'!$M:$X, 12, FALSE)), "")</f>
        <v/>
      </c>
      <c r="O272" s="17"/>
      <c r="P272" s="17"/>
      <c r="Q272" s="17"/>
      <c r="R272" s="17"/>
      <c r="S272" s="17"/>
      <c r="T272" s="17"/>
      <c r="U272" s="17"/>
      <c r="V272" s="17"/>
      <c r="W272" s="17"/>
      <c r="X272" s="103"/>
      <c r="Y272" s="17"/>
      <c r="Z272" s="101" t="str">
        <f>IF(N272="", "", IF(ISNUMBER(MATCH(N272, TextTables!A:A, 0)), "Y", "N"))</f>
        <v/>
      </c>
      <c r="AA272" s="101" t="str">
        <f>IF(ISNUMBER(MATCH(F272, '[1]Can Matrix'!M:M, 0)), "Y", "N")</f>
        <v>Y</v>
      </c>
    </row>
    <row r="273" spans="1:27" ht="16.8">
      <c r="A273" s="17"/>
      <c r="B273" s="17"/>
      <c r="C273" s="17"/>
      <c r="D273" s="17" t="s">
        <v>143</v>
      </c>
      <c r="E273" s="17"/>
      <c r="F273" s="17" t="s">
        <v>6109</v>
      </c>
      <c r="G273" s="17" t="s">
        <v>6109</v>
      </c>
      <c r="H273" s="17"/>
      <c r="I273" s="97">
        <f>VLOOKUP(F273, '[1]Can Matrix'!$M:$X, 2, FALSE)</f>
        <v>13</v>
      </c>
      <c r="J273" s="17" t="str">
        <f t="shared" si="4"/>
        <v>uint16</v>
      </c>
      <c r="K273" s="17"/>
      <c r="L273" s="17"/>
      <c r="M273" s="100" t="str">
        <f>'[1]Can Matrix'!$R$2</f>
        <v>Unsigned</v>
      </c>
      <c r="N273" s="101" t="str">
        <f>IFERROR(IF(VLOOKUP(F273, '[1]Can Matrix'!$M:$X, 12, FALSE)=0, "", "TMS_Enum_" &amp; VLOOKUP(F273, '[1]Can Matrix'!$M:$X, 12, FALSE)), "")</f>
        <v/>
      </c>
      <c r="O273" s="17"/>
      <c r="P273" s="17"/>
      <c r="Q273" s="17"/>
      <c r="R273" s="17"/>
      <c r="S273" s="17"/>
      <c r="T273" s="17"/>
      <c r="U273" s="17"/>
      <c r="V273" s="17"/>
      <c r="W273" s="17"/>
      <c r="X273" s="103"/>
      <c r="Y273" s="17"/>
      <c r="Z273" s="101" t="str">
        <f>IF(N273="", "", IF(ISNUMBER(MATCH(N273, TextTables!A:A, 0)), "Y", "N"))</f>
        <v/>
      </c>
      <c r="AA273" s="101" t="str">
        <f>IF(ISNUMBER(MATCH(F273, '[1]Can Matrix'!M:M, 0)), "Y", "N")</f>
        <v>Y</v>
      </c>
    </row>
    <row r="274" spans="1:27" ht="16.8">
      <c r="A274" s="17"/>
      <c r="B274" s="17"/>
      <c r="C274" s="17"/>
      <c r="D274" s="17" t="s">
        <v>143</v>
      </c>
      <c r="E274" s="17"/>
      <c r="F274" s="17" t="s">
        <v>6110</v>
      </c>
      <c r="G274" s="17" t="s">
        <v>6110</v>
      </c>
      <c r="H274" s="17"/>
      <c r="I274" s="97">
        <f>VLOOKUP(F274, '[1]Can Matrix'!$M:$X, 2, FALSE)</f>
        <v>13</v>
      </c>
      <c r="J274" s="17" t="str">
        <f t="shared" si="4"/>
        <v>uint16</v>
      </c>
      <c r="K274" s="17"/>
      <c r="L274" s="17"/>
      <c r="M274" s="100" t="str">
        <f>'[1]Can Matrix'!$R$2</f>
        <v>Unsigned</v>
      </c>
      <c r="N274" s="101" t="str">
        <f>IFERROR(IF(VLOOKUP(F274, '[1]Can Matrix'!$M:$X, 12, FALSE)=0, "", "TMS_Enum_" &amp; VLOOKUP(F274, '[1]Can Matrix'!$M:$X, 12, FALSE)), "")</f>
        <v/>
      </c>
      <c r="O274" s="17"/>
      <c r="P274" s="17"/>
      <c r="Q274" s="17"/>
      <c r="R274" s="17"/>
      <c r="S274" s="17"/>
      <c r="T274" s="17"/>
      <c r="U274" s="17"/>
      <c r="V274" s="17"/>
      <c r="W274" s="17"/>
      <c r="X274" s="103"/>
      <c r="Y274" s="17"/>
      <c r="Z274" s="101" t="str">
        <f>IF(N274="", "", IF(ISNUMBER(MATCH(N274, TextTables!A:A, 0)), "Y", "N"))</f>
        <v/>
      </c>
      <c r="AA274" s="101" t="str">
        <f>IF(ISNUMBER(MATCH(F274, '[1]Can Matrix'!M:M, 0)), "Y", "N")</f>
        <v>Y</v>
      </c>
    </row>
    <row r="275" spans="1:27" ht="16.8">
      <c r="A275" s="17"/>
      <c r="B275" s="17"/>
      <c r="C275" s="17"/>
      <c r="D275" s="17" t="s">
        <v>143</v>
      </c>
      <c r="E275" s="17"/>
      <c r="F275" s="17" t="s">
        <v>6111</v>
      </c>
      <c r="G275" s="17" t="s">
        <v>6111</v>
      </c>
      <c r="H275" s="17"/>
      <c r="I275" s="97">
        <f>VLOOKUP(F275, '[1]Can Matrix'!$M:$X, 2, FALSE)</f>
        <v>13</v>
      </c>
      <c r="J275" s="17" t="str">
        <f t="shared" si="4"/>
        <v>uint16</v>
      </c>
      <c r="K275" s="17"/>
      <c r="L275" s="17"/>
      <c r="M275" s="100" t="str">
        <f>'[1]Can Matrix'!$R$2</f>
        <v>Unsigned</v>
      </c>
      <c r="N275" s="101" t="str">
        <f>IFERROR(IF(VLOOKUP(F275, '[1]Can Matrix'!$M:$X, 12, FALSE)=0, "", "TMS_Enum_" &amp; VLOOKUP(F275, '[1]Can Matrix'!$M:$X, 12, FALSE)), "")</f>
        <v/>
      </c>
      <c r="O275" s="17"/>
      <c r="P275" s="17"/>
      <c r="Q275" s="17"/>
      <c r="R275" s="17"/>
      <c r="S275" s="17"/>
      <c r="T275" s="17"/>
      <c r="U275" s="17"/>
      <c r="V275" s="17"/>
      <c r="W275" s="17"/>
      <c r="X275" s="103"/>
      <c r="Y275" s="17"/>
      <c r="Z275" s="101" t="str">
        <f>IF(N275="", "", IF(ISNUMBER(MATCH(N275, TextTables!A:A, 0)), "Y", "N"))</f>
        <v/>
      </c>
      <c r="AA275" s="101" t="str">
        <f>IF(ISNUMBER(MATCH(F275, '[1]Can Matrix'!M:M, 0)), "Y", "N")</f>
        <v>Y</v>
      </c>
    </row>
    <row r="276" spans="1:27" ht="16.8">
      <c r="A276" s="17"/>
      <c r="B276" s="17"/>
      <c r="C276" s="17"/>
      <c r="D276" s="17" t="s">
        <v>143</v>
      </c>
      <c r="E276" s="17"/>
      <c r="F276" s="17" t="s">
        <v>6112</v>
      </c>
      <c r="G276" s="17" t="s">
        <v>6112</v>
      </c>
      <c r="H276" s="17"/>
      <c r="I276" s="97">
        <f>VLOOKUP(F276, '[1]Can Matrix'!$M:$X, 2, FALSE)</f>
        <v>12</v>
      </c>
      <c r="J276" s="17" t="str">
        <f t="shared" si="4"/>
        <v>uint16</v>
      </c>
      <c r="K276" s="17"/>
      <c r="L276" s="17"/>
      <c r="M276" s="100" t="str">
        <f>'[1]Can Matrix'!$R$2</f>
        <v>Unsigned</v>
      </c>
      <c r="N276" s="101" t="str">
        <f>IFERROR(IF(VLOOKUP(F276, '[1]Can Matrix'!$M:$X, 12, FALSE)=0, "", "TMS_Enum_" &amp; VLOOKUP(F276, '[1]Can Matrix'!$M:$X, 12, FALSE)), "")</f>
        <v/>
      </c>
      <c r="O276" s="17"/>
      <c r="P276" s="17"/>
      <c r="Q276" s="17"/>
      <c r="R276" s="17"/>
      <c r="S276" s="17"/>
      <c r="T276" s="17"/>
      <c r="U276" s="17"/>
      <c r="V276" s="17"/>
      <c r="W276" s="17"/>
      <c r="X276" s="103"/>
      <c r="Y276" s="17"/>
      <c r="Z276" s="101" t="str">
        <f>IF(N276="", "", IF(ISNUMBER(MATCH(N276, TextTables!A:A, 0)), "Y", "N"))</f>
        <v/>
      </c>
      <c r="AA276" s="101" t="str">
        <f>IF(ISNUMBER(MATCH(F276, '[1]Can Matrix'!M:M, 0)), "Y", "N")</f>
        <v>Y</v>
      </c>
    </row>
    <row r="277" spans="1:27" ht="16.8">
      <c r="A277" s="17"/>
      <c r="B277" s="17"/>
      <c r="C277" s="17"/>
      <c r="D277" s="17" t="s">
        <v>143</v>
      </c>
      <c r="E277" s="17"/>
      <c r="F277" s="17" t="s">
        <v>6113</v>
      </c>
      <c r="G277" s="17" t="s">
        <v>6113</v>
      </c>
      <c r="H277" s="17"/>
      <c r="I277" s="97">
        <f>VLOOKUP(F277, '[1]Can Matrix'!$M:$X, 2, FALSE)</f>
        <v>12</v>
      </c>
      <c r="J277" s="17" t="str">
        <f t="shared" si="4"/>
        <v>uint16</v>
      </c>
      <c r="K277" s="17"/>
      <c r="L277" s="17"/>
      <c r="M277" s="100" t="str">
        <f>'[1]Can Matrix'!$R$2</f>
        <v>Unsigned</v>
      </c>
      <c r="N277" s="101" t="str">
        <f>IFERROR(IF(VLOOKUP(F277, '[1]Can Matrix'!$M:$X, 12, FALSE)=0, "", "TMS_Enum_" &amp; VLOOKUP(F277, '[1]Can Matrix'!$M:$X, 12, FALSE)), "")</f>
        <v/>
      </c>
      <c r="O277" s="17"/>
      <c r="P277" s="17"/>
      <c r="Q277" s="17"/>
      <c r="R277" s="17"/>
      <c r="S277" s="17"/>
      <c r="T277" s="17"/>
      <c r="U277" s="17"/>
      <c r="V277" s="17"/>
      <c r="W277" s="17"/>
      <c r="X277" s="103"/>
      <c r="Y277" s="17"/>
      <c r="Z277" s="101" t="str">
        <f>IF(N277="", "", IF(ISNUMBER(MATCH(N277, TextTables!A:A, 0)), "Y", "N"))</f>
        <v/>
      </c>
      <c r="AA277" s="101" t="str">
        <f>IF(ISNUMBER(MATCH(F277, '[1]Can Matrix'!M:M, 0)), "Y", "N")</f>
        <v>Y</v>
      </c>
    </row>
    <row r="278" spans="1:27" ht="16.8">
      <c r="A278" s="17"/>
      <c r="B278" s="17"/>
      <c r="C278" s="17"/>
      <c r="D278" s="17" t="s">
        <v>143</v>
      </c>
      <c r="E278" s="17"/>
      <c r="F278" s="17" t="s">
        <v>6114</v>
      </c>
      <c r="G278" s="17" t="s">
        <v>6114</v>
      </c>
      <c r="H278" s="17"/>
      <c r="I278" s="97">
        <f>VLOOKUP(F278, '[1]Can Matrix'!$M:$X, 2, FALSE)</f>
        <v>12</v>
      </c>
      <c r="J278" s="17" t="str">
        <f t="shared" si="4"/>
        <v>uint16</v>
      </c>
      <c r="K278" s="17"/>
      <c r="L278" s="17"/>
      <c r="M278" s="100" t="str">
        <f>'[1]Can Matrix'!$R$2</f>
        <v>Unsigned</v>
      </c>
      <c r="N278" s="101" t="str">
        <f>IFERROR(IF(VLOOKUP(F278, '[1]Can Matrix'!$M:$X, 12, FALSE)=0, "", "TMS_Enum_" &amp; VLOOKUP(F278, '[1]Can Matrix'!$M:$X, 12, FALSE)), "")</f>
        <v/>
      </c>
      <c r="O278" s="17"/>
      <c r="P278" s="17"/>
      <c r="Q278" s="17"/>
      <c r="R278" s="17"/>
      <c r="S278" s="17"/>
      <c r="T278" s="17"/>
      <c r="U278" s="17"/>
      <c r="V278" s="17"/>
      <c r="W278" s="17"/>
      <c r="X278" s="103"/>
      <c r="Y278" s="17"/>
      <c r="Z278" s="101" t="str">
        <f>IF(N278="", "", IF(ISNUMBER(MATCH(N278, TextTables!A:A, 0)), "Y", "N"))</f>
        <v/>
      </c>
      <c r="AA278" s="101" t="str">
        <f>IF(ISNUMBER(MATCH(F278, '[1]Can Matrix'!M:M, 0)), "Y", "N")</f>
        <v>Y</v>
      </c>
    </row>
    <row r="279" spans="1:27" ht="16.8">
      <c r="A279" s="17"/>
      <c r="B279" s="17"/>
      <c r="C279" s="17"/>
      <c r="D279" s="17" t="s">
        <v>143</v>
      </c>
      <c r="E279" s="17"/>
      <c r="F279" s="17" t="s">
        <v>6115</v>
      </c>
      <c r="G279" s="17" t="s">
        <v>6115</v>
      </c>
      <c r="H279" s="17"/>
      <c r="I279" s="97">
        <f>VLOOKUP(F279, '[1]Can Matrix'!$M:$X, 2, FALSE)</f>
        <v>12</v>
      </c>
      <c r="J279" s="17" t="str">
        <f t="shared" si="4"/>
        <v>uint16</v>
      </c>
      <c r="K279" s="17"/>
      <c r="L279" s="17"/>
      <c r="M279" s="100" t="str">
        <f>'[1]Can Matrix'!$R$2</f>
        <v>Unsigned</v>
      </c>
      <c r="N279" s="101" t="str">
        <f>IFERROR(IF(VLOOKUP(F279, '[1]Can Matrix'!$M:$X, 12, FALSE)=0, "", "TMS_Enum_" &amp; VLOOKUP(F279, '[1]Can Matrix'!$M:$X, 12, FALSE)), "")</f>
        <v/>
      </c>
      <c r="O279" s="17"/>
      <c r="P279" s="17"/>
      <c r="Q279" s="17"/>
      <c r="R279" s="17"/>
      <c r="S279" s="17"/>
      <c r="T279" s="17"/>
      <c r="U279" s="17"/>
      <c r="V279" s="17"/>
      <c r="W279" s="17"/>
      <c r="X279" s="103"/>
      <c r="Y279" s="17"/>
      <c r="Z279" s="101" t="str">
        <f>IF(N279="", "", IF(ISNUMBER(MATCH(N279, TextTables!A:A, 0)), "Y", "N"))</f>
        <v/>
      </c>
      <c r="AA279" s="101" t="str">
        <f>IF(ISNUMBER(MATCH(F279, '[1]Can Matrix'!M:M, 0)), "Y", "N")</f>
        <v>Y</v>
      </c>
    </row>
    <row r="280" spans="1:27" ht="16.8">
      <c r="A280" s="17"/>
      <c r="B280" s="17"/>
      <c r="C280" s="17"/>
      <c r="D280" s="17" t="s">
        <v>143</v>
      </c>
      <c r="E280" s="17"/>
      <c r="F280" s="17" t="s">
        <v>6116</v>
      </c>
      <c r="G280" s="17" t="s">
        <v>6116</v>
      </c>
      <c r="H280" s="17"/>
      <c r="I280" s="97">
        <f>VLOOKUP(F280, '[1]Can Matrix'!$M:$X, 2, FALSE)</f>
        <v>12</v>
      </c>
      <c r="J280" s="17" t="str">
        <f t="shared" si="4"/>
        <v>uint16</v>
      </c>
      <c r="K280" s="17"/>
      <c r="L280" s="17"/>
      <c r="M280" s="100" t="str">
        <f>'[1]Can Matrix'!$R$2</f>
        <v>Unsigned</v>
      </c>
      <c r="N280" s="101" t="str">
        <f>IFERROR(IF(VLOOKUP(F280, '[1]Can Matrix'!$M:$X, 12, FALSE)=0, "", "TMS_Enum_" &amp; VLOOKUP(F280, '[1]Can Matrix'!$M:$X, 12, FALSE)), "")</f>
        <v/>
      </c>
      <c r="O280" s="17"/>
      <c r="P280" s="17"/>
      <c r="Q280" s="17"/>
      <c r="R280" s="17"/>
      <c r="S280" s="17"/>
      <c r="T280" s="17"/>
      <c r="U280" s="17"/>
      <c r="V280" s="17"/>
      <c r="W280" s="17"/>
      <c r="X280" s="103"/>
      <c r="Y280" s="17"/>
      <c r="Z280" s="101" t="str">
        <f>IF(N280="", "", IF(ISNUMBER(MATCH(N280, TextTables!A:A, 0)), "Y", "N"))</f>
        <v/>
      </c>
      <c r="AA280" s="101" t="str">
        <f>IF(ISNUMBER(MATCH(F280, '[1]Can Matrix'!M:M, 0)), "Y", "N")</f>
        <v>Y</v>
      </c>
    </row>
    <row r="281" spans="1:27" ht="16.8">
      <c r="A281" s="17"/>
      <c r="B281" s="17"/>
      <c r="C281" s="17"/>
      <c r="D281" s="17" t="s">
        <v>143</v>
      </c>
      <c r="E281" s="17"/>
      <c r="F281" s="17" t="s">
        <v>6117</v>
      </c>
      <c r="G281" s="17" t="s">
        <v>6117</v>
      </c>
      <c r="H281" s="17"/>
      <c r="I281" s="97">
        <f>VLOOKUP(F281, '[1]Can Matrix'!$M:$X, 2, FALSE)</f>
        <v>12</v>
      </c>
      <c r="J281" s="17" t="str">
        <f t="shared" si="4"/>
        <v>uint16</v>
      </c>
      <c r="K281" s="17"/>
      <c r="L281" s="17"/>
      <c r="M281" s="100" t="str">
        <f>'[1]Can Matrix'!$R$2</f>
        <v>Unsigned</v>
      </c>
      <c r="N281" s="101" t="str">
        <f>IFERROR(IF(VLOOKUP(F281, '[1]Can Matrix'!$M:$X, 12, FALSE)=0, "", "TMS_Enum_" &amp; VLOOKUP(F281, '[1]Can Matrix'!$M:$X, 12, FALSE)), "")</f>
        <v/>
      </c>
      <c r="O281" s="17"/>
      <c r="P281" s="17"/>
      <c r="Q281" s="17"/>
      <c r="R281" s="17"/>
      <c r="S281" s="17"/>
      <c r="T281" s="17"/>
      <c r="U281" s="17"/>
      <c r="V281" s="17"/>
      <c r="W281" s="17"/>
      <c r="X281" s="103"/>
      <c r="Y281" s="17"/>
      <c r="Z281" s="101" t="str">
        <f>IF(N281="", "", IF(ISNUMBER(MATCH(N281, TextTables!A:A, 0)), "Y", "N"))</f>
        <v/>
      </c>
      <c r="AA281" s="101" t="str">
        <f>IF(ISNUMBER(MATCH(F281, '[1]Can Matrix'!M:M, 0)), "Y", "N")</f>
        <v>Y</v>
      </c>
    </row>
    <row r="282" spans="1:27" ht="16.8">
      <c r="A282" s="17"/>
      <c r="B282" s="17"/>
      <c r="C282" s="17"/>
      <c r="D282" s="17" t="s">
        <v>143</v>
      </c>
      <c r="E282" s="17"/>
      <c r="F282" s="17" t="s">
        <v>6118</v>
      </c>
      <c r="G282" s="17" t="s">
        <v>6118</v>
      </c>
      <c r="H282" s="17"/>
      <c r="I282" s="97">
        <f>VLOOKUP(F282, '[1]Can Matrix'!$M:$X, 2, FALSE)</f>
        <v>12</v>
      </c>
      <c r="J282" s="17" t="str">
        <f t="shared" si="4"/>
        <v>uint16</v>
      </c>
      <c r="K282" s="17"/>
      <c r="L282" s="17"/>
      <c r="M282" s="100" t="str">
        <f>'[1]Can Matrix'!$R$2</f>
        <v>Unsigned</v>
      </c>
      <c r="N282" s="101" t="str">
        <f>IFERROR(IF(VLOOKUP(F282, '[1]Can Matrix'!$M:$X, 12, FALSE)=0, "", "TMS_Enum_" &amp; VLOOKUP(F282, '[1]Can Matrix'!$M:$X, 12, FALSE)), "")</f>
        <v/>
      </c>
      <c r="O282" s="17"/>
      <c r="P282" s="17"/>
      <c r="Q282" s="17"/>
      <c r="R282" s="17"/>
      <c r="S282" s="17"/>
      <c r="T282" s="17"/>
      <c r="U282" s="17"/>
      <c r="V282" s="17"/>
      <c r="W282" s="17"/>
      <c r="X282" s="103"/>
      <c r="Y282" s="17"/>
      <c r="Z282" s="101" t="str">
        <f>IF(N282="", "", IF(ISNUMBER(MATCH(N282, TextTables!A:A, 0)), "Y", "N"))</f>
        <v/>
      </c>
      <c r="AA282" s="101" t="str">
        <f>IF(ISNUMBER(MATCH(F282, '[1]Can Matrix'!M:M, 0)), "Y", "N")</f>
        <v>Y</v>
      </c>
    </row>
    <row r="283" spans="1:27" ht="16.8">
      <c r="A283" s="17"/>
      <c r="B283" s="17"/>
      <c r="C283" s="17"/>
      <c r="D283" s="17" t="s">
        <v>143</v>
      </c>
      <c r="E283" s="17"/>
      <c r="F283" s="17" t="s">
        <v>6119</v>
      </c>
      <c r="G283" s="17" t="s">
        <v>6119</v>
      </c>
      <c r="H283" s="17"/>
      <c r="I283" s="97">
        <f>VLOOKUP(F283, '[1]Can Matrix'!$M:$X, 2, FALSE)</f>
        <v>12</v>
      </c>
      <c r="J283" s="17" t="str">
        <f t="shared" si="4"/>
        <v>uint16</v>
      </c>
      <c r="K283" s="17"/>
      <c r="L283" s="17"/>
      <c r="M283" s="100" t="str">
        <f>'[1]Can Matrix'!$R$2</f>
        <v>Unsigned</v>
      </c>
      <c r="N283" s="101" t="str">
        <f>IFERROR(IF(VLOOKUP(F283, '[1]Can Matrix'!$M:$X, 12, FALSE)=0, "", "TMS_Enum_" &amp; VLOOKUP(F283, '[1]Can Matrix'!$M:$X, 12, FALSE)), "")</f>
        <v/>
      </c>
      <c r="O283" s="17"/>
      <c r="P283" s="17"/>
      <c r="Q283" s="17"/>
      <c r="R283" s="17"/>
      <c r="S283" s="17"/>
      <c r="T283" s="17"/>
      <c r="U283" s="17"/>
      <c r="V283" s="17"/>
      <c r="W283" s="17"/>
      <c r="X283" s="103"/>
      <c r="Y283" s="17"/>
      <c r="Z283" s="101" t="str">
        <f>IF(N283="", "", IF(ISNUMBER(MATCH(N283, TextTables!A:A, 0)), "Y", "N"))</f>
        <v/>
      </c>
      <c r="AA283" s="101" t="str">
        <f>IF(ISNUMBER(MATCH(F283, '[1]Can Matrix'!M:M, 0)), "Y", "N")</f>
        <v>Y</v>
      </c>
    </row>
    <row r="284" spans="1:27" ht="16.8">
      <c r="A284" s="17"/>
      <c r="B284" s="17"/>
      <c r="C284" s="17"/>
      <c r="D284" s="17" t="s">
        <v>143</v>
      </c>
      <c r="E284" s="17"/>
      <c r="F284" s="17" t="s">
        <v>6120</v>
      </c>
      <c r="G284" s="17" t="s">
        <v>6120</v>
      </c>
      <c r="H284" s="17"/>
      <c r="I284" s="97">
        <f>VLOOKUP(F284, '[1]Can Matrix'!$M:$X, 2, FALSE)</f>
        <v>12</v>
      </c>
      <c r="J284" s="17" t="str">
        <f t="shared" si="4"/>
        <v>uint16</v>
      </c>
      <c r="K284" s="17"/>
      <c r="L284" s="17"/>
      <c r="M284" s="100" t="str">
        <f>'[1]Can Matrix'!$R$2</f>
        <v>Unsigned</v>
      </c>
      <c r="N284" s="101" t="str">
        <f>IFERROR(IF(VLOOKUP(F284, '[1]Can Matrix'!$M:$X, 12, FALSE)=0, "", "TMS_Enum_" &amp; VLOOKUP(F284, '[1]Can Matrix'!$M:$X, 12, FALSE)), "")</f>
        <v/>
      </c>
      <c r="O284" s="17"/>
      <c r="P284" s="17"/>
      <c r="Q284" s="17"/>
      <c r="R284" s="17"/>
      <c r="S284" s="17"/>
      <c r="T284" s="17"/>
      <c r="U284" s="17"/>
      <c r="V284" s="17"/>
      <c r="W284" s="17"/>
      <c r="X284" s="103"/>
      <c r="Y284" s="17"/>
      <c r="Z284" s="101" t="str">
        <f>IF(N284="", "", IF(ISNUMBER(MATCH(N284, TextTables!A:A, 0)), "Y", "N"))</f>
        <v/>
      </c>
      <c r="AA284" s="101" t="str">
        <f>IF(ISNUMBER(MATCH(F284, '[1]Can Matrix'!M:M, 0)), "Y", "N")</f>
        <v>Y</v>
      </c>
    </row>
    <row r="285" spans="1:27" ht="16.8">
      <c r="A285" s="17"/>
      <c r="B285" s="17"/>
      <c r="C285" s="17"/>
      <c r="D285" s="17" t="s">
        <v>143</v>
      </c>
      <c r="E285" s="17"/>
      <c r="F285" s="17" t="s">
        <v>6121</v>
      </c>
      <c r="G285" s="17" t="s">
        <v>6121</v>
      </c>
      <c r="H285" s="17"/>
      <c r="I285" s="97">
        <f>VLOOKUP(F285, '[1]Can Matrix'!$M:$X, 2, FALSE)</f>
        <v>12</v>
      </c>
      <c r="J285" s="17" t="str">
        <f t="shared" si="4"/>
        <v>uint16</v>
      </c>
      <c r="K285" s="17"/>
      <c r="L285" s="17"/>
      <c r="M285" s="100" t="str">
        <f>'[1]Can Matrix'!$R$2</f>
        <v>Unsigned</v>
      </c>
      <c r="N285" s="101" t="str">
        <f>IFERROR(IF(VLOOKUP(F285, '[1]Can Matrix'!$M:$X, 12, FALSE)=0, "", "TMS_Enum_" &amp; VLOOKUP(F285, '[1]Can Matrix'!$M:$X, 12, FALSE)), "")</f>
        <v/>
      </c>
      <c r="O285" s="17"/>
      <c r="P285" s="17"/>
      <c r="Q285" s="17"/>
      <c r="R285" s="17"/>
      <c r="S285" s="17"/>
      <c r="T285" s="17"/>
      <c r="U285" s="17"/>
      <c r="V285" s="17"/>
      <c r="W285" s="17"/>
      <c r="X285" s="103"/>
      <c r="Y285" s="17"/>
      <c r="Z285" s="101" t="str">
        <f>IF(N285="", "", IF(ISNUMBER(MATCH(N285, TextTables!A:A, 0)), "Y", "N"))</f>
        <v/>
      </c>
      <c r="AA285" s="101" t="str">
        <f>IF(ISNUMBER(MATCH(F285, '[1]Can Matrix'!M:M, 0)), "Y", "N")</f>
        <v>Y</v>
      </c>
    </row>
    <row r="286" spans="1:27" ht="16.8">
      <c r="A286" s="17"/>
      <c r="B286" s="17"/>
      <c r="C286" s="17"/>
      <c r="D286" s="17" t="s">
        <v>143</v>
      </c>
      <c r="E286" s="17"/>
      <c r="F286" s="17" t="s">
        <v>6122</v>
      </c>
      <c r="G286" s="17" t="s">
        <v>6122</v>
      </c>
      <c r="H286" s="17"/>
      <c r="I286" s="97">
        <f>VLOOKUP(F286, '[1]Can Matrix'!$M:$X, 2, FALSE)</f>
        <v>32</v>
      </c>
      <c r="J286" s="17" t="str">
        <f t="shared" ref="J286:J349" si="5">IF(I286&lt;=8,"uint8",IF(I286&lt;=16,"uint16","uint32"))</f>
        <v>uint32</v>
      </c>
      <c r="K286" s="17"/>
      <c r="L286" s="17"/>
      <c r="M286" s="100" t="str">
        <f>'[1]Can Matrix'!$R$2</f>
        <v>Unsigned</v>
      </c>
      <c r="N286" s="101" t="str">
        <f>IFERROR(IF(VLOOKUP(F286, '[1]Can Matrix'!$M:$X, 12, FALSE)=0, "", "TMS_Enum_" &amp; VLOOKUP(F286, '[1]Can Matrix'!$M:$X, 12, FALSE)), "")</f>
        <v/>
      </c>
      <c r="O286" s="17"/>
      <c r="P286" s="17"/>
      <c r="Q286" s="17"/>
      <c r="R286" s="17"/>
      <c r="S286" s="17"/>
      <c r="T286" s="17"/>
      <c r="U286" s="17"/>
      <c r="V286" s="17"/>
      <c r="W286" s="17"/>
      <c r="X286" s="103"/>
      <c r="Y286" s="17"/>
      <c r="Z286" s="101" t="str">
        <f>IF(N286="", "", IF(ISNUMBER(MATCH(N286, TextTables!A:A, 0)), "Y", "N"))</f>
        <v/>
      </c>
      <c r="AA286" s="101" t="str">
        <f>IF(ISNUMBER(MATCH(F286, '[1]Can Matrix'!M:M, 0)), "Y", "N")</f>
        <v>Y</v>
      </c>
    </row>
    <row r="287" spans="1:27" ht="16.8">
      <c r="A287" s="17"/>
      <c r="B287" s="17"/>
      <c r="C287" s="17"/>
      <c r="D287" s="17" t="s">
        <v>143</v>
      </c>
      <c r="E287" s="17"/>
      <c r="F287" s="17" t="s">
        <v>6123</v>
      </c>
      <c r="G287" s="17" t="s">
        <v>6123</v>
      </c>
      <c r="H287" s="17"/>
      <c r="I287" s="97">
        <f>VLOOKUP(F287, '[1]Can Matrix'!$M:$X, 2, FALSE)</f>
        <v>32</v>
      </c>
      <c r="J287" s="17" t="str">
        <f t="shared" si="5"/>
        <v>uint32</v>
      </c>
      <c r="K287" s="17"/>
      <c r="L287" s="17"/>
      <c r="M287" s="100" t="str">
        <f>'[1]Can Matrix'!$R$2</f>
        <v>Unsigned</v>
      </c>
      <c r="N287" s="101" t="str">
        <f>IFERROR(IF(VLOOKUP(F287, '[1]Can Matrix'!$M:$X, 12, FALSE)=0, "", "TMS_Enum_" &amp; VLOOKUP(F287, '[1]Can Matrix'!$M:$X, 12, FALSE)), "")</f>
        <v/>
      </c>
      <c r="O287" s="17"/>
      <c r="P287" s="17"/>
      <c r="Q287" s="17"/>
      <c r="R287" s="17"/>
      <c r="S287" s="17"/>
      <c r="T287" s="17"/>
      <c r="U287" s="17"/>
      <c r="V287" s="17"/>
      <c r="W287" s="17"/>
      <c r="X287" s="103"/>
      <c r="Y287" s="17"/>
      <c r="Z287" s="101" t="str">
        <f>IF(N287="", "", IF(ISNUMBER(MATCH(N287, TextTables!A:A, 0)), "Y", "N"))</f>
        <v/>
      </c>
      <c r="AA287" s="101" t="str">
        <f>IF(ISNUMBER(MATCH(F287, '[1]Can Matrix'!M:M, 0)), "Y", "N")</f>
        <v>Y</v>
      </c>
    </row>
    <row r="288" spans="1:27" ht="16.8">
      <c r="A288" s="17"/>
      <c r="B288" s="17"/>
      <c r="C288" s="17"/>
      <c r="D288" s="17" t="s">
        <v>143</v>
      </c>
      <c r="E288" s="17"/>
      <c r="F288" s="17" t="s">
        <v>6124</v>
      </c>
      <c r="G288" s="17" t="s">
        <v>6124</v>
      </c>
      <c r="H288" s="17"/>
      <c r="I288" s="97">
        <f>VLOOKUP(F288, '[1]Can Matrix'!$M:$X, 2, FALSE)</f>
        <v>8</v>
      </c>
      <c r="J288" s="17" t="str">
        <f t="shared" si="5"/>
        <v>uint8</v>
      </c>
      <c r="K288" s="17"/>
      <c r="L288" s="17"/>
      <c r="M288" s="100" t="str">
        <f>'[1]Can Matrix'!$R$2</f>
        <v>Unsigned</v>
      </c>
      <c r="N288" s="101" t="str">
        <f>IFERROR(IF(VLOOKUP(F288, '[1]Can Matrix'!$M:$X, 12, FALSE)=0, "", "TMS_Enum_" &amp; VLOOKUP(F288, '[1]Can Matrix'!$M:$X, 12, FALSE)), "")</f>
        <v/>
      </c>
      <c r="O288" s="17"/>
      <c r="P288" s="17"/>
      <c r="Q288" s="17"/>
      <c r="R288" s="17"/>
      <c r="S288" s="17"/>
      <c r="T288" s="17"/>
      <c r="U288" s="17"/>
      <c r="V288" s="17"/>
      <c r="W288" s="17"/>
      <c r="X288" s="103"/>
      <c r="Y288" s="17"/>
      <c r="Z288" s="101" t="str">
        <f>IF(N288="", "", IF(ISNUMBER(MATCH(N288, TextTables!A:A, 0)), "Y", "N"))</f>
        <v/>
      </c>
      <c r="AA288" s="101" t="str">
        <f>IF(ISNUMBER(MATCH(F288, '[1]Can Matrix'!M:M, 0)), "Y", "N")</f>
        <v>Y</v>
      </c>
    </row>
    <row r="289" spans="1:27" ht="16.8">
      <c r="A289" s="17"/>
      <c r="B289" s="17"/>
      <c r="C289" s="17"/>
      <c r="D289" s="17" t="s">
        <v>143</v>
      </c>
      <c r="E289" s="17"/>
      <c r="F289" s="17" t="s">
        <v>6125</v>
      </c>
      <c r="G289" s="17" t="s">
        <v>6125</v>
      </c>
      <c r="H289" s="17"/>
      <c r="I289" s="97">
        <f>VLOOKUP(F289, '[1]Can Matrix'!$M:$X, 2, FALSE)</f>
        <v>8</v>
      </c>
      <c r="J289" s="17" t="str">
        <f t="shared" si="5"/>
        <v>uint8</v>
      </c>
      <c r="K289" s="17"/>
      <c r="L289" s="17"/>
      <c r="M289" s="100" t="str">
        <f>'[1]Can Matrix'!$R$2</f>
        <v>Unsigned</v>
      </c>
      <c r="N289" s="101" t="str">
        <f>IFERROR(IF(VLOOKUP(F289, '[1]Can Matrix'!$M:$X, 12, FALSE)=0, "", "TMS_Enum_" &amp; VLOOKUP(F289, '[1]Can Matrix'!$M:$X, 12, FALSE)), "")</f>
        <v/>
      </c>
      <c r="O289" s="17"/>
      <c r="P289" s="17"/>
      <c r="Q289" s="17"/>
      <c r="R289" s="17"/>
      <c r="S289" s="17"/>
      <c r="T289" s="17"/>
      <c r="U289" s="17"/>
      <c r="V289" s="17"/>
      <c r="W289" s="17"/>
      <c r="X289" s="103"/>
      <c r="Y289" s="17"/>
      <c r="Z289" s="101" t="str">
        <f>IF(N289="", "", IF(ISNUMBER(MATCH(N289, TextTables!A:A, 0)), "Y", "N"))</f>
        <v/>
      </c>
      <c r="AA289" s="101" t="str">
        <f>IF(ISNUMBER(MATCH(F289, '[1]Can Matrix'!M:M, 0)), "Y", "N")</f>
        <v>Y</v>
      </c>
    </row>
    <row r="290" spans="1:27" ht="16.8">
      <c r="A290" s="17"/>
      <c r="B290" s="17"/>
      <c r="C290" s="17"/>
      <c r="D290" s="17" t="s">
        <v>143</v>
      </c>
      <c r="E290" s="17"/>
      <c r="F290" s="17" t="s">
        <v>6126</v>
      </c>
      <c r="G290" s="17" t="s">
        <v>6126</v>
      </c>
      <c r="H290" s="17"/>
      <c r="I290" s="97">
        <f>VLOOKUP(F290, '[1]Can Matrix'!$M:$X, 2, FALSE)</f>
        <v>8</v>
      </c>
      <c r="J290" s="17" t="str">
        <f t="shared" si="5"/>
        <v>uint8</v>
      </c>
      <c r="K290" s="17"/>
      <c r="L290" s="17"/>
      <c r="M290" s="100" t="str">
        <f>'[1]Can Matrix'!$R$2</f>
        <v>Unsigned</v>
      </c>
      <c r="N290" s="101" t="str">
        <f>IFERROR(IF(VLOOKUP(F290, '[1]Can Matrix'!$M:$X, 12, FALSE)=0, "", "TMS_Enum_" &amp; VLOOKUP(F290, '[1]Can Matrix'!$M:$X, 12, FALSE)), "")</f>
        <v/>
      </c>
      <c r="O290" s="17"/>
      <c r="P290" s="17"/>
      <c r="Q290" s="17"/>
      <c r="R290" s="17"/>
      <c r="S290" s="17"/>
      <c r="T290" s="17"/>
      <c r="U290" s="17"/>
      <c r="V290" s="17"/>
      <c r="W290" s="17"/>
      <c r="X290" s="103"/>
      <c r="Y290" s="17"/>
      <c r="Z290" s="101" t="str">
        <f>IF(N290="", "", IF(ISNUMBER(MATCH(N290, TextTables!A:A, 0)), "Y", "N"))</f>
        <v/>
      </c>
      <c r="AA290" s="101" t="str">
        <f>IF(ISNUMBER(MATCH(F290, '[1]Can Matrix'!M:M, 0)), "Y", "N")</f>
        <v>Y</v>
      </c>
    </row>
    <row r="291" spans="1:27" ht="16.8">
      <c r="A291" s="17"/>
      <c r="B291" s="17"/>
      <c r="C291" s="17"/>
      <c r="D291" s="17" t="s">
        <v>143</v>
      </c>
      <c r="E291" s="17"/>
      <c r="F291" s="17" t="s">
        <v>6127</v>
      </c>
      <c r="G291" s="17" t="s">
        <v>6127</v>
      </c>
      <c r="H291" s="17"/>
      <c r="I291" s="97">
        <f>VLOOKUP(F291, '[1]Can Matrix'!$M:$X, 2, FALSE)</f>
        <v>8</v>
      </c>
      <c r="J291" s="17" t="str">
        <f t="shared" si="5"/>
        <v>uint8</v>
      </c>
      <c r="K291" s="17"/>
      <c r="L291" s="17"/>
      <c r="M291" s="100" t="str">
        <f>'[1]Can Matrix'!$R$2</f>
        <v>Unsigned</v>
      </c>
      <c r="N291" s="101" t="str">
        <f>IFERROR(IF(VLOOKUP(F291, '[1]Can Matrix'!$M:$X, 12, FALSE)=0, "", "TMS_Enum_" &amp; VLOOKUP(F291, '[1]Can Matrix'!$M:$X, 12, FALSE)), "")</f>
        <v/>
      </c>
      <c r="O291" s="17"/>
      <c r="P291" s="17"/>
      <c r="Q291" s="17"/>
      <c r="R291" s="17"/>
      <c r="S291" s="17"/>
      <c r="T291" s="17"/>
      <c r="U291" s="17"/>
      <c r="V291" s="17"/>
      <c r="W291" s="17"/>
      <c r="X291" s="103"/>
      <c r="Y291" s="17"/>
      <c r="Z291" s="101" t="str">
        <f>IF(N291="", "", IF(ISNUMBER(MATCH(N291, TextTables!A:A, 0)), "Y", "N"))</f>
        <v/>
      </c>
      <c r="AA291" s="101" t="str">
        <f>IF(ISNUMBER(MATCH(F291, '[1]Can Matrix'!M:M, 0)), "Y", "N")</f>
        <v>Y</v>
      </c>
    </row>
    <row r="292" spans="1:27" ht="16.8">
      <c r="A292" s="17"/>
      <c r="B292" s="17"/>
      <c r="C292" s="17"/>
      <c r="D292" s="17" t="s">
        <v>143</v>
      </c>
      <c r="E292" s="17"/>
      <c r="F292" s="17" t="s">
        <v>6128</v>
      </c>
      <c r="G292" s="17" t="s">
        <v>6128</v>
      </c>
      <c r="H292" s="17"/>
      <c r="I292" s="97">
        <f>VLOOKUP(F292, '[1]Can Matrix'!$M:$X, 2, FALSE)</f>
        <v>8</v>
      </c>
      <c r="J292" s="17" t="str">
        <f t="shared" si="5"/>
        <v>uint8</v>
      </c>
      <c r="K292" s="17"/>
      <c r="L292" s="17"/>
      <c r="M292" s="100" t="str">
        <f>'[1]Can Matrix'!$R$2</f>
        <v>Unsigned</v>
      </c>
      <c r="N292" s="101" t="str">
        <f>IFERROR(IF(VLOOKUP(F292, '[1]Can Matrix'!$M:$X, 12, FALSE)=0, "", "TMS_Enum_" &amp; VLOOKUP(F292, '[1]Can Matrix'!$M:$X, 12, FALSE)), "")</f>
        <v/>
      </c>
      <c r="O292" s="17"/>
      <c r="P292" s="17"/>
      <c r="Q292" s="17"/>
      <c r="R292" s="17"/>
      <c r="S292" s="17"/>
      <c r="T292" s="17"/>
      <c r="U292" s="17"/>
      <c r="V292" s="17"/>
      <c r="W292" s="17"/>
      <c r="X292" s="103"/>
      <c r="Y292" s="17"/>
      <c r="Z292" s="101" t="str">
        <f>IF(N292="", "", IF(ISNUMBER(MATCH(N292, TextTables!A:A, 0)), "Y", "N"))</f>
        <v/>
      </c>
      <c r="AA292" s="101" t="str">
        <f>IF(ISNUMBER(MATCH(F292, '[1]Can Matrix'!M:M, 0)), "Y", "N")</f>
        <v>Y</v>
      </c>
    </row>
    <row r="293" spans="1:27" ht="16.8">
      <c r="A293" s="17"/>
      <c r="B293" s="17"/>
      <c r="C293" s="17"/>
      <c r="D293" s="17" t="s">
        <v>143</v>
      </c>
      <c r="E293" s="17"/>
      <c r="F293" s="17" t="s">
        <v>6129</v>
      </c>
      <c r="G293" s="17" t="s">
        <v>6129</v>
      </c>
      <c r="H293" s="17"/>
      <c r="I293" s="97">
        <f>VLOOKUP(F293, '[1]Can Matrix'!$M:$X, 2, FALSE)</f>
        <v>8</v>
      </c>
      <c r="J293" s="17" t="str">
        <f t="shared" si="5"/>
        <v>uint8</v>
      </c>
      <c r="K293" s="17"/>
      <c r="L293" s="17"/>
      <c r="M293" s="100" t="str">
        <f>'[1]Can Matrix'!$R$2</f>
        <v>Unsigned</v>
      </c>
      <c r="N293" s="101" t="str">
        <f>IFERROR(IF(VLOOKUP(F293, '[1]Can Matrix'!$M:$X, 12, FALSE)=0, "", "TMS_Enum_" &amp; VLOOKUP(F293, '[1]Can Matrix'!$M:$X, 12, FALSE)), "")</f>
        <v/>
      </c>
      <c r="O293" s="17"/>
      <c r="P293" s="17"/>
      <c r="Q293" s="17"/>
      <c r="R293" s="17"/>
      <c r="S293" s="17"/>
      <c r="T293" s="17"/>
      <c r="U293" s="17"/>
      <c r="V293" s="17"/>
      <c r="W293" s="17"/>
      <c r="X293" s="103"/>
      <c r="Y293" s="17"/>
      <c r="Z293" s="101" t="str">
        <f>IF(N293="", "", IF(ISNUMBER(MATCH(N293, TextTables!A:A, 0)), "Y", "N"))</f>
        <v/>
      </c>
      <c r="AA293" s="101" t="str">
        <f>IF(ISNUMBER(MATCH(F293, '[1]Can Matrix'!M:M, 0)), "Y", "N")</f>
        <v>Y</v>
      </c>
    </row>
    <row r="294" spans="1:27" ht="16.8">
      <c r="A294" s="17"/>
      <c r="B294" s="17"/>
      <c r="C294" s="17"/>
      <c r="D294" s="17" t="s">
        <v>143</v>
      </c>
      <c r="E294" s="17"/>
      <c r="F294" s="17" t="s">
        <v>6130</v>
      </c>
      <c r="G294" s="17" t="s">
        <v>6130</v>
      </c>
      <c r="H294" s="17"/>
      <c r="I294" s="97">
        <f>VLOOKUP(F294, '[1]Can Matrix'!$M:$X, 2, FALSE)</f>
        <v>8</v>
      </c>
      <c r="J294" s="17" t="str">
        <f t="shared" si="5"/>
        <v>uint8</v>
      </c>
      <c r="K294" s="17"/>
      <c r="L294" s="17"/>
      <c r="M294" s="100" t="str">
        <f>'[1]Can Matrix'!$R$2</f>
        <v>Unsigned</v>
      </c>
      <c r="N294" s="101" t="str">
        <f>IFERROR(IF(VLOOKUP(F294, '[1]Can Matrix'!$M:$X, 12, FALSE)=0, "", "TMS_Enum_" &amp; VLOOKUP(F294, '[1]Can Matrix'!$M:$X, 12, FALSE)), "")</f>
        <v/>
      </c>
      <c r="O294" s="17"/>
      <c r="P294" s="17"/>
      <c r="Q294" s="17"/>
      <c r="R294" s="17"/>
      <c r="S294" s="17"/>
      <c r="T294" s="17"/>
      <c r="U294" s="17"/>
      <c r="V294" s="17"/>
      <c r="W294" s="17"/>
      <c r="X294" s="103"/>
      <c r="Y294" s="17"/>
      <c r="Z294" s="101" t="str">
        <f>IF(N294="", "", IF(ISNUMBER(MATCH(N294, TextTables!A:A, 0)), "Y", "N"))</f>
        <v/>
      </c>
      <c r="AA294" s="101" t="str">
        <f>IF(ISNUMBER(MATCH(F294, '[1]Can Matrix'!M:M, 0)), "Y", "N")</f>
        <v>Y</v>
      </c>
    </row>
    <row r="295" spans="1:27" ht="16.8">
      <c r="A295" s="17"/>
      <c r="B295" s="17"/>
      <c r="C295" s="17"/>
      <c r="D295" s="17" t="s">
        <v>143</v>
      </c>
      <c r="E295" s="17"/>
      <c r="F295" s="17" t="s">
        <v>6131</v>
      </c>
      <c r="G295" s="17" t="s">
        <v>6131</v>
      </c>
      <c r="H295" s="17"/>
      <c r="I295" s="97">
        <f>VLOOKUP(F295, '[1]Can Matrix'!$M:$X, 2, FALSE)</f>
        <v>8</v>
      </c>
      <c r="J295" s="17" t="str">
        <f t="shared" si="5"/>
        <v>uint8</v>
      </c>
      <c r="K295" s="17"/>
      <c r="L295" s="17"/>
      <c r="M295" s="100" t="str">
        <f>'[1]Can Matrix'!$R$2</f>
        <v>Unsigned</v>
      </c>
      <c r="N295" s="101" t="str">
        <f>IFERROR(IF(VLOOKUP(F295, '[1]Can Matrix'!$M:$X, 12, FALSE)=0, "", "TMS_Enum_" &amp; VLOOKUP(F295, '[1]Can Matrix'!$M:$X, 12, FALSE)), "")</f>
        <v/>
      </c>
      <c r="O295" s="17"/>
      <c r="P295" s="17"/>
      <c r="Q295" s="17"/>
      <c r="R295" s="17"/>
      <c r="S295" s="17"/>
      <c r="T295" s="17"/>
      <c r="U295" s="17"/>
      <c r="V295" s="17"/>
      <c r="W295" s="17"/>
      <c r="X295" s="103"/>
      <c r="Y295" s="17"/>
      <c r="Z295" s="101" t="str">
        <f>IF(N295="", "", IF(ISNUMBER(MATCH(N295, TextTables!A:A, 0)), "Y", "N"))</f>
        <v/>
      </c>
      <c r="AA295" s="101" t="str">
        <f>IF(ISNUMBER(MATCH(F295, '[1]Can Matrix'!M:M, 0)), "Y", "N")</f>
        <v>Y</v>
      </c>
    </row>
    <row r="296" spans="1:27" ht="16.8">
      <c r="A296" s="17"/>
      <c r="B296" s="17"/>
      <c r="C296" s="17"/>
      <c r="D296" s="17" t="s">
        <v>143</v>
      </c>
      <c r="E296" s="17"/>
      <c r="F296" s="17" t="s">
        <v>6132</v>
      </c>
      <c r="G296" s="17" t="s">
        <v>6132</v>
      </c>
      <c r="H296" s="17"/>
      <c r="I296" s="97">
        <f>VLOOKUP(F296, '[1]Can Matrix'!$M:$X, 2, FALSE)</f>
        <v>8</v>
      </c>
      <c r="J296" s="17" t="str">
        <f t="shared" si="5"/>
        <v>uint8</v>
      </c>
      <c r="K296" s="17"/>
      <c r="L296" s="17"/>
      <c r="M296" s="100" t="str">
        <f>'[1]Can Matrix'!$R$2</f>
        <v>Unsigned</v>
      </c>
      <c r="N296" s="101" t="str">
        <f>IFERROR(IF(VLOOKUP(F296, '[1]Can Matrix'!$M:$X, 12, FALSE)=0, "", "TMS_Enum_" &amp; VLOOKUP(F296, '[1]Can Matrix'!$M:$X, 12, FALSE)), "")</f>
        <v/>
      </c>
      <c r="O296" s="17"/>
      <c r="P296" s="17"/>
      <c r="Q296" s="17"/>
      <c r="R296" s="17"/>
      <c r="S296" s="17"/>
      <c r="T296" s="17"/>
      <c r="U296" s="17"/>
      <c r="V296" s="17"/>
      <c r="W296" s="17"/>
      <c r="X296" s="103"/>
      <c r="Y296" s="17"/>
      <c r="Z296" s="101" t="str">
        <f>IF(N296="", "", IF(ISNUMBER(MATCH(N296, TextTables!A:A, 0)), "Y", "N"))</f>
        <v/>
      </c>
      <c r="AA296" s="101" t="str">
        <f>IF(ISNUMBER(MATCH(F296, '[1]Can Matrix'!M:M, 0)), "Y", "N")</f>
        <v>Y</v>
      </c>
    </row>
    <row r="297" spans="1:27" ht="16.8">
      <c r="A297" s="17"/>
      <c r="B297" s="17"/>
      <c r="C297" s="17"/>
      <c r="D297" s="17" t="s">
        <v>143</v>
      </c>
      <c r="E297" s="17"/>
      <c r="F297" s="17" t="s">
        <v>6133</v>
      </c>
      <c r="G297" s="17" t="s">
        <v>6133</v>
      </c>
      <c r="H297" s="17"/>
      <c r="I297" s="97">
        <f>VLOOKUP(F297, '[1]Can Matrix'!$M:$X, 2, FALSE)</f>
        <v>8</v>
      </c>
      <c r="J297" s="17" t="str">
        <f t="shared" si="5"/>
        <v>uint8</v>
      </c>
      <c r="K297" s="17"/>
      <c r="L297" s="17"/>
      <c r="M297" s="100" t="str">
        <f>'[1]Can Matrix'!$R$2</f>
        <v>Unsigned</v>
      </c>
      <c r="N297" s="101" t="str">
        <f>IFERROR(IF(VLOOKUP(F297, '[1]Can Matrix'!$M:$X, 12, FALSE)=0, "", "TMS_Enum_" &amp; VLOOKUP(F297, '[1]Can Matrix'!$M:$X, 12, FALSE)), "")</f>
        <v/>
      </c>
      <c r="O297" s="17"/>
      <c r="P297" s="17"/>
      <c r="Q297" s="17"/>
      <c r="R297" s="17"/>
      <c r="S297" s="17"/>
      <c r="T297" s="17"/>
      <c r="U297" s="17"/>
      <c r="V297" s="17"/>
      <c r="W297" s="17"/>
      <c r="X297" s="103"/>
      <c r="Y297" s="17"/>
      <c r="Z297" s="101" t="str">
        <f>IF(N297="", "", IF(ISNUMBER(MATCH(N297, TextTables!A:A, 0)), "Y", "N"))</f>
        <v/>
      </c>
      <c r="AA297" s="101" t="str">
        <f>IF(ISNUMBER(MATCH(F297, '[1]Can Matrix'!M:M, 0)), "Y", "N")</f>
        <v>Y</v>
      </c>
    </row>
    <row r="298" spans="1:27" ht="16.8">
      <c r="A298" s="17"/>
      <c r="B298" s="17"/>
      <c r="C298" s="17"/>
      <c r="D298" s="17" t="s">
        <v>143</v>
      </c>
      <c r="E298" s="17"/>
      <c r="F298" s="17" t="s">
        <v>6134</v>
      </c>
      <c r="G298" s="17" t="s">
        <v>6134</v>
      </c>
      <c r="H298" s="17"/>
      <c r="I298" s="97">
        <f>VLOOKUP(F298, '[1]Can Matrix'!$M:$X, 2, FALSE)</f>
        <v>8</v>
      </c>
      <c r="J298" s="17" t="str">
        <f t="shared" si="5"/>
        <v>uint8</v>
      </c>
      <c r="K298" s="17"/>
      <c r="L298" s="17"/>
      <c r="M298" s="100" t="str">
        <f>'[1]Can Matrix'!$R$2</f>
        <v>Unsigned</v>
      </c>
      <c r="N298" s="101" t="str">
        <f>IFERROR(IF(VLOOKUP(F298, '[1]Can Matrix'!$M:$X, 12, FALSE)=0, "", "TMS_Enum_" &amp; VLOOKUP(F298, '[1]Can Matrix'!$M:$X, 12, FALSE)), "")</f>
        <v/>
      </c>
      <c r="O298" s="17"/>
      <c r="P298" s="17"/>
      <c r="Q298" s="17"/>
      <c r="R298" s="17"/>
      <c r="S298" s="17"/>
      <c r="T298" s="17"/>
      <c r="U298" s="17"/>
      <c r="V298" s="17"/>
      <c r="W298" s="17"/>
      <c r="X298" s="103"/>
      <c r="Y298" s="17"/>
      <c r="Z298" s="101" t="str">
        <f>IF(N298="", "", IF(ISNUMBER(MATCH(N298, TextTables!A:A, 0)), "Y", "N"))</f>
        <v/>
      </c>
      <c r="AA298" s="101" t="str">
        <f>IF(ISNUMBER(MATCH(F298, '[1]Can Matrix'!M:M, 0)), "Y", "N")</f>
        <v>Y</v>
      </c>
    </row>
    <row r="299" spans="1:27" ht="16.8">
      <c r="A299" s="17"/>
      <c r="B299" s="17"/>
      <c r="C299" s="17"/>
      <c r="D299" s="17" t="s">
        <v>143</v>
      </c>
      <c r="E299" s="17"/>
      <c r="F299" s="17" t="s">
        <v>6135</v>
      </c>
      <c r="G299" s="17" t="s">
        <v>6135</v>
      </c>
      <c r="H299" s="17"/>
      <c r="I299" s="97">
        <f>VLOOKUP(F299, '[1]Can Matrix'!$M:$X, 2, FALSE)</f>
        <v>8</v>
      </c>
      <c r="J299" s="17" t="str">
        <f t="shared" si="5"/>
        <v>uint8</v>
      </c>
      <c r="K299" s="17"/>
      <c r="L299" s="17"/>
      <c r="M299" s="100" t="str">
        <f>'[1]Can Matrix'!$R$2</f>
        <v>Unsigned</v>
      </c>
      <c r="N299" s="101" t="str">
        <f>IFERROR(IF(VLOOKUP(F299, '[1]Can Matrix'!$M:$X, 12, FALSE)=0, "", "TMS_Enum_" &amp; VLOOKUP(F299, '[1]Can Matrix'!$M:$X, 12, FALSE)), "")</f>
        <v/>
      </c>
      <c r="O299" s="17"/>
      <c r="P299" s="17"/>
      <c r="Q299" s="17"/>
      <c r="R299" s="17"/>
      <c r="S299" s="17"/>
      <c r="T299" s="17"/>
      <c r="U299" s="17"/>
      <c r="V299" s="17"/>
      <c r="W299" s="17"/>
      <c r="X299" s="103"/>
      <c r="Y299" s="17"/>
      <c r="Z299" s="101" t="str">
        <f>IF(N299="", "", IF(ISNUMBER(MATCH(N299, TextTables!A:A, 0)), "Y", "N"))</f>
        <v/>
      </c>
      <c r="AA299" s="101" t="str">
        <f>IF(ISNUMBER(MATCH(F299, '[1]Can Matrix'!M:M, 0)), "Y", "N")</f>
        <v>Y</v>
      </c>
    </row>
    <row r="300" spans="1:27" ht="16.8">
      <c r="A300" s="17"/>
      <c r="B300" s="17"/>
      <c r="C300" s="17"/>
      <c r="D300" s="17" t="s">
        <v>143</v>
      </c>
      <c r="E300" s="17"/>
      <c r="F300" s="17" t="s">
        <v>6136</v>
      </c>
      <c r="G300" s="17" t="s">
        <v>6136</v>
      </c>
      <c r="H300" s="17"/>
      <c r="I300" s="97">
        <f>VLOOKUP(F300, '[1]Can Matrix'!$M:$X, 2, FALSE)</f>
        <v>8</v>
      </c>
      <c r="J300" s="17" t="str">
        <f t="shared" si="5"/>
        <v>uint8</v>
      </c>
      <c r="K300" s="17"/>
      <c r="L300" s="17"/>
      <c r="M300" s="100" t="str">
        <f>'[1]Can Matrix'!$R$2</f>
        <v>Unsigned</v>
      </c>
      <c r="N300" s="101" t="str">
        <f>IFERROR(IF(VLOOKUP(F300, '[1]Can Matrix'!$M:$X, 12, FALSE)=0, "", "TMS_Enum_" &amp; VLOOKUP(F300, '[1]Can Matrix'!$M:$X, 12, FALSE)), "")</f>
        <v/>
      </c>
      <c r="O300" s="17"/>
      <c r="P300" s="17"/>
      <c r="Q300" s="17"/>
      <c r="R300" s="17"/>
      <c r="S300" s="17"/>
      <c r="T300" s="17"/>
      <c r="U300" s="17"/>
      <c r="V300" s="17"/>
      <c r="W300" s="17"/>
      <c r="X300" s="103"/>
      <c r="Y300" s="17"/>
      <c r="Z300" s="101" t="str">
        <f>IF(N300="", "", IF(ISNUMBER(MATCH(N300, TextTables!A:A, 0)), "Y", "N"))</f>
        <v/>
      </c>
      <c r="AA300" s="101" t="str">
        <f>IF(ISNUMBER(MATCH(F300, '[1]Can Matrix'!M:M, 0)), "Y", "N")</f>
        <v>Y</v>
      </c>
    </row>
    <row r="301" spans="1:27" ht="16.8">
      <c r="A301" s="17"/>
      <c r="B301" s="17"/>
      <c r="C301" s="17"/>
      <c r="D301" s="17" t="s">
        <v>143</v>
      </c>
      <c r="E301" s="17"/>
      <c r="F301" s="17" t="s">
        <v>6137</v>
      </c>
      <c r="G301" s="17" t="s">
        <v>6137</v>
      </c>
      <c r="H301" s="17"/>
      <c r="I301" s="97">
        <f>VLOOKUP(F301, '[1]Can Matrix'!$M:$X, 2, FALSE)</f>
        <v>8</v>
      </c>
      <c r="J301" s="17" t="str">
        <f t="shared" si="5"/>
        <v>uint8</v>
      </c>
      <c r="K301" s="17"/>
      <c r="L301" s="17"/>
      <c r="M301" s="100" t="str">
        <f>'[1]Can Matrix'!$R$2</f>
        <v>Unsigned</v>
      </c>
      <c r="N301" s="101" t="str">
        <f>IFERROR(IF(VLOOKUP(F301, '[1]Can Matrix'!$M:$X, 12, FALSE)=0, "", "TMS_Enum_" &amp; VLOOKUP(F301, '[1]Can Matrix'!$M:$X, 12, FALSE)), "")</f>
        <v/>
      </c>
      <c r="O301" s="17"/>
      <c r="P301" s="17"/>
      <c r="Q301" s="17"/>
      <c r="R301" s="17"/>
      <c r="S301" s="17"/>
      <c r="T301" s="17"/>
      <c r="U301" s="17"/>
      <c r="V301" s="17"/>
      <c r="W301" s="17"/>
      <c r="X301" s="103"/>
      <c r="Y301" s="17"/>
      <c r="Z301" s="101" t="str">
        <f>IF(N301="", "", IF(ISNUMBER(MATCH(N301, TextTables!A:A, 0)), "Y", "N"))</f>
        <v/>
      </c>
      <c r="AA301" s="101" t="str">
        <f>IF(ISNUMBER(MATCH(F301, '[1]Can Matrix'!M:M, 0)), "Y", "N")</f>
        <v>Y</v>
      </c>
    </row>
    <row r="302" spans="1:27" ht="16.8">
      <c r="A302" s="17"/>
      <c r="B302" s="17"/>
      <c r="C302" s="17"/>
      <c r="D302" s="17" t="s">
        <v>143</v>
      </c>
      <c r="E302" s="17"/>
      <c r="F302" s="17" t="s">
        <v>6138</v>
      </c>
      <c r="G302" s="17" t="s">
        <v>6138</v>
      </c>
      <c r="H302" s="17"/>
      <c r="I302" s="97">
        <f>VLOOKUP(F302, '[1]Can Matrix'!$M:$X, 2, FALSE)</f>
        <v>8</v>
      </c>
      <c r="J302" s="17" t="str">
        <f t="shared" si="5"/>
        <v>uint8</v>
      </c>
      <c r="K302" s="17"/>
      <c r="L302" s="17"/>
      <c r="M302" s="100" t="str">
        <f>'[1]Can Matrix'!$R$2</f>
        <v>Unsigned</v>
      </c>
      <c r="N302" s="101" t="str">
        <f>IFERROR(IF(VLOOKUP(F302, '[1]Can Matrix'!$M:$X, 12, FALSE)=0, "", "TMS_Enum_" &amp; VLOOKUP(F302, '[1]Can Matrix'!$M:$X, 12, FALSE)), "")</f>
        <v/>
      </c>
      <c r="O302" s="17"/>
      <c r="P302" s="17"/>
      <c r="Q302" s="17"/>
      <c r="R302" s="17"/>
      <c r="S302" s="17"/>
      <c r="T302" s="17"/>
      <c r="U302" s="17"/>
      <c r="V302" s="17"/>
      <c r="W302" s="17"/>
      <c r="X302" s="103"/>
      <c r="Y302" s="17"/>
      <c r="Z302" s="101" t="str">
        <f>IF(N302="", "", IF(ISNUMBER(MATCH(N302, TextTables!A:A, 0)), "Y", "N"))</f>
        <v/>
      </c>
      <c r="AA302" s="101" t="str">
        <f>IF(ISNUMBER(MATCH(F302, '[1]Can Matrix'!M:M, 0)), "Y", "N")</f>
        <v>Y</v>
      </c>
    </row>
    <row r="303" spans="1:27" ht="16.8">
      <c r="A303" s="17"/>
      <c r="B303" s="17"/>
      <c r="C303" s="17"/>
      <c r="D303" s="17" t="s">
        <v>143</v>
      </c>
      <c r="E303" s="17"/>
      <c r="F303" s="17" t="s">
        <v>6139</v>
      </c>
      <c r="G303" s="17" t="s">
        <v>6139</v>
      </c>
      <c r="H303" s="17"/>
      <c r="I303" s="97">
        <f>VLOOKUP(F303, '[1]Can Matrix'!$M:$X, 2, FALSE)</f>
        <v>8</v>
      </c>
      <c r="J303" s="17" t="str">
        <f t="shared" si="5"/>
        <v>uint8</v>
      </c>
      <c r="K303" s="17"/>
      <c r="L303" s="17"/>
      <c r="M303" s="100" t="str">
        <f>'[1]Can Matrix'!$R$2</f>
        <v>Unsigned</v>
      </c>
      <c r="N303" s="101" t="str">
        <f>IFERROR(IF(VLOOKUP(F303, '[1]Can Matrix'!$M:$X, 12, FALSE)=0, "", "TMS_Enum_" &amp; VLOOKUP(F303, '[1]Can Matrix'!$M:$X, 12, FALSE)), "")</f>
        <v/>
      </c>
      <c r="O303" s="17"/>
      <c r="P303" s="17"/>
      <c r="Q303" s="17"/>
      <c r="R303" s="17"/>
      <c r="S303" s="17"/>
      <c r="T303" s="17"/>
      <c r="U303" s="17"/>
      <c r="V303" s="17"/>
      <c r="W303" s="17"/>
      <c r="X303" s="103"/>
      <c r="Y303" s="17"/>
      <c r="Z303" s="101" t="str">
        <f>IF(N303="", "", IF(ISNUMBER(MATCH(N303, TextTables!A:A, 0)), "Y", "N"))</f>
        <v/>
      </c>
      <c r="AA303" s="101" t="str">
        <f>IF(ISNUMBER(MATCH(F303, '[1]Can Matrix'!M:M, 0)), "Y", "N")</f>
        <v>Y</v>
      </c>
    </row>
    <row r="304" spans="1:27" ht="16.8">
      <c r="A304" s="17"/>
      <c r="B304" s="17"/>
      <c r="C304" s="17"/>
      <c r="D304" s="17" t="s">
        <v>143</v>
      </c>
      <c r="E304" s="17"/>
      <c r="F304" s="17" t="s">
        <v>6140</v>
      </c>
      <c r="G304" s="17" t="s">
        <v>6140</v>
      </c>
      <c r="H304" s="17"/>
      <c r="I304" s="97">
        <f>VLOOKUP(F304, '[1]Can Matrix'!$M:$X, 2, FALSE)</f>
        <v>8</v>
      </c>
      <c r="J304" s="17" t="str">
        <f t="shared" si="5"/>
        <v>uint8</v>
      </c>
      <c r="K304" s="17"/>
      <c r="L304" s="17"/>
      <c r="M304" s="100" t="str">
        <f>'[1]Can Matrix'!$R$2</f>
        <v>Unsigned</v>
      </c>
      <c r="N304" s="101" t="str">
        <f>IFERROR(IF(VLOOKUP(F304, '[1]Can Matrix'!$M:$X, 12, FALSE)=0, "", "TMS_Enum_" &amp; VLOOKUP(F304, '[1]Can Matrix'!$M:$X, 12, FALSE)), "")</f>
        <v/>
      </c>
      <c r="O304" s="17"/>
      <c r="P304" s="17"/>
      <c r="Q304" s="17"/>
      <c r="R304" s="17"/>
      <c r="S304" s="17"/>
      <c r="T304" s="17"/>
      <c r="U304" s="17"/>
      <c r="V304" s="17"/>
      <c r="W304" s="17"/>
      <c r="X304" s="103"/>
      <c r="Y304" s="17"/>
      <c r="Z304" s="101" t="str">
        <f>IF(N304="", "", IF(ISNUMBER(MATCH(N304, TextTables!A:A, 0)), "Y", "N"))</f>
        <v/>
      </c>
      <c r="AA304" s="101" t="str">
        <f>IF(ISNUMBER(MATCH(F304, '[1]Can Matrix'!M:M, 0)), "Y", "N")</f>
        <v>Y</v>
      </c>
    </row>
    <row r="305" spans="1:27" ht="16.8">
      <c r="A305" s="17"/>
      <c r="B305" s="17"/>
      <c r="C305" s="17"/>
      <c r="D305" s="17" t="s">
        <v>143</v>
      </c>
      <c r="E305" s="17"/>
      <c r="F305" s="17" t="s">
        <v>6141</v>
      </c>
      <c r="G305" s="17" t="s">
        <v>6141</v>
      </c>
      <c r="H305" s="17"/>
      <c r="I305" s="97">
        <f>VLOOKUP(F305, '[1]Can Matrix'!$M:$X, 2, FALSE)</f>
        <v>8</v>
      </c>
      <c r="J305" s="17" t="str">
        <f t="shared" si="5"/>
        <v>uint8</v>
      </c>
      <c r="K305" s="17"/>
      <c r="L305" s="17"/>
      <c r="M305" s="100" t="str">
        <f>'[1]Can Matrix'!$R$2</f>
        <v>Unsigned</v>
      </c>
      <c r="N305" s="101" t="str">
        <f>IFERROR(IF(VLOOKUP(F305, '[1]Can Matrix'!$M:$X, 12, FALSE)=0, "", "TMS_Enum_" &amp; VLOOKUP(F305, '[1]Can Matrix'!$M:$X, 12, FALSE)), "")</f>
        <v/>
      </c>
      <c r="O305" s="17"/>
      <c r="P305" s="17"/>
      <c r="Q305" s="17"/>
      <c r="R305" s="17"/>
      <c r="S305" s="17"/>
      <c r="T305" s="17"/>
      <c r="U305" s="17"/>
      <c r="V305" s="17"/>
      <c r="W305" s="17"/>
      <c r="X305" s="103"/>
      <c r="Y305" s="17"/>
      <c r="Z305" s="101" t="str">
        <f>IF(N305="", "", IF(ISNUMBER(MATCH(N305, TextTables!A:A, 0)), "Y", "N"))</f>
        <v/>
      </c>
      <c r="AA305" s="101" t="str">
        <f>IF(ISNUMBER(MATCH(F305, '[1]Can Matrix'!M:M, 0)), "Y", "N")</f>
        <v>Y</v>
      </c>
    </row>
    <row r="306" spans="1:27" ht="16.8">
      <c r="A306" s="17"/>
      <c r="B306" s="17"/>
      <c r="C306" s="17"/>
      <c r="D306" s="17" t="s">
        <v>143</v>
      </c>
      <c r="E306" s="17"/>
      <c r="F306" s="17" t="s">
        <v>6142</v>
      </c>
      <c r="G306" s="17" t="s">
        <v>6142</v>
      </c>
      <c r="H306" s="17"/>
      <c r="I306" s="97">
        <f>VLOOKUP(F306, '[1]Can Matrix'!$M:$X, 2, FALSE)</f>
        <v>8</v>
      </c>
      <c r="J306" s="17" t="str">
        <f t="shared" si="5"/>
        <v>uint8</v>
      </c>
      <c r="K306" s="17"/>
      <c r="L306" s="17"/>
      <c r="M306" s="100" t="str">
        <f>'[1]Can Matrix'!$R$2</f>
        <v>Unsigned</v>
      </c>
      <c r="N306" s="101" t="str">
        <f>IFERROR(IF(VLOOKUP(F306, '[1]Can Matrix'!$M:$X, 12, FALSE)=0, "", "TMS_Enum_" &amp; VLOOKUP(F306, '[1]Can Matrix'!$M:$X, 12, FALSE)), "")</f>
        <v/>
      </c>
      <c r="O306" s="17"/>
      <c r="P306" s="17"/>
      <c r="Q306" s="17"/>
      <c r="R306" s="17"/>
      <c r="S306" s="17"/>
      <c r="T306" s="17"/>
      <c r="U306" s="17"/>
      <c r="V306" s="17"/>
      <c r="W306" s="17"/>
      <c r="X306" s="103"/>
      <c r="Y306" s="17"/>
      <c r="Z306" s="101" t="str">
        <f>IF(N306="", "", IF(ISNUMBER(MATCH(N306, TextTables!A:A, 0)), "Y", "N"))</f>
        <v/>
      </c>
      <c r="AA306" s="101" t="str">
        <f>IF(ISNUMBER(MATCH(F306, '[1]Can Matrix'!M:M, 0)), "Y", "N")</f>
        <v>Y</v>
      </c>
    </row>
    <row r="307" spans="1:27" ht="16.8">
      <c r="A307" s="17"/>
      <c r="B307" s="17"/>
      <c r="C307" s="17"/>
      <c r="D307" s="17" t="s">
        <v>143</v>
      </c>
      <c r="E307" s="17"/>
      <c r="F307" s="17" t="s">
        <v>6143</v>
      </c>
      <c r="G307" s="17" t="s">
        <v>6143</v>
      </c>
      <c r="H307" s="17"/>
      <c r="I307" s="97">
        <f>VLOOKUP(F307, '[1]Can Matrix'!$M:$X, 2, FALSE)</f>
        <v>8</v>
      </c>
      <c r="J307" s="17" t="str">
        <f t="shared" si="5"/>
        <v>uint8</v>
      </c>
      <c r="K307" s="17"/>
      <c r="L307" s="17"/>
      <c r="M307" s="100" t="str">
        <f>'[1]Can Matrix'!$R$2</f>
        <v>Unsigned</v>
      </c>
      <c r="N307" s="101" t="str">
        <f>IFERROR(IF(VLOOKUP(F307, '[1]Can Matrix'!$M:$X, 12, FALSE)=0, "", "TMS_Enum_" &amp; VLOOKUP(F307, '[1]Can Matrix'!$M:$X, 12, FALSE)), "")</f>
        <v/>
      </c>
      <c r="O307" s="17"/>
      <c r="P307" s="17"/>
      <c r="Q307" s="17"/>
      <c r="R307" s="17"/>
      <c r="S307" s="17"/>
      <c r="T307" s="17"/>
      <c r="U307" s="17"/>
      <c r="V307" s="17"/>
      <c r="W307" s="17"/>
      <c r="X307" s="103"/>
      <c r="Y307" s="17"/>
      <c r="Z307" s="101" t="str">
        <f>IF(N307="", "", IF(ISNUMBER(MATCH(N307, TextTables!A:A, 0)), "Y", "N"))</f>
        <v/>
      </c>
      <c r="AA307" s="101" t="str">
        <f>IF(ISNUMBER(MATCH(F307, '[1]Can Matrix'!M:M, 0)), "Y", "N")</f>
        <v>Y</v>
      </c>
    </row>
    <row r="308" spans="1:27" ht="16.8">
      <c r="A308" s="17"/>
      <c r="B308" s="17"/>
      <c r="C308" s="17"/>
      <c r="D308" s="17" t="s">
        <v>143</v>
      </c>
      <c r="E308" s="17"/>
      <c r="F308" s="17" t="s">
        <v>6144</v>
      </c>
      <c r="G308" s="17" t="s">
        <v>6144</v>
      </c>
      <c r="H308" s="17"/>
      <c r="I308" s="97">
        <f>VLOOKUP(F308, '[1]Can Matrix'!$M:$X, 2, FALSE)</f>
        <v>8</v>
      </c>
      <c r="J308" s="17" t="str">
        <f t="shared" si="5"/>
        <v>uint8</v>
      </c>
      <c r="K308" s="17"/>
      <c r="L308" s="17"/>
      <c r="M308" s="100" t="str">
        <f>'[1]Can Matrix'!$R$2</f>
        <v>Unsigned</v>
      </c>
      <c r="N308" s="101" t="str">
        <f>IFERROR(IF(VLOOKUP(F308, '[1]Can Matrix'!$M:$X, 12, FALSE)=0, "", "TMS_Enum_" &amp; VLOOKUP(F308, '[1]Can Matrix'!$M:$X, 12, FALSE)), "")</f>
        <v/>
      </c>
      <c r="O308" s="17"/>
      <c r="P308" s="17"/>
      <c r="Q308" s="17"/>
      <c r="R308" s="17"/>
      <c r="S308" s="17"/>
      <c r="T308" s="17"/>
      <c r="U308" s="17"/>
      <c r="V308" s="17"/>
      <c r="W308" s="17"/>
      <c r="X308" s="103"/>
      <c r="Y308" s="17"/>
      <c r="Z308" s="101" t="str">
        <f>IF(N308="", "", IF(ISNUMBER(MATCH(N308, TextTables!A:A, 0)), "Y", "N"))</f>
        <v/>
      </c>
      <c r="AA308" s="101" t="str">
        <f>IF(ISNUMBER(MATCH(F308, '[1]Can Matrix'!M:M, 0)), "Y", "N")</f>
        <v>Y</v>
      </c>
    </row>
    <row r="309" spans="1:27" ht="16.8">
      <c r="A309" s="17"/>
      <c r="B309" s="17"/>
      <c r="C309" s="17"/>
      <c r="D309" s="17" t="s">
        <v>143</v>
      </c>
      <c r="E309" s="17"/>
      <c r="F309" s="17" t="s">
        <v>6145</v>
      </c>
      <c r="G309" s="17" t="s">
        <v>6145</v>
      </c>
      <c r="H309" s="17"/>
      <c r="I309" s="97">
        <f>VLOOKUP(F309, '[1]Can Matrix'!$M:$X, 2, FALSE)</f>
        <v>8</v>
      </c>
      <c r="J309" s="17" t="str">
        <f t="shared" si="5"/>
        <v>uint8</v>
      </c>
      <c r="K309" s="17"/>
      <c r="L309" s="17"/>
      <c r="M309" s="100" t="str">
        <f>'[1]Can Matrix'!$R$2</f>
        <v>Unsigned</v>
      </c>
      <c r="N309" s="101" t="str">
        <f>IFERROR(IF(VLOOKUP(F309, '[1]Can Matrix'!$M:$X, 12, FALSE)=0, "", "TMS_Enum_" &amp; VLOOKUP(F309, '[1]Can Matrix'!$M:$X, 12, FALSE)), "")</f>
        <v/>
      </c>
      <c r="O309" s="17"/>
      <c r="P309" s="17"/>
      <c r="Q309" s="17"/>
      <c r="R309" s="17"/>
      <c r="S309" s="17"/>
      <c r="T309" s="17"/>
      <c r="U309" s="17"/>
      <c r="V309" s="17"/>
      <c r="W309" s="17"/>
      <c r="X309" s="103"/>
      <c r="Y309" s="17"/>
      <c r="Z309" s="101" t="str">
        <f>IF(N309="", "", IF(ISNUMBER(MATCH(N309, TextTables!A:A, 0)), "Y", "N"))</f>
        <v/>
      </c>
      <c r="AA309" s="101" t="str">
        <f>IF(ISNUMBER(MATCH(F309, '[1]Can Matrix'!M:M, 0)), "Y", "N")</f>
        <v>Y</v>
      </c>
    </row>
    <row r="310" spans="1:27" ht="16.8">
      <c r="A310" s="17"/>
      <c r="B310" s="17"/>
      <c r="C310" s="17"/>
      <c r="D310" s="17" t="s">
        <v>143</v>
      </c>
      <c r="E310" s="17"/>
      <c r="F310" s="17" t="s">
        <v>6146</v>
      </c>
      <c r="G310" s="17" t="s">
        <v>6146</v>
      </c>
      <c r="H310" s="17"/>
      <c r="I310" s="97">
        <f>VLOOKUP(F310, '[1]Can Matrix'!$M:$X, 2, FALSE)</f>
        <v>8</v>
      </c>
      <c r="J310" s="17" t="str">
        <f t="shared" si="5"/>
        <v>uint8</v>
      </c>
      <c r="K310" s="17"/>
      <c r="L310" s="17"/>
      <c r="M310" s="100" t="str">
        <f>'[1]Can Matrix'!$R$2</f>
        <v>Unsigned</v>
      </c>
      <c r="N310" s="101" t="str">
        <f>IFERROR(IF(VLOOKUP(F310, '[1]Can Matrix'!$M:$X, 12, FALSE)=0, "", "TMS_Enum_" &amp; VLOOKUP(F310, '[1]Can Matrix'!$M:$X, 12, FALSE)), "")</f>
        <v/>
      </c>
      <c r="O310" s="17"/>
      <c r="P310" s="17"/>
      <c r="Q310" s="17"/>
      <c r="R310" s="17"/>
      <c r="S310" s="17"/>
      <c r="T310" s="17"/>
      <c r="U310" s="17"/>
      <c r="V310" s="17"/>
      <c r="W310" s="17"/>
      <c r="X310" s="103"/>
      <c r="Y310" s="17"/>
      <c r="Z310" s="101" t="str">
        <f>IF(N310="", "", IF(ISNUMBER(MATCH(N310, TextTables!A:A, 0)), "Y", "N"))</f>
        <v/>
      </c>
      <c r="AA310" s="101" t="str">
        <f>IF(ISNUMBER(MATCH(F310, '[1]Can Matrix'!M:M, 0)), "Y", "N")</f>
        <v>Y</v>
      </c>
    </row>
    <row r="311" spans="1:27" ht="16.8">
      <c r="A311" s="17"/>
      <c r="B311" s="17"/>
      <c r="C311" s="17"/>
      <c r="D311" s="17" t="s">
        <v>143</v>
      </c>
      <c r="E311" s="17"/>
      <c r="F311" s="17" t="s">
        <v>6147</v>
      </c>
      <c r="G311" s="17" t="s">
        <v>6147</v>
      </c>
      <c r="H311" s="17"/>
      <c r="I311" s="97">
        <f>VLOOKUP(F311, '[1]Can Matrix'!$M:$X, 2, FALSE)</f>
        <v>8</v>
      </c>
      <c r="J311" s="17" t="str">
        <f t="shared" si="5"/>
        <v>uint8</v>
      </c>
      <c r="K311" s="17"/>
      <c r="L311" s="17"/>
      <c r="M311" s="100" t="str">
        <f>'[1]Can Matrix'!$R$2</f>
        <v>Unsigned</v>
      </c>
      <c r="N311" s="101" t="str">
        <f>IFERROR(IF(VLOOKUP(F311, '[1]Can Matrix'!$M:$X, 12, FALSE)=0, "", "TMS_Enum_" &amp; VLOOKUP(F311, '[1]Can Matrix'!$M:$X, 12, FALSE)), "")</f>
        <v/>
      </c>
      <c r="O311" s="17"/>
      <c r="P311" s="17"/>
      <c r="Q311" s="17"/>
      <c r="R311" s="17"/>
      <c r="S311" s="17"/>
      <c r="T311" s="17"/>
      <c r="U311" s="17"/>
      <c r="V311" s="17"/>
      <c r="W311" s="17"/>
      <c r="X311" s="103"/>
      <c r="Y311" s="17"/>
      <c r="Z311" s="101" t="str">
        <f>IF(N311="", "", IF(ISNUMBER(MATCH(N311, TextTables!A:A, 0)), "Y", "N"))</f>
        <v/>
      </c>
      <c r="AA311" s="101" t="str">
        <f>IF(ISNUMBER(MATCH(F311, '[1]Can Matrix'!M:M, 0)), "Y", "N")</f>
        <v>Y</v>
      </c>
    </row>
    <row r="312" spans="1:27" ht="16.8">
      <c r="A312" s="17"/>
      <c r="B312" s="17"/>
      <c r="C312" s="17"/>
      <c r="D312" s="17" t="s">
        <v>143</v>
      </c>
      <c r="E312" s="17"/>
      <c r="F312" s="17" t="s">
        <v>6148</v>
      </c>
      <c r="G312" s="17" t="s">
        <v>6148</v>
      </c>
      <c r="H312" s="17"/>
      <c r="I312" s="97">
        <f>VLOOKUP(F312, '[1]Can Matrix'!$M:$X, 2, FALSE)</f>
        <v>10</v>
      </c>
      <c r="J312" s="17" t="str">
        <f t="shared" si="5"/>
        <v>uint16</v>
      </c>
      <c r="K312" s="17"/>
      <c r="L312" s="17"/>
      <c r="M312" s="100" t="str">
        <f>'[1]Can Matrix'!$R$2</f>
        <v>Unsigned</v>
      </c>
      <c r="N312" s="101" t="str">
        <f>IFERROR(IF(VLOOKUP(F312, '[1]Can Matrix'!$M:$X, 12, FALSE)=0, "", "TMS_Enum_" &amp; VLOOKUP(F312, '[1]Can Matrix'!$M:$X, 12, FALSE)), "")</f>
        <v/>
      </c>
      <c r="O312" s="17"/>
      <c r="P312" s="17"/>
      <c r="Q312" s="17"/>
      <c r="R312" s="17"/>
      <c r="S312" s="17"/>
      <c r="T312" s="17"/>
      <c r="U312" s="17"/>
      <c r="V312" s="17"/>
      <c r="W312" s="17"/>
      <c r="X312" s="103"/>
      <c r="Y312" s="17"/>
      <c r="Z312" s="101" t="str">
        <f>IF(N312="", "", IF(ISNUMBER(MATCH(N312, TextTables!A:A, 0)), "Y", "N"))</f>
        <v/>
      </c>
      <c r="AA312" s="101" t="str">
        <f>IF(ISNUMBER(MATCH(F312, '[1]Can Matrix'!M:M, 0)), "Y", "N")</f>
        <v>Y</v>
      </c>
    </row>
    <row r="313" spans="1:27" ht="16.8">
      <c r="A313" s="17"/>
      <c r="B313" s="17"/>
      <c r="C313" s="17"/>
      <c r="D313" s="17" t="s">
        <v>143</v>
      </c>
      <c r="E313" s="17"/>
      <c r="F313" s="17" t="s">
        <v>6149</v>
      </c>
      <c r="G313" s="17" t="s">
        <v>6149</v>
      </c>
      <c r="H313" s="17"/>
      <c r="I313" s="97">
        <f>VLOOKUP(F313, '[1]Can Matrix'!$M:$X, 2, FALSE)</f>
        <v>10</v>
      </c>
      <c r="J313" s="17" t="str">
        <f t="shared" si="5"/>
        <v>uint16</v>
      </c>
      <c r="K313" s="17"/>
      <c r="L313" s="17"/>
      <c r="M313" s="100" t="str">
        <f>'[1]Can Matrix'!$R$2</f>
        <v>Unsigned</v>
      </c>
      <c r="N313" s="101" t="str">
        <f>IFERROR(IF(VLOOKUP(F313, '[1]Can Matrix'!$M:$X, 12, FALSE)=0, "", "TMS_Enum_" &amp; VLOOKUP(F313, '[1]Can Matrix'!$M:$X, 12, FALSE)), "")</f>
        <v/>
      </c>
      <c r="O313" s="17"/>
      <c r="P313" s="17"/>
      <c r="Q313" s="17"/>
      <c r="R313" s="17"/>
      <c r="S313" s="17"/>
      <c r="T313" s="17"/>
      <c r="U313" s="17"/>
      <c r="V313" s="17"/>
      <c r="W313" s="17"/>
      <c r="X313" s="103"/>
      <c r="Y313" s="17"/>
      <c r="Z313" s="101" t="str">
        <f>IF(N313="", "", IF(ISNUMBER(MATCH(N313, TextTables!A:A, 0)), "Y", "N"))</f>
        <v/>
      </c>
      <c r="AA313" s="101" t="str">
        <f>IF(ISNUMBER(MATCH(F313, '[1]Can Matrix'!M:M, 0)), "Y", "N")</f>
        <v>Y</v>
      </c>
    </row>
    <row r="314" spans="1:27" ht="16.8">
      <c r="A314" s="17"/>
      <c r="B314" s="17"/>
      <c r="C314" s="17"/>
      <c r="D314" s="17" t="s">
        <v>143</v>
      </c>
      <c r="E314" s="17"/>
      <c r="F314" s="17" t="s">
        <v>6150</v>
      </c>
      <c r="G314" s="17" t="s">
        <v>6150</v>
      </c>
      <c r="H314" s="17"/>
      <c r="I314" s="97">
        <f>VLOOKUP(F314, '[1]Can Matrix'!$M:$X, 2, FALSE)</f>
        <v>10</v>
      </c>
      <c r="J314" s="17" t="str">
        <f t="shared" si="5"/>
        <v>uint16</v>
      </c>
      <c r="K314" s="17"/>
      <c r="L314" s="17"/>
      <c r="M314" s="100" t="str">
        <f>'[1]Can Matrix'!$R$2</f>
        <v>Unsigned</v>
      </c>
      <c r="N314" s="101" t="str">
        <f>IFERROR(IF(VLOOKUP(F314, '[1]Can Matrix'!$M:$X, 12, FALSE)=0, "", "TMS_Enum_" &amp; VLOOKUP(F314, '[1]Can Matrix'!$M:$X, 12, FALSE)), "")</f>
        <v/>
      </c>
      <c r="O314" s="17"/>
      <c r="P314" s="17"/>
      <c r="Q314" s="17"/>
      <c r="R314" s="17"/>
      <c r="S314" s="17"/>
      <c r="T314" s="17"/>
      <c r="U314" s="17"/>
      <c r="V314" s="17"/>
      <c r="W314" s="17"/>
      <c r="X314" s="103"/>
      <c r="Y314" s="17"/>
      <c r="Z314" s="101" t="str">
        <f>IF(N314="", "", IF(ISNUMBER(MATCH(N314, TextTables!A:A, 0)), "Y", "N"))</f>
        <v/>
      </c>
      <c r="AA314" s="101" t="str">
        <f>IF(ISNUMBER(MATCH(F314, '[1]Can Matrix'!M:M, 0)), "Y", "N")</f>
        <v>Y</v>
      </c>
    </row>
    <row r="315" spans="1:27" ht="16.8">
      <c r="A315" s="17"/>
      <c r="B315" s="17"/>
      <c r="C315" s="17"/>
      <c r="D315" s="17" t="s">
        <v>143</v>
      </c>
      <c r="E315" s="17"/>
      <c r="F315" s="17" t="s">
        <v>6151</v>
      </c>
      <c r="G315" s="17" t="s">
        <v>6151</v>
      </c>
      <c r="H315" s="17"/>
      <c r="I315" s="97">
        <f>VLOOKUP(F315, '[1]Can Matrix'!$M:$X, 2, FALSE)</f>
        <v>1</v>
      </c>
      <c r="J315" s="17" t="str">
        <f t="shared" si="5"/>
        <v>uint8</v>
      </c>
      <c r="K315" s="17"/>
      <c r="L315" s="17"/>
      <c r="M315" s="100" t="str">
        <f>'[1]Can Matrix'!$R$2</f>
        <v>Unsigned</v>
      </c>
      <c r="N315" s="101" t="str">
        <f>IFERROR(IF(VLOOKUP(F315, '[1]Can Matrix'!$M:$X, 12, FALSE)=0, "", "TMS_Enum_" &amp; VLOOKUP(F315, '[1]Can Matrix'!$M:$X, 12, FALSE)), "")</f>
        <v>TMS_Enum_OnOff1</v>
      </c>
      <c r="O315" s="17"/>
      <c r="P315" s="17"/>
      <c r="Q315" s="17"/>
      <c r="R315" s="17"/>
      <c r="S315" s="17"/>
      <c r="T315" s="17"/>
      <c r="U315" s="17"/>
      <c r="V315" s="17"/>
      <c r="W315" s="17"/>
      <c r="X315" s="103"/>
      <c r="Y315" s="17"/>
      <c r="Z315" s="101" t="str">
        <f>IF(N315="", "", IF(ISNUMBER(MATCH(N315, TextTables!A:A, 0)), "Y", "N"))</f>
        <v>Y</v>
      </c>
      <c r="AA315" s="101" t="str">
        <f>IF(ISNUMBER(MATCH(F315, '[1]Can Matrix'!M:M, 0)), "Y", "N")</f>
        <v>Y</v>
      </c>
    </row>
    <row r="316" spans="1:27" ht="16.8">
      <c r="A316" s="17"/>
      <c r="B316" s="17"/>
      <c r="C316" s="17"/>
      <c r="D316" s="17" t="s">
        <v>143</v>
      </c>
      <c r="E316" s="17"/>
      <c r="F316" s="17" t="s">
        <v>6152</v>
      </c>
      <c r="G316" s="17" t="s">
        <v>6152</v>
      </c>
      <c r="H316" s="17"/>
      <c r="I316" s="97">
        <f>VLOOKUP(F316, '[1]Can Matrix'!$M:$X, 2, FALSE)</f>
        <v>1</v>
      </c>
      <c r="J316" s="17" t="str">
        <f t="shared" si="5"/>
        <v>uint8</v>
      </c>
      <c r="K316" s="17"/>
      <c r="L316" s="17"/>
      <c r="M316" s="100" t="str">
        <f>'[1]Can Matrix'!$R$2</f>
        <v>Unsigned</v>
      </c>
      <c r="N316" s="101" t="str">
        <f>IFERROR(IF(VLOOKUP(F316, '[1]Can Matrix'!$M:$X, 12, FALSE)=0, "", "TMS_Enum_" &amp; VLOOKUP(F316, '[1]Can Matrix'!$M:$X, 12, FALSE)), "")</f>
        <v>TMS_Enum_OnOff1</v>
      </c>
      <c r="O316" s="17"/>
      <c r="P316" s="17"/>
      <c r="Q316" s="17"/>
      <c r="R316" s="17"/>
      <c r="S316" s="17"/>
      <c r="T316" s="17"/>
      <c r="U316" s="17"/>
      <c r="V316" s="17"/>
      <c r="W316" s="17"/>
      <c r="X316" s="103"/>
      <c r="Y316" s="17"/>
      <c r="Z316" s="101" t="str">
        <f>IF(N316="", "", IF(ISNUMBER(MATCH(N316, TextTables!A:A, 0)), "Y", "N"))</f>
        <v>Y</v>
      </c>
      <c r="AA316" s="101" t="str">
        <f>IF(ISNUMBER(MATCH(F316, '[1]Can Matrix'!M:M, 0)), "Y", "N")</f>
        <v>Y</v>
      </c>
    </row>
    <row r="317" spans="1:27" ht="16.8">
      <c r="A317" s="17"/>
      <c r="B317" s="17"/>
      <c r="C317" s="17"/>
      <c r="D317" s="17" t="s">
        <v>143</v>
      </c>
      <c r="E317" s="17"/>
      <c r="F317" s="17" t="s">
        <v>6153</v>
      </c>
      <c r="G317" s="17" t="s">
        <v>6153</v>
      </c>
      <c r="H317" s="17"/>
      <c r="I317" s="97">
        <f>VLOOKUP(F317, '[1]Can Matrix'!$M:$X, 2, FALSE)</f>
        <v>1</v>
      </c>
      <c r="J317" s="17" t="str">
        <f t="shared" si="5"/>
        <v>uint8</v>
      </c>
      <c r="K317" s="17"/>
      <c r="L317" s="17"/>
      <c r="M317" s="100" t="str">
        <f>'[1]Can Matrix'!$R$2</f>
        <v>Unsigned</v>
      </c>
      <c r="N317" s="101" t="str">
        <f>IFERROR(IF(VLOOKUP(F317, '[1]Can Matrix'!$M:$X, 12, FALSE)=0, "", "TMS_Enum_" &amp; VLOOKUP(F317, '[1]Can Matrix'!$M:$X, 12, FALSE)), "")</f>
        <v>TMS_Enum_OnOff1</v>
      </c>
      <c r="O317" s="17"/>
      <c r="P317" s="17"/>
      <c r="Q317" s="17"/>
      <c r="R317" s="17"/>
      <c r="S317" s="17"/>
      <c r="T317" s="17"/>
      <c r="U317" s="17"/>
      <c r="V317" s="17"/>
      <c r="W317" s="17"/>
      <c r="X317" s="103"/>
      <c r="Y317" s="17"/>
      <c r="Z317" s="101" t="str">
        <f>IF(N317="", "", IF(ISNUMBER(MATCH(N317, TextTables!A:A, 0)), "Y", "N"))</f>
        <v>Y</v>
      </c>
      <c r="AA317" s="101" t="str">
        <f>IF(ISNUMBER(MATCH(F317, '[1]Can Matrix'!M:M, 0)), "Y", "N")</f>
        <v>Y</v>
      </c>
    </row>
    <row r="318" spans="1:27" ht="16.8">
      <c r="A318" s="17"/>
      <c r="B318" s="17"/>
      <c r="C318" s="17"/>
      <c r="D318" s="17" t="s">
        <v>143</v>
      </c>
      <c r="E318" s="17"/>
      <c r="F318" s="17" t="s">
        <v>6154</v>
      </c>
      <c r="G318" s="17" t="s">
        <v>6154</v>
      </c>
      <c r="H318" s="17"/>
      <c r="I318" s="97">
        <f>VLOOKUP(F318, '[1]Can Matrix'!$M:$X, 2, FALSE)</f>
        <v>10</v>
      </c>
      <c r="J318" s="17" t="str">
        <f t="shared" si="5"/>
        <v>uint16</v>
      </c>
      <c r="K318" s="17"/>
      <c r="L318" s="17"/>
      <c r="M318" s="100" t="str">
        <f>'[1]Can Matrix'!$R$2</f>
        <v>Unsigned</v>
      </c>
      <c r="N318" s="101" t="str">
        <f>IFERROR(IF(VLOOKUP(F318, '[1]Can Matrix'!$M:$X, 12, FALSE)=0, "", "TMS_Enum_" &amp; VLOOKUP(F318, '[1]Can Matrix'!$M:$X, 12, FALSE)), "")</f>
        <v/>
      </c>
      <c r="O318" s="17"/>
      <c r="P318" s="17"/>
      <c r="Q318" s="17"/>
      <c r="R318" s="17"/>
      <c r="S318" s="17"/>
      <c r="T318" s="17"/>
      <c r="U318" s="17"/>
      <c r="V318" s="17"/>
      <c r="W318" s="17"/>
      <c r="X318" s="103"/>
      <c r="Y318" s="17"/>
      <c r="Z318" s="101" t="str">
        <f>IF(N318="", "", IF(ISNUMBER(MATCH(N318, TextTables!A:A, 0)), "Y", "N"))</f>
        <v/>
      </c>
      <c r="AA318" s="101" t="str">
        <f>IF(ISNUMBER(MATCH(F318, '[1]Can Matrix'!M:M, 0)), "Y", "N")</f>
        <v>Y</v>
      </c>
    </row>
    <row r="319" spans="1:27" ht="16.8">
      <c r="A319" s="17"/>
      <c r="B319" s="17"/>
      <c r="C319" s="17"/>
      <c r="D319" s="17" t="s">
        <v>143</v>
      </c>
      <c r="E319" s="17"/>
      <c r="F319" s="17" t="s">
        <v>6155</v>
      </c>
      <c r="G319" s="17" t="s">
        <v>6155</v>
      </c>
      <c r="H319" s="17"/>
      <c r="I319" s="97">
        <f>VLOOKUP(F319, '[1]Can Matrix'!$M:$X, 2, FALSE)</f>
        <v>10</v>
      </c>
      <c r="J319" s="17" t="str">
        <f t="shared" si="5"/>
        <v>uint16</v>
      </c>
      <c r="K319" s="17"/>
      <c r="L319" s="17"/>
      <c r="M319" s="100" t="str">
        <f>'[1]Can Matrix'!$R$2</f>
        <v>Unsigned</v>
      </c>
      <c r="N319" s="101" t="str">
        <f>IFERROR(IF(VLOOKUP(F319, '[1]Can Matrix'!$M:$X, 12, FALSE)=0, "", "TMS_Enum_" &amp; VLOOKUP(F319, '[1]Can Matrix'!$M:$X, 12, FALSE)), "")</f>
        <v/>
      </c>
      <c r="O319" s="17"/>
      <c r="P319" s="17"/>
      <c r="Q319" s="17"/>
      <c r="R319" s="17"/>
      <c r="S319" s="17"/>
      <c r="T319" s="17"/>
      <c r="U319" s="17"/>
      <c r="V319" s="17"/>
      <c r="W319" s="17"/>
      <c r="X319" s="103"/>
      <c r="Y319" s="17"/>
      <c r="Z319" s="101" t="str">
        <f>IF(N319="", "", IF(ISNUMBER(MATCH(N319, TextTables!A:A, 0)), "Y", "N"))</f>
        <v/>
      </c>
      <c r="AA319" s="101" t="str">
        <f>IF(ISNUMBER(MATCH(F319, '[1]Can Matrix'!M:M, 0)), "Y", "N")</f>
        <v>Y</v>
      </c>
    </row>
    <row r="320" spans="1:27" ht="16.8">
      <c r="A320" s="17"/>
      <c r="B320" s="17"/>
      <c r="C320" s="17"/>
      <c r="D320" s="17" t="s">
        <v>143</v>
      </c>
      <c r="E320" s="17"/>
      <c r="F320" s="17" t="s">
        <v>6378</v>
      </c>
      <c r="G320" s="17" t="s">
        <v>6156</v>
      </c>
      <c r="H320" s="17"/>
      <c r="I320" s="97">
        <f>VLOOKUP(F320, '[1]Can Matrix'!$M:$X, 2, FALSE)</f>
        <v>1</v>
      </c>
      <c r="J320" s="17" t="str">
        <f t="shared" si="5"/>
        <v>uint8</v>
      </c>
      <c r="K320" s="17"/>
      <c r="L320" s="17"/>
      <c r="M320" s="100" t="str">
        <f>'[1]Can Matrix'!$R$2</f>
        <v>Unsigned</v>
      </c>
      <c r="N320" s="101" t="str">
        <f>IFERROR(IF(VLOOKUP(F320, '[1]Can Matrix'!$M:$X, 12, FALSE)=0, "", "TMS_Enum_" &amp; VLOOKUP(F320, '[1]Can Matrix'!$M:$X, 12, FALSE)), "")</f>
        <v>TMS_Enum_Flt</v>
      </c>
      <c r="O320" s="17"/>
      <c r="P320" s="17"/>
      <c r="Q320" s="17"/>
      <c r="R320" s="17"/>
      <c r="S320" s="17"/>
      <c r="T320" s="17"/>
      <c r="U320" s="17"/>
      <c r="V320" s="17"/>
      <c r="W320" s="17"/>
      <c r="X320" s="103"/>
      <c r="Y320" s="17"/>
      <c r="Z320" s="101" t="str">
        <f>IF(N320="", "", IF(ISNUMBER(MATCH(N320, TextTables!A:A, 0)), "Y", "N"))</f>
        <v>Y</v>
      </c>
      <c r="AA320" s="101" t="str">
        <f>IF(ISNUMBER(MATCH(F320, '[1]Can Matrix'!M:M, 0)), "Y", "N")</f>
        <v>Y</v>
      </c>
    </row>
    <row r="321" spans="1:27" ht="16.8">
      <c r="A321" s="17"/>
      <c r="B321" s="17"/>
      <c r="C321" s="17"/>
      <c r="D321" s="17" t="s">
        <v>143</v>
      </c>
      <c r="E321" s="17"/>
      <c r="F321" s="17" t="s">
        <v>6157</v>
      </c>
      <c r="G321" s="17" t="s">
        <v>6157</v>
      </c>
      <c r="H321" s="17"/>
      <c r="I321" s="97">
        <f>VLOOKUP(F321, '[1]Can Matrix'!$M:$X, 2, FALSE)</f>
        <v>1</v>
      </c>
      <c r="J321" s="17" t="str">
        <f t="shared" si="5"/>
        <v>uint8</v>
      </c>
      <c r="K321" s="17"/>
      <c r="L321" s="17"/>
      <c r="M321" s="100" t="str">
        <f>'[1]Can Matrix'!$R$2</f>
        <v>Unsigned</v>
      </c>
      <c r="N321" s="101" t="str">
        <f>IFERROR(IF(VLOOKUP(F321, '[1]Can Matrix'!$M:$X, 12, FALSE)=0, "", "TMS_Enum_" &amp; VLOOKUP(F321, '[1]Can Matrix'!$M:$X, 12, FALSE)), "")</f>
        <v>TMS_Enum_Flt</v>
      </c>
      <c r="O321" s="17"/>
      <c r="P321" s="17"/>
      <c r="Q321" s="17"/>
      <c r="R321" s="17"/>
      <c r="S321" s="17"/>
      <c r="T321" s="17"/>
      <c r="U321" s="17"/>
      <c r="V321" s="17"/>
      <c r="W321" s="17"/>
      <c r="X321" s="103"/>
      <c r="Y321" s="17"/>
      <c r="Z321" s="101" t="str">
        <f>IF(N321="", "", IF(ISNUMBER(MATCH(N321, TextTables!A:A, 0)), "Y", "N"))</f>
        <v>Y</v>
      </c>
      <c r="AA321" s="101" t="str">
        <f>IF(ISNUMBER(MATCH(F321, '[1]Can Matrix'!M:M, 0)), "Y", "N")</f>
        <v>Y</v>
      </c>
    </row>
    <row r="322" spans="1:27" ht="16.8">
      <c r="A322" s="17"/>
      <c r="B322" s="17"/>
      <c r="C322" s="17"/>
      <c r="D322" s="17" t="s">
        <v>143</v>
      </c>
      <c r="E322" s="17"/>
      <c r="F322" s="17" t="s">
        <v>6158</v>
      </c>
      <c r="G322" s="17" t="s">
        <v>6158</v>
      </c>
      <c r="H322" s="17"/>
      <c r="I322" s="97">
        <f>VLOOKUP(F322, '[1]Can Matrix'!$M:$X, 2, FALSE)</f>
        <v>1</v>
      </c>
      <c r="J322" s="17" t="str">
        <f t="shared" si="5"/>
        <v>uint8</v>
      </c>
      <c r="K322" s="17"/>
      <c r="L322" s="17"/>
      <c r="M322" s="100" t="str">
        <f>'[1]Can Matrix'!$R$2</f>
        <v>Unsigned</v>
      </c>
      <c r="N322" s="101" t="str">
        <f>IFERROR(IF(VLOOKUP(F322, '[1]Can Matrix'!$M:$X, 12, FALSE)=0, "", "TMS_Enum_" &amp; VLOOKUP(F322, '[1]Can Matrix'!$M:$X, 12, FALSE)), "")</f>
        <v>TMS_Enum_Flt</v>
      </c>
      <c r="O322" s="17"/>
      <c r="P322" s="17"/>
      <c r="Q322" s="17"/>
      <c r="R322" s="17"/>
      <c r="S322" s="17"/>
      <c r="T322" s="17"/>
      <c r="U322" s="17"/>
      <c r="V322" s="17"/>
      <c r="W322" s="17"/>
      <c r="X322" s="103"/>
      <c r="Y322" s="17"/>
      <c r="Z322" s="101" t="str">
        <f>IF(N322="", "", IF(ISNUMBER(MATCH(N322, TextTables!A:A, 0)), "Y", "N"))</f>
        <v>Y</v>
      </c>
      <c r="AA322" s="101" t="str">
        <f>IF(ISNUMBER(MATCH(F322, '[1]Can Matrix'!M:M, 0)), "Y", "N")</f>
        <v>Y</v>
      </c>
    </row>
    <row r="323" spans="1:27" ht="16.8">
      <c r="A323" s="17"/>
      <c r="B323" s="17"/>
      <c r="C323" s="17"/>
      <c r="D323" s="17" t="s">
        <v>143</v>
      </c>
      <c r="E323" s="17"/>
      <c r="F323" s="17" t="s">
        <v>6159</v>
      </c>
      <c r="G323" s="17" t="s">
        <v>6159</v>
      </c>
      <c r="H323" s="17"/>
      <c r="I323" s="97">
        <f>VLOOKUP(F323, '[1]Can Matrix'!$M:$X, 2, FALSE)</f>
        <v>3</v>
      </c>
      <c r="J323" s="17" t="str">
        <f t="shared" si="5"/>
        <v>uint8</v>
      </c>
      <c r="K323" s="17"/>
      <c r="L323" s="17"/>
      <c r="M323" s="100" t="str">
        <f>'[1]Can Matrix'!$R$2</f>
        <v>Unsigned</v>
      </c>
      <c r="N323" s="101" t="str">
        <f>IFERROR(IF(VLOOKUP(F323, '[1]Can Matrix'!$M:$X, 12, FALSE)=0, "", "TMS_Enum_" &amp; VLOOKUP(F323, '[1]Can Matrix'!$M:$X, 12, FALSE)), "")</f>
        <v>TMS_Enum_AcHVoltResonanceStat</v>
      </c>
      <c r="O323" s="17"/>
      <c r="P323" s="17"/>
      <c r="Q323" s="17"/>
      <c r="R323" s="17"/>
      <c r="S323" s="17"/>
      <c r="T323" s="17"/>
      <c r="U323" s="17"/>
      <c r="V323" s="17"/>
      <c r="W323" s="17"/>
      <c r="X323" s="103"/>
      <c r="Y323" s="17"/>
      <c r="Z323" s="101" t="str">
        <f>IF(N323="", "", IF(ISNUMBER(MATCH(N323, TextTables!A:A, 0)), "Y", "N"))</f>
        <v>Y</v>
      </c>
      <c r="AA323" s="101" t="str">
        <f>IF(ISNUMBER(MATCH(F323, '[1]Can Matrix'!M:M, 0)), "Y", "N")</f>
        <v>Y</v>
      </c>
    </row>
    <row r="324" spans="1:27" ht="16.8">
      <c r="A324" s="17"/>
      <c r="B324" s="17"/>
      <c r="C324" s="17"/>
      <c r="D324" s="17" t="s">
        <v>143</v>
      </c>
      <c r="E324" s="17"/>
      <c r="F324" s="17" t="s">
        <v>6160</v>
      </c>
      <c r="G324" s="17" t="s">
        <v>6160</v>
      </c>
      <c r="H324" s="17"/>
      <c r="I324" s="97">
        <f>VLOOKUP(F324, '[1]Can Matrix'!$M:$X, 2, FALSE)</f>
        <v>1</v>
      </c>
      <c r="J324" s="17" t="str">
        <f t="shared" si="5"/>
        <v>uint8</v>
      </c>
      <c r="K324" s="17"/>
      <c r="L324" s="17"/>
      <c r="M324" s="100" t="str">
        <f>'[1]Can Matrix'!$R$2</f>
        <v>Unsigned</v>
      </c>
      <c r="N324" s="101" t="str">
        <f>IFERROR(IF(VLOOKUP(F324, '[1]Can Matrix'!$M:$X, 12, FALSE)=0, "", "TMS_Enum_" &amp; VLOOKUP(F324, '[1]Can Matrix'!$M:$X, 12, FALSE)), "")</f>
        <v>TMS_Enum_Flt</v>
      </c>
      <c r="O324" s="17"/>
      <c r="P324" s="17"/>
      <c r="Q324" s="17"/>
      <c r="R324" s="17"/>
      <c r="S324" s="17"/>
      <c r="T324" s="17"/>
      <c r="U324" s="17"/>
      <c r="V324" s="17"/>
      <c r="W324" s="17"/>
      <c r="X324" s="103"/>
      <c r="Y324" s="17"/>
      <c r="Z324" s="101" t="str">
        <f>IF(N324="", "", IF(ISNUMBER(MATCH(N324, TextTables!A:A, 0)), "Y", "N"))</f>
        <v>Y</v>
      </c>
      <c r="AA324" s="101" t="str">
        <f>IF(ISNUMBER(MATCH(F324, '[1]Can Matrix'!M:M, 0)), "Y", "N")</f>
        <v>Y</v>
      </c>
    </row>
    <row r="325" spans="1:27" ht="16.8">
      <c r="A325" s="17"/>
      <c r="B325" s="17"/>
      <c r="C325" s="17"/>
      <c r="D325" s="17" t="s">
        <v>143</v>
      </c>
      <c r="E325" s="17"/>
      <c r="F325" s="17" t="s">
        <v>6161</v>
      </c>
      <c r="G325" s="17" t="s">
        <v>6161</v>
      </c>
      <c r="H325" s="17"/>
      <c r="I325" s="97">
        <f>VLOOKUP(F325, '[1]Can Matrix'!$M:$X, 2, FALSE)</f>
        <v>1</v>
      </c>
      <c r="J325" s="17" t="str">
        <f t="shared" si="5"/>
        <v>uint8</v>
      </c>
      <c r="K325" s="17"/>
      <c r="L325" s="17"/>
      <c r="M325" s="100" t="str">
        <f>'[1]Can Matrix'!$R$2</f>
        <v>Unsigned</v>
      </c>
      <c r="N325" s="101" t="str">
        <f>IFERROR(IF(VLOOKUP(F325, '[1]Can Matrix'!$M:$X, 12, FALSE)=0, "", "TMS_Enum_" &amp; VLOOKUP(F325, '[1]Can Matrix'!$M:$X, 12, FALSE)), "")</f>
        <v>TMS_Enum_Flt</v>
      </c>
      <c r="O325" s="17"/>
      <c r="P325" s="17"/>
      <c r="Q325" s="17"/>
      <c r="R325" s="17"/>
      <c r="S325" s="17"/>
      <c r="T325" s="17"/>
      <c r="U325" s="17"/>
      <c r="V325" s="17"/>
      <c r="W325" s="17"/>
      <c r="X325" s="103"/>
      <c r="Y325" s="17"/>
      <c r="Z325" s="101" t="str">
        <f>IF(N325="", "", IF(ISNUMBER(MATCH(N325, TextTables!A:A, 0)), "Y", "N"))</f>
        <v>Y</v>
      </c>
      <c r="AA325" s="101" t="str">
        <f>IF(ISNUMBER(MATCH(F325, '[1]Can Matrix'!M:M, 0)), "Y", "N")</f>
        <v>Y</v>
      </c>
    </row>
    <row r="326" spans="1:27" ht="16.8">
      <c r="A326" s="17"/>
      <c r="B326" s="17"/>
      <c r="C326" s="17"/>
      <c r="D326" s="17" t="s">
        <v>143</v>
      </c>
      <c r="E326" s="17"/>
      <c r="F326" s="17" t="s">
        <v>6162</v>
      </c>
      <c r="G326" s="17" t="s">
        <v>6162</v>
      </c>
      <c r="H326" s="17"/>
      <c r="I326" s="97">
        <f>VLOOKUP(F326, '[1]Can Matrix'!$M:$X, 2, FALSE)</f>
        <v>1</v>
      </c>
      <c r="J326" s="17" t="str">
        <f t="shared" si="5"/>
        <v>uint8</v>
      </c>
      <c r="K326" s="17"/>
      <c r="L326" s="17"/>
      <c r="M326" s="100" t="str">
        <f>'[1]Can Matrix'!$R$2</f>
        <v>Unsigned</v>
      </c>
      <c r="N326" s="101" t="str">
        <f>IFERROR(IF(VLOOKUP(F326, '[1]Can Matrix'!$M:$X, 12, FALSE)=0, "", "TMS_Enum_" &amp; VLOOKUP(F326, '[1]Can Matrix'!$M:$X, 12, FALSE)), "")</f>
        <v>TMS_Enum_Flt</v>
      </c>
      <c r="O326" s="17"/>
      <c r="P326" s="17"/>
      <c r="Q326" s="17"/>
      <c r="R326" s="17"/>
      <c r="S326" s="17"/>
      <c r="T326" s="17"/>
      <c r="U326" s="17"/>
      <c r="V326" s="17"/>
      <c r="W326" s="17"/>
      <c r="X326" s="103"/>
      <c r="Y326" s="17"/>
      <c r="Z326" s="101" t="str">
        <f>IF(N326="", "", IF(ISNUMBER(MATCH(N326, TextTables!A:A, 0)), "Y", "N"))</f>
        <v>Y</v>
      </c>
      <c r="AA326" s="101" t="str">
        <f>IF(ISNUMBER(MATCH(F326, '[1]Can Matrix'!M:M, 0)), "Y", "N")</f>
        <v>Y</v>
      </c>
    </row>
    <row r="327" spans="1:27" ht="16.8">
      <c r="A327" s="17"/>
      <c r="B327" s="17"/>
      <c r="C327" s="17"/>
      <c r="D327" s="17" t="s">
        <v>143</v>
      </c>
      <c r="E327" s="17"/>
      <c r="F327" s="17" t="s">
        <v>6163</v>
      </c>
      <c r="G327" s="17" t="s">
        <v>6163</v>
      </c>
      <c r="H327" s="17"/>
      <c r="I327" s="97">
        <f>VLOOKUP(F327, '[1]Can Matrix'!$M:$X, 2, FALSE)</f>
        <v>1</v>
      </c>
      <c r="J327" s="17" t="str">
        <f t="shared" si="5"/>
        <v>uint8</v>
      </c>
      <c r="K327" s="17"/>
      <c r="L327" s="17"/>
      <c r="M327" s="100" t="str">
        <f>'[1]Can Matrix'!$R$2</f>
        <v>Unsigned</v>
      </c>
      <c r="N327" s="101" t="str">
        <f>IFERROR(IF(VLOOKUP(F327, '[1]Can Matrix'!$M:$X, 12, FALSE)=0, "", "TMS_Enum_" &amp; VLOOKUP(F327, '[1]Can Matrix'!$M:$X, 12, FALSE)), "")</f>
        <v>TMS_Enum_Flt</v>
      </c>
      <c r="O327" s="17"/>
      <c r="P327" s="17"/>
      <c r="Q327" s="17"/>
      <c r="R327" s="17"/>
      <c r="S327" s="17"/>
      <c r="T327" s="17"/>
      <c r="U327" s="17"/>
      <c r="V327" s="17"/>
      <c r="W327" s="17"/>
      <c r="X327" s="103"/>
      <c r="Y327" s="17"/>
      <c r="Z327" s="101" t="str">
        <f>IF(N327="", "", IF(ISNUMBER(MATCH(N327, TextTables!A:A, 0)), "Y", "N"))</f>
        <v>Y</v>
      </c>
      <c r="AA327" s="101" t="str">
        <f>IF(ISNUMBER(MATCH(F327, '[1]Can Matrix'!M:M, 0)), "Y", "N")</f>
        <v>Y</v>
      </c>
    </row>
    <row r="328" spans="1:27" ht="16.8">
      <c r="A328" s="17"/>
      <c r="B328" s="17"/>
      <c r="C328" s="17"/>
      <c r="D328" s="17" t="s">
        <v>143</v>
      </c>
      <c r="E328" s="17"/>
      <c r="F328" s="17" t="s">
        <v>6164</v>
      </c>
      <c r="G328" s="17" t="s">
        <v>6164</v>
      </c>
      <c r="H328" s="17"/>
      <c r="I328" s="97">
        <f>VLOOKUP(F328, '[1]Can Matrix'!$M:$X, 2, FALSE)</f>
        <v>4</v>
      </c>
      <c r="J328" s="17" t="str">
        <f t="shared" si="5"/>
        <v>uint8</v>
      </c>
      <c r="K328" s="17"/>
      <c r="L328" s="17"/>
      <c r="M328" s="100" t="str">
        <f>'[1]Can Matrix'!$R$2</f>
        <v>Unsigned</v>
      </c>
      <c r="N328" s="101" t="str">
        <f>IFERROR(IF(VLOOKUP(F328, '[1]Can Matrix'!$M:$X, 12, FALSE)=0, "", "TMS_Enum_" &amp; VLOOKUP(F328, '[1]Can Matrix'!$M:$X, 12, FALSE)), "")</f>
        <v>TMS_Enum_CompOverMotorCurrStat</v>
      </c>
      <c r="O328" s="17"/>
      <c r="P328" s="17"/>
      <c r="Q328" s="17"/>
      <c r="R328" s="17"/>
      <c r="S328" s="17"/>
      <c r="T328" s="17"/>
      <c r="U328" s="17"/>
      <c r="V328" s="17"/>
      <c r="W328" s="17"/>
      <c r="X328" s="103"/>
      <c r="Y328" s="17"/>
      <c r="Z328" s="101" t="str">
        <f>IF(N328="", "", IF(ISNUMBER(MATCH(N328, TextTables!A:A, 0)), "Y", "N"))</f>
        <v>Y</v>
      </c>
      <c r="AA328" s="101" t="str">
        <f>IF(ISNUMBER(MATCH(F328, '[1]Can Matrix'!M:M, 0)), "Y", "N")</f>
        <v>Y</v>
      </c>
    </row>
    <row r="329" spans="1:27" ht="16.8">
      <c r="A329" s="17"/>
      <c r="B329" s="17"/>
      <c r="C329" s="17"/>
      <c r="D329" s="17" t="s">
        <v>143</v>
      </c>
      <c r="E329" s="17"/>
      <c r="F329" s="17" t="s">
        <v>6165</v>
      </c>
      <c r="G329" s="17" t="s">
        <v>6165</v>
      </c>
      <c r="H329" s="17"/>
      <c r="I329" s="97">
        <f>VLOOKUP(F329, '[1]Can Matrix'!$M:$X, 2, FALSE)</f>
        <v>4</v>
      </c>
      <c r="J329" s="17" t="str">
        <f t="shared" si="5"/>
        <v>uint8</v>
      </c>
      <c r="K329" s="17"/>
      <c r="L329" s="17"/>
      <c r="M329" s="100" t="str">
        <f>'[1]Can Matrix'!$R$2</f>
        <v>Unsigned</v>
      </c>
      <c r="N329" s="101" t="str">
        <f>IFERROR(IF(VLOOKUP(F329, '[1]Can Matrix'!$M:$X, 12, FALSE)=0, "", "TMS_Enum_" &amp; VLOOKUP(F329, '[1]Can Matrix'!$M:$X, 12, FALSE)), "")</f>
        <v>TMS_Enum_CompOverPowerStat</v>
      </c>
      <c r="O329" s="17"/>
      <c r="P329" s="17"/>
      <c r="Q329" s="17"/>
      <c r="R329" s="17"/>
      <c r="S329" s="17"/>
      <c r="T329" s="17"/>
      <c r="U329" s="17"/>
      <c r="V329" s="17"/>
      <c r="W329" s="17"/>
      <c r="X329" s="103"/>
      <c r="Y329" s="17"/>
      <c r="Z329" s="101" t="str">
        <f>IF(N329="", "", IF(ISNUMBER(MATCH(N329, TextTables!A:A, 0)), "Y", "N"))</f>
        <v>Y</v>
      </c>
      <c r="AA329" s="101" t="str">
        <f>IF(ISNUMBER(MATCH(F329, '[1]Can Matrix'!M:M, 0)), "Y", "N")</f>
        <v>Y</v>
      </c>
    </row>
    <row r="330" spans="1:27" ht="16.8">
      <c r="A330" s="17"/>
      <c r="B330" s="17"/>
      <c r="C330" s="17"/>
      <c r="D330" s="17" t="s">
        <v>143</v>
      </c>
      <c r="E330" s="17"/>
      <c r="F330" s="17" t="s">
        <v>6166</v>
      </c>
      <c r="G330" s="17" t="s">
        <v>6166</v>
      </c>
      <c r="H330" s="17"/>
      <c r="I330" s="97">
        <f>VLOOKUP(F330, '[1]Can Matrix'!$M:$X, 2, FALSE)</f>
        <v>1</v>
      </c>
      <c r="J330" s="17" t="str">
        <f t="shared" si="5"/>
        <v>uint8</v>
      </c>
      <c r="K330" s="17"/>
      <c r="L330" s="17"/>
      <c r="M330" s="100" t="str">
        <f>'[1]Can Matrix'!$R$2</f>
        <v>Unsigned</v>
      </c>
      <c r="N330" s="101" t="str">
        <f>IFERROR(IF(VLOOKUP(F330, '[1]Can Matrix'!$M:$X, 12, FALSE)=0, "", "TMS_Enum_" &amp; VLOOKUP(F330, '[1]Can Matrix'!$M:$X, 12, FALSE)), "")</f>
        <v>TMS_Enum_Flt</v>
      </c>
      <c r="O330" s="17"/>
      <c r="P330" s="17"/>
      <c r="Q330" s="17"/>
      <c r="R330" s="17"/>
      <c r="S330" s="17"/>
      <c r="T330" s="17"/>
      <c r="U330" s="17"/>
      <c r="V330" s="17"/>
      <c r="W330" s="17"/>
      <c r="X330" s="103"/>
      <c r="Y330" s="17"/>
      <c r="Z330" s="101" t="str">
        <f>IF(N330="", "", IF(ISNUMBER(MATCH(N330, TextTables!A:A, 0)), "Y", "N"))</f>
        <v>Y</v>
      </c>
      <c r="AA330" s="101" t="str">
        <f>IF(ISNUMBER(MATCH(F330, '[1]Can Matrix'!M:M, 0)), "Y", "N")</f>
        <v>Y</v>
      </c>
    </row>
    <row r="331" spans="1:27" ht="16.8">
      <c r="A331" s="17"/>
      <c r="B331" s="17"/>
      <c r="C331" s="17"/>
      <c r="D331" s="17" t="s">
        <v>143</v>
      </c>
      <c r="E331" s="17"/>
      <c r="F331" s="17" t="s">
        <v>6167</v>
      </c>
      <c r="G331" s="17" t="s">
        <v>6167</v>
      </c>
      <c r="H331" s="17"/>
      <c r="I331" s="97">
        <f>VLOOKUP(F331, '[1]Can Matrix'!$M:$X, 2, FALSE)</f>
        <v>1</v>
      </c>
      <c r="J331" s="17" t="str">
        <f t="shared" si="5"/>
        <v>uint8</v>
      </c>
      <c r="K331" s="17"/>
      <c r="L331" s="17"/>
      <c r="M331" s="100" t="str">
        <f>'[1]Can Matrix'!$R$2</f>
        <v>Unsigned</v>
      </c>
      <c r="N331" s="101" t="str">
        <f>IFERROR(IF(VLOOKUP(F331, '[1]Can Matrix'!$M:$X, 12, FALSE)=0, "", "TMS_Enum_" &amp; VLOOKUP(F331, '[1]Can Matrix'!$M:$X, 12, FALSE)), "")</f>
        <v>TMS_Enum_Flt</v>
      </c>
      <c r="O331" s="17"/>
      <c r="P331" s="17"/>
      <c r="Q331" s="17"/>
      <c r="R331" s="17"/>
      <c r="S331" s="17"/>
      <c r="T331" s="17"/>
      <c r="U331" s="17"/>
      <c r="V331" s="17"/>
      <c r="W331" s="17"/>
      <c r="X331" s="103"/>
      <c r="Y331" s="17"/>
      <c r="Z331" s="101" t="str">
        <f>IF(N331="", "", IF(ISNUMBER(MATCH(N331, TextTables!A:A, 0)), "Y", "N"))</f>
        <v>Y</v>
      </c>
      <c r="AA331" s="101" t="str">
        <f>IF(ISNUMBER(MATCH(F331, '[1]Can Matrix'!M:M, 0)), "Y", "N")</f>
        <v>Y</v>
      </c>
    </row>
    <row r="332" spans="1:27" ht="16.8">
      <c r="A332" s="17"/>
      <c r="B332" s="17"/>
      <c r="C332" s="17"/>
      <c r="D332" s="17" t="s">
        <v>143</v>
      </c>
      <c r="E332" s="17"/>
      <c r="F332" s="17" t="s">
        <v>6168</v>
      </c>
      <c r="G332" s="17" t="s">
        <v>6168</v>
      </c>
      <c r="H332" s="17"/>
      <c r="I332" s="97">
        <f>VLOOKUP(F332, '[1]Can Matrix'!$M:$X, 2, FALSE)</f>
        <v>8</v>
      </c>
      <c r="J332" s="17" t="str">
        <f t="shared" si="5"/>
        <v>uint8</v>
      </c>
      <c r="K332" s="17"/>
      <c r="L332" s="17"/>
      <c r="M332" s="100" t="str">
        <f>'[1]Can Matrix'!$R$2</f>
        <v>Unsigned</v>
      </c>
      <c r="N332" s="101" t="str">
        <f>IFERROR(IF(VLOOKUP(F332, '[1]Can Matrix'!$M:$X, 12, FALSE)=0, "", "TMS_Enum_" &amp; VLOOKUP(F332, '[1]Can Matrix'!$M:$X, 12, FALSE)), "")</f>
        <v/>
      </c>
      <c r="O332" s="17"/>
      <c r="P332" s="17"/>
      <c r="Q332" s="17"/>
      <c r="R332" s="17"/>
      <c r="S332" s="17"/>
      <c r="T332" s="17"/>
      <c r="U332" s="17"/>
      <c r="V332" s="17"/>
      <c r="W332" s="17"/>
      <c r="X332" s="103"/>
      <c r="Y332" s="17"/>
      <c r="Z332" s="101" t="str">
        <f>IF(N332="", "", IF(ISNUMBER(MATCH(N332, TextTables!A:A, 0)), "Y", "N"))</f>
        <v/>
      </c>
      <c r="AA332" s="101" t="str">
        <f>IF(ISNUMBER(MATCH(F332, '[1]Can Matrix'!M:M, 0)), "Y", "N")</f>
        <v>Y</v>
      </c>
    </row>
    <row r="333" spans="1:27" ht="16.8">
      <c r="A333" s="17"/>
      <c r="B333" s="17"/>
      <c r="C333" s="17"/>
      <c r="D333" s="17" t="s">
        <v>143</v>
      </c>
      <c r="E333" s="17"/>
      <c r="F333" s="17" t="s">
        <v>6169</v>
      </c>
      <c r="G333" s="17" t="s">
        <v>6169</v>
      </c>
      <c r="H333" s="17"/>
      <c r="I333" s="97">
        <f>VLOOKUP(F333, '[1]Can Matrix'!$M:$X, 2, FALSE)</f>
        <v>2</v>
      </c>
      <c r="J333" s="17" t="str">
        <f t="shared" si="5"/>
        <v>uint8</v>
      </c>
      <c r="K333" s="17"/>
      <c r="L333" s="17"/>
      <c r="M333" s="100" t="str">
        <f>'[1]Can Matrix'!$R$2</f>
        <v>Unsigned</v>
      </c>
      <c r="N333" s="101" t="str">
        <f>IFERROR(IF(VLOOKUP(F333, '[1]Can Matrix'!$M:$X, 12, FALSE)=0, "", "TMS_Enum_" &amp; VLOOKUP(F333, '[1]Can Matrix'!$M:$X, 12, FALSE)), "")</f>
        <v>TMS_Enum_CmprRunReq</v>
      </c>
      <c r="O333" s="17"/>
      <c r="P333" s="17"/>
      <c r="Q333" s="17"/>
      <c r="R333" s="17"/>
      <c r="S333" s="17"/>
      <c r="T333" s="17"/>
      <c r="U333" s="17"/>
      <c r="V333" s="17"/>
      <c r="W333" s="17"/>
      <c r="X333" s="103"/>
      <c r="Y333" s="17"/>
      <c r="Z333" s="101" t="str">
        <f>IF(N333="", "", IF(ISNUMBER(MATCH(N333, TextTables!A:A, 0)), "Y", "N"))</f>
        <v>Y</v>
      </c>
      <c r="AA333" s="101" t="str">
        <f>IF(ISNUMBER(MATCH(F333, '[1]Can Matrix'!M:M, 0)), "Y", "N")</f>
        <v>Y</v>
      </c>
    </row>
    <row r="334" spans="1:27" ht="16.8">
      <c r="A334" s="17"/>
      <c r="B334" s="17"/>
      <c r="C334" s="17"/>
      <c r="D334" s="17" t="s">
        <v>143</v>
      </c>
      <c r="E334" s="17"/>
      <c r="F334" s="17" t="s">
        <v>6170</v>
      </c>
      <c r="G334" s="17" t="s">
        <v>6170</v>
      </c>
      <c r="H334" s="17"/>
      <c r="I334" s="97">
        <f>VLOOKUP(F334, '[1]Can Matrix'!$M:$X, 2, FALSE)</f>
        <v>8</v>
      </c>
      <c r="J334" s="17" t="str">
        <f t="shared" si="5"/>
        <v>uint8</v>
      </c>
      <c r="K334" s="17"/>
      <c r="L334" s="17"/>
      <c r="M334" s="100" t="str">
        <f>'[1]Can Matrix'!$R$2</f>
        <v>Unsigned</v>
      </c>
      <c r="N334" s="101" t="str">
        <f>IFERROR(IF(VLOOKUP(F334, '[1]Can Matrix'!$M:$X, 12, FALSE)=0, "", "TMS_Enum_" &amp; VLOOKUP(F334, '[1]Can Matrix'!$M:$X, 12, FALSE)), "")</f>
        <v/>
      </c>
      <c r="O334" s="17"/>
      <c r="P334" s="17"/>
      <c r="Q334" s="17"/>
      <c r="R334" s="17"/>
      <c r="S334" s="17"/>
      <c r="T334" s="17"/>
      <c r="U334" s="17"/>
      <c r="V334" s="17"/>
      <c r="W334" s="17"/>
      <c r="X334" s="103"/>
      <c r="Y334" s="17"/>
      <c r="Z334" s="101" t="str">
        <f>IF(N334="", "", IF(ISNUMBER(MATCH(N334, TextTables!A:A, 0)), "Y", "N"))</f>
        <v/>
      </c>
      <c r="AA334" s="101" t="str">
        <f>IF(ISNUMBER(MATCH(F334, '[1]Can Matrix'!M:M, 0)), "Y", "N")</f>
        <v>Y</v>
      </c>
    </row>
    <row r="335" spans="1:27" ht="16.8">
      <c r="A335" s="17"/>
      <c r="B335" s="17"/>
      <c r="C335" s="17"/>
      <c r="D335" s="17" t="s">
        <v>143</v>
      </c>
      <c r="E335" s="17"/>
      <c r="F335" s="17" t="s">
        <v>6171</v>
      </c>
      <c r="G335" s="17" t="s">
        <v>6171</v>
      </c>
      <c r="H335" s="17"/>
      <c r="I335" s="97">
        <f>VLOOKUP(F335, '[1]Can Matrix'!$M:$X, 2, FALSE)</f>
        <v>1</v>
      </c>
      <c r="J335" s="17" t="str">
        <f t="shared" si="5"/>
        <v>uint8</v>
      </c>
      <c r="K335" s="17"/>
      <c r="L335" s="17"/>
      <c r="M335" s="100" t="str">
        <f>'[1]Can Matrix'!$R$2</f>
        <v>Unsigned</v>
      </c>
      <c r="N335" s="101" t="str">
        <f>IFERROR(IF(VLOOKUP(F335, '[1]Can Matrix'!$M:$X, 12, FALSE)=0, "", "TMS_Enum_" &amp; VLOOKUP(F335, '[1]Can Matrix'!$M:$X, 12, FALSE)), "")</f>
        <v>TMS_Enum_Flt</v>
      </c>
      <c r="O335" s="17"/>
      <c r="P335" s="17"/>
      <c r="Q335" s="17"/>
      <c r="R335" s="17"/>
      <c r="S335" s="17"/>
      <c r="T335" s="17"/>
      <c r="U335" s="17"/>
      <c r="V335" s="17"/>
      <c r="W335" s="17"/>
      <c r="X335" s="103"/>
      <c r="Y335" s="17"/>
      <c r="Z335" s="101" t="str">
        <f>IF(N335="", "", IF(ISNUMBER(MATCH(N335, TextTables!A:A, 0)), "Y", "N"))</f>
        <v>Y</v>
      </c>
      <c r="AA335" s="101" t="str">
        <f>IF(ISNUMBER(MATCH(F335, '[1]Can Matrix'!M:M, 0)), "Y", "N")</f>
        <v>Y</v>
      </c>
    </row>
    <row r="336" spans="1:27" ht="16.8">
      <c r="A336" s="17"/>
      <c r="B336" s="17"/>
      <c r="C336" s="17"/>
      <c r="D336" s="17" t="s">
        <v>143</v>
      </c>
      <c r="E336" s="17"/>
      <c r="F336" s="17" t="s">
        <v>6172</v>
      </c>
      <c r="G336" s="17" t="s">
        <v>6172</v>
      </c>
      <c r="H336" s="17"/>
      <c r="I336" s="97">
        <f>VLOOKUP(F336, '[1]Can Matrix'!$M:$X, 2, FALSE)</f>
        <v>1</v>
      </c>
      <c r="J336" s="17" t="str">
        <f t="shared" si="5"/>
        <v>uint8</v>
      </c>
      <c r="K336" s="17"/>
      <c r="L336" s="17"/>
      <c r="M336" s="100" t="str">
        <f>'[1]Can Matrix'!$R$2</f>
        <v>Unsigned</v>
      </c>
      <c r="N336" s="101" t="str">
        <f>IFERROR(IF(VLOOKUP(F336, '[1]Can Matrix'!$M:$X, 12, FALSE)=0, "", "TMS_Enum_" &amp; VLOOKUP(F336, '[1]Can Matrix'!$M:$X, 12, FALSE)), "")</f>
        <v>TMS_Enum_Validity</v>
      </c>
      <c r="O336" s="17"/>
      <c r="P336" s="17"/>
      <c r="Q336" s="17"/>
      <c r="R336" s="17"/>
      <c r="S336" s="17"/>
      <c r="T336" s="17"/>
      <c r="U336" s="17"/>
      <c r="V336" s="17"/>
      <c r="W336" s="17"/>
      <c r="X336" s="103"/>
      <c r="Y336" s="17"/>
      <c r="Z336" s="101" t="str">
        <f>IF(N336="", "", IF(ISNUMBER(MATCH(N336, TextTables!A:A, 0)), "Y", "N"))</f>
        <v>Y</v>
      </c>
      <c r="AA336" s="101" t="str">
        <f>IF(ISNUMBER(MATCH(F336, '[1]Can Matrix'!M:M, 0)), "Y", "N")</f>
        <v>Y</v>
      </c>
    </row>
    <row r="337" spans="1:27" ht="16.8">
      <c r="A337" s="17"/>
      <c r="B337" s="17"/>
      <c r="C337" s="17"/>
      <c r="D337" s="17" t="s">
        <v>143</v>
      </c>
      <c r="E337" s="17"/>
      <c r="F337" s="17" t="s">
        <v>6173</v>
      </c>
      <c r="G337" s="17" t="s">
        <v>6173</v>
      </c>
      <c r="H337" s="17"/>
      <c r="I337" s="97">
        <f>VLOOKUP(F337, '[1]Can Matrix'!$M:$X, 2, FALSE)</f>
        <v>10</v>
      </c>
      <c r="J337" s="17" t="str">
        <f t="shared" si="5"/>
        <v>uint16</v>
      </c>
      <c r="K337" s="17"/>
      <c r="L337" s="17"/>
      <c r="M337" s="100" t="str">
        <f>'[1]Can Matrix'!$R$2</f>
        <v>Unsigned</v>
      </c>
      <c r="N337" s="101" t="str">
        <f>IFERROR(IF(VLOOKUP(F337, '[1]Can Matrix'!$M:$X, 12, FALSE)=0, "", "TMS_Enum_" &amp; VLOOKUP(F337, '[1]Can Matrix'!$M:$X, 12, FALSE)), "")</f>
        <v/>
      </c>
      <c r="O337" s="17"/>
      <c r="P337" s="17"/>
      <c r="Q337" s="17"/>
      <c r="R337" s="17"/>
      <c r="S337" s="17"/>
      <c r="T337" s="17"/>
      <c r="U337" s="17"/>
      <c r="V337" s="17"/>
      <c r="W337" s="17"/>
      <c r="X337" s="103"/>
      <c r="Y337" s="17"/>
      <c r="Z337" s="101" t="str">
        <f>IF(N337="", "", IF(ISNUMBER(MATCH(N337, TextTables!A:A, 0)), "Y", "N"))</f>
        <v/>
      </c>
      <c r="AA337" s="101" t="str">
        <f>IF(ISNUMBER(MATCH(F337, '[1]Can Matrix'!M:M, 0)), "Y", "N")</f>
        <v>Y</v>
      </c>
    </row>
    <row r="338" spans="1:27" ht="16.8">
      <c r="A338" s="17"/>
      <c r="B338" s="17"/>
      <c r="C338" s="17"/>
      <c r="D338" s="17" t="s">
        <v>143</v>
      </c>
      <c r="E338" s="17"/>
      <c r="F338" s="17" t="s">
        <v>6174</v>
      </c>
      <c r="G338" s="17" t="s">
        <v>6174</v>
      </c>
      <c r="H338" s="17"/>
      <c r="I338" s="97">
        <f>VLOOKUP(F338, '[1]Can Matrix'!$M:$X, 2, FALSE)</f>
        <v>2</v>
      </c>
      <c r="J338" s="17" t="str">
        <f t="shared" si="5"/>
        <v>uint8</v>
      </c>
      <c r="K338" s="17"/>
      <c r="L338" s="17"/>
      <c r="M338" s="100" t="str">
        <f>'[1]Can Matrix'!$R$2</f>
        <v>Unsigned</v>
      </c>
      <c r="N338" s="101" t="str">
        <f>IFERROR(IF(VLOOKUP(F338, '[1]Can Matrix'!$M:$X, 12, FALSE)=0, "", "TMS_Enum_" &amp; VLOOKUP(F338, '[1]Can Matrix'!$M:$X, 12, FALSE)), "")</f>
        <v>TMS_Enum_ActiveSaveReq</v>
      </c>
      <c r="O338" s="17"/>
      <c r="P338" s="17"/>
      <c r="Q338" s="17"/>
      <c r="R338" s="17"/>
      <c r="S338" s="17"/>
      <c r="T338" s="17"/>
      <c r="U338" s="17"/>
      <c r="V338" s="17"/>
      <c r="W338" s="17"/>
      <c r="X338" s="103"/>
      <c r="Y338" s="17"/>
      <c r="Z338" s="101" t="str">
        <f>IF(N338="", "", IF(ISNUMBER(MATCH(N338, TextTables!A:A, 0)), "Y", "N"))</f>
        <v>Y</v>
      </c>
      <c r="AA338" s="101" t="str">
        <f>IF(ISNUMBER(MATCH(F338, '[1]Can Matrix'!M:M, 0)), "Y", "N")</f>
        <v>Y</v>
      </c>
    </row>
    <row r="339" spans="1:27" ht="16.8">
      <c r="A339" s="17"/>
      <c r="B339" s="17"/>
      <c r="C339" s="17"/>
      <c r="D339" s="17" t="s">
        <v>143</v>
      </c>
      <c r="E339" s="17"/>
      <c r="F339" s="17" t="s">
        <v>6175</v>
      </c>
      <c r="G339" s="17" t="s">
        <v>6175</v>
      </c>
      <c r="H339" s="17"/>
      <c r="I339" s="97">
        <f>VLOOKUP(F339, '[1]Can Matrix'!$M:$X, 2, FALSE)</f>
        <v>4</v>
      </c>
      <c r="J339" s="17" t="str">
        <f t="shared" si="5"/>
        <v>uint8</v>
      </c>
      <c r="K339" s="17"/>
      <c r="L339" s="17"/>
      <c r="M339" s="100" t="str">
        <f>'[1]Can Matrix'!$R$2</f>
        <v>Unsigned</v>
      </c>
      <c r="N339" s="101" t="str">
        <f>IFERROR(IF(VLOOKUP(F339, '[1]Can Matrix'!$M:$X, 12, FALSE)=0, "", "TMS_Enum_" &amp; VLOOKUP(F339, '[1]Can Matrix'!$M:$X, 12, FALSE)), "")</f>
        <v>TMS_Enum_FaultSts</v>
      </c>
      <c r="O339" s="17"/>
      <c r="P339" s="17"/>
      <c r="Q339" s="17"/>
      <c r="R339" s="17"/>
      <c r="S339" s="17"/>
      <c r="T339" s="17"/>
      <c r="U339" s="17"/>
      <c r="V339" s="17"/>
      <c r="W339" s="17"/>
      <c r="X339" s="103"/>
      <c r="Y339" s="17"/>
      <c r="Z339" s="101" t="str">
        <f>IF(N339="", "", IF(ISNUMBER(MATCH(N339, TextTables!A:A, 0)), "Y", "N"))</f>
        <v>Y</v>
      </c>
      <c r="AA339" s="101" t="str">
        <f>IF(ISNUMBER(MATCH(F339, '[1]Can Matrix'!M:M, 0)), "Y", "N")</f>
        <v>Y</v>
      </c>
    </row>
    <row r="340" spans="1:27" ht="16.8">
      <c r="A340" s="17"/>
      <c r="B340" s="17"/>
      <c r="C340" s="17"/>
      <c r="D340" s="17" t="s">
        <v>143</v>
      </c>
      <c r="E340" s="17"/>
      <c r="F340" s="17" t="s">
        <v>6176</v>
      </c>
      <c r="G340" s="17" t="s">
        <v>6176</v>
      </c>
      <c r="H340" s="17"/>
      <c r="I340" s="97">
        <f>VLOOKUP(F340, '[1]Can Matrix'!$M:$X, 2, FALSE)</f>
        <v>4</v>
      </c>
      <c r="J340" s="17" t="str">
        <f t="shared" si="5"/>
        <v>uint8</v>
      </c>
      <c r="K340" s="17"/>
      <c r="L340" s="17"/>
      <c r="M340" s="100" t="str">
        <f>'[1]Can Matrix'!$R$2</f>
        <v>Unsigned</v>
      </c>
      <c r="N340" s="101" t="str">
        <f>IFERROR(IF(VLOOKUP(F340, '[1]Can Matrix'!$M:$X, 12, FALSE)=0, "", "TMS_Enum_" &amp; VLOOKUP(F340, '[1]Can Matrix'!$M:$X, 12, FALSE)), "")</f>
        <v>TMS_Enum_VlvMode</v>
      </c>
      <c r="O340" s="17"/>
      <c r="P340" s="17"/>
      <c r="Q340" s="17"/>
      <c r="R340" s="17"/>
      <c r="S340" s="17"/>
      <c r="T340" s="17"/>
      <c r="U340" s="17"/>
      <c r="V340" s="17"/>
      <c r="W340" s="17"/>
      <c r="X340" s="103"/>
      <c r="Y340" s="17"/>
      <c r="Z340" s="101" t="str">
        <f>IF(N340="", "", IF(ISNUMBER(MATCH(N340, TextTables!A:A, 0)), "Y", "N"))</f>
        <v>Y</v>
      </c>
      <c r="AA340" s="101" t="str">
        <f>IF(ISNUMBER(MATCH(F340, '[1]Can Matrix'!M:M, 0)), "Y", "N")</f>
        <v>Y</v>
      </c>
    </row>
    <row r="341" spans="1:27" ht="16.8">
      <c r="A341" s="17"/>
      <c r="B341" s="17"/>
      <c r="C341" s="17"/>
      <c r="D341" s="17" t="s">
        <v>143</v>
      </c>
      <c r="E341" s="17"/>
      <c r="F341" s="17" t="s">
        <v>6177</v>
      </c>
      <c r="G341" s="17" t="s">
        <v>6177</v>
      </c>
      <c r="H341" s="17"/>
      <c r="I341" s="97">
        <f>VLOOKUP(F341, '[1]Can Matrix'!$M:$X, 2, FALSE)</f>
        <v>10</v>
      </c>
      <c r="J341" s="17" t="str">
        <f t="shared" si="5"/>
        <v>uint16</v>
      </c>
      <c r="K341" s="17"/>
      <c r="L341" s="17"/>
      <c r="M341" s="100" t="str">
        <f>'[1]Can Matrix'!$R$2</f>
        <v>Unsigned</v>
      </c>
      <c r="N341" s="101" t="str">
        <f>IFERROR(IF(VLOOKUP(F341, '[1]Can Matrix'!$M:$X, 12, FALSE)=0, "", "TMS_Enum_" &amp; VLOOKUP(F341, '[1]Can Matrix'!$M:$X, 12, FALSE)), "")</f>
        <v/>
      </c>
      <c r="O341" s="17"/>
      <c r="P341" s="17"/>
      <c r="Q341" s="17"/>
      <c r="R341" s="17"/>
      <c r="S341" s="17"/>
      <c r="T341" s="17"/>
      <c r="U341" s="17"/>
      <c r="V341" s="17"/>
      <c r="W341" s="17"/>
      <c r="X341" s="103"/>
      <c r="Y341" s="17"/>
      <c r="Z341" s="101" t="str">
        <f>IF(N341="", "", IF(ISNUMBER(MATCH(N341, TextTables!A:A, 0)), "Y", "N"))</f>
        <v/>
      </c>
      <c r="AA341" s="101" t="str">
        <f>IF(ISNUMBER(MATCH(F341, '[1]Can Matrix'!M:M, 0)), "Y", "N")</f>
        <v>Y</v>
      </c>
    </row>
    <row r="342" spans="1:27" ht="16.8">
      <c r="A342" s="17"/>
      <c r="B342" s="17"/>
      <c r="C342" s="17"/>
      <c r="D342" s="17" t="s">
        <v>143</v>
      </c>
      <c r="E342" s="17"/>
      <c r="F342" s="17" t="s">
        <v>6178</v>
      </c>
      <c r="G342" s="17" t="s">
        <v>6178</v>
      </c>
      <c r="H342" s="17"/>
      <c r="I342" s="97">
        <f>VLOOKUP(F342, '[1]Can Matrix'!$M:$X, 2, FALSE)</f>
        <v>8</v>
      </c>
      <c r="J342" s="17" t="str">
        <f t="shared" si="5"/>
        <v>uint8</v>
      </c>
      <c r="K342" s="17"/>
      <c r="L342" s="17"/>
      <c r="M342" s="100" t="str">
        <f>'[1]Can Matrix'!$R$2</f>
        <v>Unsigned</v>
      </c>
      <c r="N342" s="101" t="str">
        <f>IFERROR(IF(VLOOKUP(F342, '[1]Can Matrix'!$M:$X, 12, FALSE)=0, "", "TMS_Enum_" &amp; VLOOKUP(F342, '[1]Can Matrix'!$M:$X, 12, FALSE)), "")</f>
        <v/>
      </c>
      <c r="O342" s="17"/>
      <c r="P342" s="17"/>
      <c r="Q342" s="17"/>
      <c r="R342" s="17"/>
      <c r="S342" s="17"/>
      <c r="T342" s="17"/>
      <c r="U342" s="17"/>
      <c r="V342" s="17"/>
      <c r="W342" s="17"/>
      <c r="X342" s="103"/>
      <c r="Y342" s="17"/>
      <c r="Z342" s="101" t="str">
        <f>IF(N342="", "", IF(ISNUMBER(MATCH(N342, TextTables!A:A, 0)), "Y", "N"))</f>
        <v/>
      </c>
      <c r="AA342" s="101" t="str">
        <f>IF(ISNUMBER(MATCH(F342, '[1]Can Matrix'!M:M, 0)), "Y", "N")</f>
        <v>Y</v>
      </c>
    </row>
    <row r="343" spans="1:27" ht="16.8">
      <c r="A343" s="17"/>
      <c r="B343" s="17"/>
      <c r="C343" s="17"/>
      <c r="D343" s="17" t="s">
        <v>143</v>
      </c>
      <c r="E343" s="17"/>
      <c r="F343" s="17" t="s">
        <v>6179</v>
      </c>
      <c r="G343" s="17" t="s">
        <v>6179</v>
      </c>
      <c r="H343" s="17"/>
      <c r="I343" s="97">
        <f>VLOOKUP(F343, '[1]Can Matrix'!$M:$X, 2, FALSE)</f>
        <v>2</v>
      </c>
      <c r="J343" s="17" t="str">
        <f t="shared" si="5"/>
        <v>uint8</v>
      </c>
      <c r="K343" s="17"/>
      <c r="L343" s="17"/>
      <c r="M343" s="100" t="str">
        <f>'[1]Can Matrix'!$R$2</f>
        <v>Unsigned</v>
      </c>
      <c r="N343" s="101" t="str">
        <f>IFERROR(IF(VLOOKUP(F343, '[1]Can Matrix'!$M:$X, 12, FALSE)=0, "", "TMS_Enum_" &amp; VLOOKUP(F343, '[1]Can Matrix'!$M:$X, 12, FALSE)), "")</f>
        <v>TMS_Enum_RefDrvReq</v>
      </c>
      <c r="O343" s="17"/>
      <c r="P343" s="17"/>
      <c r="Q343" s="17"/>
      <c r="R343" s="17"/>
      <c r="S343" s="17"/>
      <c r="T343" s="17"/>
      <c r="U343" s="17"/>
      <c r="V343" s="17"/>
      <c r="W343" s="17"/>
      <c r="X343" s="103"/>
      <c r="Y343" s="17"/>
      <c r="Z343" s="101" t="str">
        <f>IF(N343="", "", IF(ISNUMBER(MATCH(N343, TextTables!A:A, 0)), "Y", "N"))</f>
        <v>Y</v>
      </c>
      <c r="AA343" s="101" t="str">
        <f>IF(ISNUMBER(MATCH(F343, '[1]Can Matrix'!M:M, 0)), "Y", "N")</f>
        <v>Y</v>
      </c>
    </row>
    <row r="344" spans="1:27" ht="16.8">
      <c r="A344" s="17"/>
      <c r="B344" s="17"/>
      <c r="C344" s="17"/>
      <c r="D344" s="17" t="s">
        <v>143</v>
      </c>
      <c r="E344" s="17"/>
      <c r="F344" s="17" t="s">
        <v>6180</v>
      </c>
      <c r="G344" s="17" t="s">
        <v>6180</v>
      </c>
      <c r="H344" s="17"/>
      <c r="I344" s="97">
        <f>VLOOKUP(F344, '[1]Can Matrix'!$M:$X, 2, FALSE)</f>
        <v>1</v>
      </c>
      <c r="J344" s="17" t="str">
        <f t="shared" si="5"/>
        <v>uint8</v>
      </c>
      <c r="K344" s="17"/>
      <c r="L344" s="17"/>
      <c r="M344" s="100" t="str">
        <f>'[1]Can Matrix'!$R$2</f>
        <v>Unsigned</v>
      </c>
      <c r="N344" s="101" t="str">
        <f>IFERROR(IF(VLOOKUP(F344, '[1]Can Matrix'!$M:$X, 12, FALSE)=0, "", "TMS_Enum_" &amp; VLOOKUP(F344, '[1]Can Matrix'!$M:$X, 12, FALSE)), "")</f>
        <v>TMS_Enum_VlvRunSts</v>
      </c>
      <c r="O344" s="17"/>
      <c r="P344" s="17"/>
      <c r="Q344" s="17"/>
      <c r="R344" s="17"/>
      <c r="S344" s="17"/>
      <c r="T344" s="17"/>
      <c r="U344" s="17"/>
      <c r="V344" s="17"/>
      <c r="W344" s="17"/>
      <c r="X344" s="103"/>
      <c r="Y344" s="17"/>
      <c r="Z344" s="101" t="str">
        <f>IF(N344="", "", IF(ISNUMBER(MATCH(N344, TextTables!A:A, 0)), "Y", "N"))</f>
        <v>Y</v>
      </c>
      <c r="AA344" s="101" t="str">
        <f>IF(ISNUMBER(MATCH(F344, '[1]Can Matrix'!M:M, 0)), "Y", "N")</f>
        <v>Y</v>
      </c>
    </row>
    <row r="345" spans="1:27" ht="16.8">
      <c r="A345" s="17"/>
      <c r="B345" s="17"/>
      <c r="C345" s="17"/>
      <c r="D345" s="17" t="s">
        <v>143</v>
      </c>
      <c r="E345" s="17"/>
      <c r="F345" s="17" t="s">
        <v>6181</v>
      </c>
      <c r="G345" s="17" t="s">
        <v>6181</v>
      </c>
      <c r="H345" s="17"/>
      <c r="I345" s="97">
        <f>VLOOKUP(F345, '[1]Can Matrix'!$M:$X, 2, FALSE)</f>
        <v>2</v>
      </c>
      <c r="J345" s="17" t="str">
        <f t="shared" si="5"/>
        <v>uint8</v>
      </c>
      <c r="K345" s="17"/>
      <c r="L345" s="17"/>
      <c r="M345" s="100" t="str">
        <f>'[1]Can Matrix'!$R$2</f>
        <v>Unsigned</v>
      </c>
      <c r="N345" s="101" t="str">
        <f>IFERROR(IF(VLOOKUP(F345, '[1]Can Matrix'!$M:$X, 12, FALSE)=0, "", "TMS_Enum_" &amp; VLOOKUP(F345, '[1]Can Matrix'!$M:$X, 12, FALSE)), "")</f>
        <v>TMS_Enum_SpeedLvl</v>
      </c>
      <c r="O345" s="17"/>
      <c r="P345" s="17"/>
      <c r="Q345" s="17"/>
      <c r="R345" s="17"/>
      <c r="S345" s="17"/>
      <c r="T345" s="17"/>
      <c r="U345" s="17"/>
      <c r="V345" s="17"/>
      <c r="W345" s="17"/>
      <c r="X345" s="103"/>
      <c r="Y345" s="17"/>
      <c r="Z345" s="101" t="str">
        <f>IF(N345="", "", IF(ISNUMBER(MATCH(N345, TextTables!A:A, 0)), "Y", "N"))</f>
        <v>Y</v>
      </c>
      <c r="AA345" s="101" t="str">
        <f>IF(ISNUMBER(MATCH(F345, '[1]Can Matrix'!M:M, 0)), "Y", "N")</f>
        <v>Y</v>
      </c>
    </row>
    <row r="346" spans="1:27" ht="16.8">
      <c r="A346" s="17"/>
      <c r="B346" s="17"/>
      <c r="C346" s="17"/>
      <c r="D346" s="17" t="s">
        <v>143</v>
      </c>
      <c r="E346" s="17"/>
      <c r="F346" s="17" t="s">
        <v>6182</v>
      </c>
      <c r="G346" s="17" t="s">
        <v>6182</v>
      </c>
      <c r="H346" s="17"/>
      <c r="I346" s="97">
        <f>VLOOKUP(F346, '[1]Can Matrix'!$M:$X, 2, FALSE)</f>
        <v>2</v>
      </c>
      <c r="J346" s="17" t="str">
        <f t="shared" si="5"/>
        <v>uint8</v>
      </c>
      <c r="K346" s="17"/>
      <c r="L346" s="17"/>
      <c r="M346" s="100" t="str">
        <f>'[1]Can Matrix'!$R$2</f>
        <v>Unsigned</v>
      </c>
      <c r="N346" s="101" t="str">
        <f>IFERROR(IF(VLOOKUP(F346, '[1]Can Matrix'!$M:$X, 12, FALSE)=0, "", "TMS_Enum_" &amp; VLOOKUP(F346, '[1]Can Matrix'!$M:$X, 12, FALSE)), "")</f>
        <v>TMS_Enum_SpdLvlReq</v>
      </c>
      <c r="O346" s="17"/>
      <c r="P346" s="17"/>
      <c r="Q346" s="17"/>
      <c r="R346" s="17"/>
      <c r="S346" s="17"/>
      <c r="T346" s="17"/>
      <c r="U346" s="17"/>
      <c r="V346" s="17"/>
      <c r="W346" s="17"/>
      <c r="X346" s="103"/>
      <c r="Y346" s="17"/>
      <c r="Z346" s="101" t="str">
        <f>IF(N346="", "", IF(ISNUMBER(MATCH(N346, TextTables!A:A, 0)), "Y", "N"))</f>
        <v>Y</v>
      </c>
      <c r="AA346" s="101" t="str">
        <f>IF(ISNUMBER(MATCH(F346, '[1]Can Matrix'!M:M, 0)), "Y", "N")</f>
        <v>Y</v>
      </c>
    </row>
    <row r="347" spans="1:27" ht="16.8">
      <c r="A347" s="17"/>
      <c r="B347" s="17"/>
      <c r="C347" s="17"/>
      <c r="D347" s="17" t="s">
        <v>143</v>
      </c>
      <c r="E347" s="17"/>
      <c r="F347" s="17" t="s">
        <v>6183</v>
      </c>
      <c r="G347" s="17" t="s">
        <v>6183</v>
      </c>
      <c r="H347" s="17"/>
      <c r="I347" s="97">
        <f>VLOOKUP(F347, '[1]Can Matrix'!$M:$X, 2, FALSE)</f>
        <v>3</v>
      </c>
      <c r="J347" s="17" t="str">
        <f t="shared" si="5"/>
        <v>uint8</v>
      </c>
      <c r="K347" s="17"/>
      <c r="L347" s="17"/>
      <c r="M347" s="100" t="str">
        <f>'[1]Can Matrix'!$R$2</f>
        <v>Unsigned</v>
      </c>
      <c r="N347" s="101" t="str">
        <f>IFERROR(IF(VLOOKUP(F347, '[1]Can Matrix'!$M:$X, 12, FALSE)=0, "", "TMS_Enum_" &amp; VLOOKUP(F347, '[1]Can Matrix'!$M:$X, 12, FALSE)), "")</f>
        <v>TMS_Enum_TempSts</v>
      </c>
      <c r="O347" s="17"/>
      <c r="P347" s="17"/>
      <c r="Q347" s="17"/>
      <c r="R347" s="17"/>
      <c r="S347" s="17"/>
      <c r="T347" s="17"/>
      <c r="U347" s="17"/>
      <c r="V347" s="17"/>
      <c r="W347" s="17"/>
      <c r="X347" s="103"/>
      <c r="Y347" s="17"/>
      <c r="Z347" s="101" t="str">
        <f>IF(N347="", "", IF(ISNUMBER(MATCH(N347, TextTables!A:A, 0)), "Y", "N"))</f>
        <v>Y</v>
      </c>
      <c r="AA347" s="101" t="str">
        <f>IF(ISNUMBER(MATCH(F347, '[1]Can Matrix'!M:M, 0)), "Y", "N")</f>
        <v>Y</v>
      </c>
    </row>
    <row r="348" spans="1:27" ht="16.8">
      <c r="A348" s="17"/>
      <c r="B348" s="17"/>
      <c r="C348" s="17"/>
      <c r="D348" s="17" t="s">
        <v>143</v>
      </c>
      <c r="E348" s="17"/>
      <c r="F348" s="17" t="s">
        <v>6184</v>
      </c>
      <c r="G348" s="17" t="s">
        <v>6184</v>
      </c>
      <c r="H348" s="17"/>
      <c r="I348" s="97">
        <f>VLOOKUP(F348, '[1]Can Matrix'!$M:$X, 2, FALSE)</f>
        <v>2</v>
      </c>
      <c r="J348" s="17" t="str">
        <f t="shared" si="5"/>
        <v>uint8</v>
      </c>
      <c r="K348" s="17"/>
      <c r="L348" s="17"/>
      <c r="M348" s="100" t="str">
        <f>'[1]Can Matrix'!$R$2</f>
        <v>Unsigned</v>
      </c>
      <c r="N348" s="101" t="str">
        <f>IFERROR(IF(VLOOKUP(F348, '[1]Can Matrix'!$M:$X, 12, FALSE)=0, "", "TMS_Enum_" &amp; VLOOKUP(F348, '[1]Can Matrix'!$M:$X, 12, FALSE)), "")</f>
        <v>TMS_Enum_VoltSts</v>
      </c>
      <c r="O348" s="17"/>
      <c r="P348" s="17"/>
      <c r="Q348" s="17"/>
      <c r="R348" s="17"/>
      <c r="S348" s="17"/>
      <c r="T348" s="17"/>
      <c r="U348" s="17"/>
      <c r="V348" s="17"/>
      <c r="W348" s="17"/>
      <c r="X348" s="103"/>
      <c r="Y348" s="17"/>
      <c r="Z348" s="101" t="str">
        <f>IF(N348="", "", IF(ISNUMBER(MATCH(N348, TextTables!A:A, 0)), "Y", "N"))</f>
        <v>Y</v>
      </c>
      <c r="AA348" s="101" t="str">
        <f>IF(ISNUMBER(MATCH(F348, '[1]Can Matrix'!M:M, 0)), "Y", "N")</f>
        <v>Y</v>
      </c>
    </row>
    <row r="349" spans="1:27" ht="16.8">
      <c r="A349" s="17"/>
      <c r="B349" s="17"/>
      <c r="C349" s="17"/>
      <c r="D349" s="17" t="s">
        <v>143</v>
      </c>
      <c r="E349" s="17"/>
      <c r="F349" s="17" t="s">
        <v>6185</v>
      </c>
      <c r="G349" s="17" t="s">
        <v>6185</v>
      </c>
      <c r="H349" s="17"/>
      <c r="I349" s="97">
        <f>VLOOKUP(F349, '[1]Can Matrix'!$M:$X, 2, FALSE)</f>
        <v>2</v>
      </c>
      <c r="J349" s="17" t="str">
        <f t="shared" si="5"/>
        <v>uint8</v>
      </c>
      <c r="K349" s="17"/>
      <c r="L349" s="17"/>
      <c r="M349" s="100" t="str">
        <f>'[1]Can Matrix'!$R$2</f>
        <v>Unsigned</v>
      </c>
      <c r="N349" s="101" t="str">
        <f>IFERROR(IF(VLOOKUP(F349, '[1]Can Matrix'!$M:$X, 12, FALSE)=0, "", "TMS_Enum_" &amp; VLOOKUP(F349, '[1]Can Matrix'!$M:$X, 12, FALSE)), "")</f>
        <v>TMS_Enum_ActiveSaveReq</v>
      </c>
      <c r="O349" s="17"/>
      <c r="P349" s="17"/>
      <c r="Q349" s="17"/>
      <c r="R349" s="17"/>
      <c r="S349" s="17"/>
      <c r="T349" s="17"/>
      <c r="U349" s="17"/>
      <c r="V349" s="17"/>
      <c r="W349" s="17"/>
      <c r="X349" s="103"/>
      <c r="Y349" s="17"/>
      <c r="Z349" s="101" t="str">
        <f>IF(N349="", "", IF(ISNUMBER(MATCH(N349, TextTables!A:A, 0)), "Y", "N"))</f>
        <v>Y</v>
      </c>
      <c r="AA349" s="101" t="str">
        <f>IF(ISNUMBER(MATCH(F349, '[1]Can Matrix'!M:M, 0)), "Y", "N")</f>
        <v>Y</v>
      </c>
    </row>
    <row r="350" spans="1:27" ht="16.8">
      <c r="A350" s="17"/>
      <c r="B350" s="17"/>
      <c r="C350" s="17"/>
      <c r="D350" s="17" t="s">
        <v>143</v>
      </c>
      <c r="E350" s="17"/>
      <c r="F350" s="17" t="s">
        <v>6186</v>
      </c>
      <c r="G350" s="17" t="s">
        <v>6186</v>
      </c>
      <c r="H350" s="17"/>
      <c r="I350" s="97">
        <f>VLOOKUP(F350, '[1]Can Matrix'!$M:$X, 2, FALSE)</f>
        <v>4</v>
      </c>
      <c r="J350" s="17" t="str">
        <f t="shared" ref="J350:J413" si="6">IF(I350&lt;=8,"uint8",IF(I350&lt;=16,"uint16","uint32"))</f>
        <v>uint8</v>
      </c>
      <c r="K350" s="17"/>
      <c r="L350" s="17"/>
      <c r="M350" s="100" t="str">
        <f>'[1]Can Matrix'!$R$2</f>
        <v>Unsigned</v>
      </c>
      <c r="N350" s="101" t="str">
        <f>IFERROR(IF(VLOOKUP(F350, '[1]Can Matrix'!$M:$X, 12, FALSE)=0, "", "TMS_Enum_" &amp; VLOOKUP(F350, '[1]Can Matrix'!$M:$X, 12, FALSE)), "")</f>
        <v>TMS_Enum_FaultSts</v>
      </c>
      <c r="O350" s="17"/>
      <c r="P350" s="17"/>
      <c r="Q350" s="17"/>
      <c r="R350" s="17"/>
      <c r="S350" s="17"/>
      <c r="T350" s="17"/>
      <c r="U350" s="17"/>
      <c r="V350" s="17"/>
      <c r="W350" s="17"/>
      <c r="X350" s="103"/>
      <c r="Y350" s="17"/>
      <c r="Z350" s="101" t="str">
        <f>IF(N350="", "", IF(ISNUMBER(MATCH(N350, TextTables!A:A, 0)), "Y", "N"))</f>
        <v>Y</v>
      </c>
      <c r="AA350" s="101" t="str">
        <f>IF(ISNUMBER(MATCH(F350, '[1]Can Matrix'!M:M, 0)), "Y", "N")</f>
        <v>Y</v>
      </c>
    </row>
    <row r="351" spans="1:27" ht="16.8">
      <c r="A351" s="17"/>
      <c r="B351" s="17"/>
      <c r="C351" s="17"/>
      <c r="D351" s="17" t="s">
        <v>143</v>
      </c>
      <c r="E351" s="17"/>
      <c r="F351" s="17" t="s">
        <v>6187</v>
      </c>
      <c r="G351" s="17" t="s">
        <v>6187</v>
      </c>
      <c r="H351" s="17"/>
      <c r="I351" s="97">
        <f>VLOOKUP(F351, '[1]Can Matrix'!$M:$X, 2, FALSE)</f>
        <v>4</v>
      </c>
      <c r="J351" s="17" t="str">
        <f t="shared" si="6"/>
        <v>uint8</v>
      </c>
      <c r="K351" s="17"/>
      <c r="L351" s="17"/>
      <c r="M351" s="100" t="str">
        <f>'[1]Can Matrix'!$R$2</f>
        <v>Unsigned</v>
      </c>
      <c r="N351" s="101" t="str">
        <f>IFERROR(IF(VLOOKUP(F351, '[1]Can Matrix'!$M:$X, 12, FALSE)=0, "", "TMS_Enum_" &amp; VLOOKUP(F351, '[1]Can Matrix'!$M:$X, 12, FALSE)), "")</f>
        <v>TMS_Enum_VlvMode</v>
      </c>
      <c r="O351" s="17"/>
      <c r="P351" s="17"/>
      <c r="Q351" s="17"/>
      <c r="R351" s="17"/>
      <c r="S351" s="17"/>
      <c r="T351" s="17"/>
      <c r="U351" s="17"/>
      <c r="V351" s="17"/>
      <c r="W351" s="17"/>
      <c r="X351" s="103"/>
      <c r="Y351" s="17"/>
      <c r="Z351" s="101" t="str">
        <f>IF(N351="", "", IF(ISNUMBER(MATCH(N351, TextTables!A:A, 0)), "Y", "N"))</f>
        <v>Y</v>
      </c>
      <c r="AA351" s="101" t="str">
        <f>IF(ISNUMBER(MATCH(F351, '[1]Can Matrix'!M:M, 0)), "Y", "N")</f>
        <v>Y</v>
      </c>
    </row>
    <row r="352" spans="1:27" ht="16.8">
      <c r="A352" s="17"/>
      <c r="B352" s="17"/>
      <c r="C352" s="17"/>
      <c r="D352" s="17" t="s">
        <v>143</v>
      </c>
      <c r="E352" s="17"/>
      <c r="F352" s="17" t="s">
        <v>6188</v>
      </c>
      <c r="G352" s="17" t="s">
        <v>6188</v>
      </c>
      <c r="H352" s="17"/>
      <c r="I352" s="97">
        <f>VLOOKUP(F352, '[1]Can Matrix'!$M:$X, 2, FALSE)</f>
        <v>10</v>
      </c>
      <c r="J352" s="17" t="str">
        <f t="shared" si="6"/>
        <v>uint16</v>
      </c>
      <c r="K352" s="17"/>
      <c r="L352" s="17"/>
      <c r="M352" s="100" t="str">
        <f>'[1]Can Matrix'!$R$2</f>
        <v>Unsigned</v>
      </c>
      <c r="N352" s="101" t="str">
        <f>IFERROR(IF(VLOOKUP(F352, '[1]Can Matrix'!$M:$X, 12, FALSE)=0, "", "TMS_Enum_" &amp; VLOOKUP(F352, '[1]Can Matrix'!$M:$X, 12, FALSE)), "")</f>
        <v/>
      </c>
      <c r="O352" s="17"/>
      <c r="P352" s="17"/>
      <c r="Q352" s="17"/>
      <c r="R352" s="17"/>
      <c r="S352" s="17"/>
      <c r="T352" s="17"/>
      <c r="U352" s="17"/>
      <c r="V352" s="17"/>
      <c r="W352" s="17"/>
      <c r="X352" s="103"/>
      <c r="Y352" s="17"/>
      <c r="Z352" s="101" t="str">
        <f>IF(N352="", "", IF(ISNUMBER(MATCH(N352, TextTables!A:A, 0)), "Y", "N"))</f>
        <v/>
      </c>
      <c r="AA352" s="101" t="str">
        <f>IF(ISNUMBER(MATCH(F352, '[1]Can Matrix'!M:M, 0)), "Y", "N")</f>
        <v>Y</v>
      </c>
    </row>
    <row r="353" spans="1:27" ht="16.8">
      <c r="A353" s="17"/>
      <c r="B353" s="17"/>
      <c r="C353" s="17"/>
      <c r="D353" s="17" t="s">
        <v>143</v>
      </c>
      <c r="E353" s="17"/>
      <c r="F353" s="17" t="s">
        <v>6189</v>
      </c>
      <c r="G353" s="17" t="s">
        <v>6189</v>
      </c>
      <c r="H353" s="17"/>
      <c r="I353" s="97">
        <f>VLOOKUP(F353, '[1]Can Matrix'!$M:$X, 2, FALSE)</f>
        <v>8</v>
      </c>
      <c r="J353" s="17" t="str">
        <f t="shared" si="6"/>
        <v>uint8</v>
      </c>
      <c r="K353" s="17"/>
      <c r="L353" s="17"/>
      <c r="M353" s="100" t="str">
        <f>'[1]Can Matrix'!$R$2</f>
        <v>Unsigned</v>
      </c>
      <c r="N353" s="101" t="str">
        <f>IFERROR(IF(VLOOKUP(F353, '[1]Can Matrix'!$M:$X, 12, FALSE)=0, "", "TMS_Enum_" &amp; VLOOKUP(F353, '[1]Can Matrix'!$M:$X, 12, FALSE)), "")</f>
        <v/>
      </c>
      <c r="O353" s="17"/>
      <c r="P353" s="17"/>
      <c r="Q353" s="17"/>
      <c r="R353" s="17"/>
      <c r="S353" s="17"/>
      <c r="T353" s="17"/>
      <c r="U353" s="17"/>
      <c r="V353" s="17"/>
      <c r="W353" s="17"/>
      <c r="X353" s="103"/>
      <c r="Y353" s="17"/>
      <c r="Z353" s="101" t="str">
        <f>IF(N353="", "", IF(ISNUMBER(MATCH(N353, TextTables!A:A, 0)), "Y", "N"))</f>
        <v/>
      </c>
      <c r="AA353" s="101" t="str">
        <f>IF(ISNUMBER(MATCH(F353, '[1]Can Matrix'!M:M, 0)), "Y", "N")</f>
        <v>Y</v>
      </c>
    </row>
    <row r="354" spans="1:27" ht="16.8">
      <c r="A354" s="17"/>
      <c r="B354" s="17"/>
      <c r="C354" s="17"/>
      <c r="D354" s="17" t="s">
        <v>143</v>
      </c>
      <c r="E354" s="17"/>
      <c r="F354" s="17" t="s">
        <v>6190</v>
      </c>
      <c r="G354" s="17" t="s">
        <v>6190</v>
      </c>
      <c r="H354" s="17"/>
      <c r="I354" s="97">
        <f>VLOOKUP(F354, '[1]Can Matrix'!$M:$X, 2, FALSE)</f>
        <v>2</v>
      </c>
      <c r="J354" s="17" t="str">
        <f t="shared" si="6"/>
        <v>uint8</v>
      </c>
      <c r="K354" s="17"/>
      <c r="L354" s="17"/>
      <c r="M354" s="100" t="str">
        <f>'[1]Can Matrix'!$R$2</f>
        <v>Unsigned</v>
      </c>
      <c r="N354" s="101" t="str">
        <f>IFERROR(IF(VLOOKUP(F354, '[1]Can Matrix'!$M:$X, 12, FALSE)=0, "", "TMS_Enum_" &amp; VLOOKUP(F354, '[1]Can Matrix'!$M:$X, 12, FALSE)), "")</f>
        <v>TMS_Enum_RefDrvReq</v>
      </c>
      <c r="O354" s="17"/>
      <c r="P354" s="17"/>
      <c r="Q354" s="17"/>
      <c r="R354" s="17"/>
      <c r="S354" s="17"/>
      <c r="T354" s="17"/>
      <c r="U354" s="17"/>
      <c r="V354" s="17"/>
      <c r="W354" s="17"/>
      <c r="X354" s="103"/>
      <c r="Y354" s="17"/>
      <c r="Z354" s="101" t="str">
        <f>IF(N354="", "", IF(ISNUMBER(MATCH(N354, TextTables!A:A, 0)), "Y", "N"))</f>
        <v>Y</v>
      </c>
      <c r="AA354" s="101" t="str">
        <f>IF(ISNUMBER(MATCH(F354, '[1]Can Matrix'!M:M, 0)), "Y", "N")</f>
        <v>Y</v>
      </c>
    </row>
    <row r="355" spans="1:27" ht="16.8">
      <c r="A355" s="17"/>
      <c r="B355" s="17"/>
      <c r="C355" s="17"/>
      <c r="D355" s="17" t="s">
        <v>143</v>
      </c>
      <c r="E355" s="17"/>
      <c r="F355" s="17" t="s">
        <v>6191</v>
      </c>
      <c r="G355" s="17" t="s">
        <v>6191</v>
      </c>
      <c r="H355" s="17"/>
      <c r="I355" s="97">
        <f>VLOOKUP(F355, '[1]Can Matrix'!$M:$X, 2, FALSE)</f>
        <v>1</v>
      </c>
      <c r="J355" s="17" t="str">
        <f t="shared" si="6"/>
        <v>uint8</v>
      </c>
      <c r="K355" s="17"/>
      <c r="L355" s="17"/>
      <c r="M355" s="100" t="str">
        <f>'[1]Can Matrix'!$R$2</f>
        <v>Unsigned</v>
      </c>
      <c r="N355" s="101" t="str">
        <f>IFERROR(IF(VLOOKUP(F355, '[1]Can Matrix'!$M:$X, 12, FALSE)=0, "", "TMS_Enum_" &amp; VLOOKUP(F355, '[1]Can Matrix'!$M:$X, 12, FALSE)), "")</f>
        <v>TMS_Enum_VlvRunSts</v>
      </c>
      <c r="O355" s="17"/>
      <c r="P355" s="17"/>
      <c r="Q355" s="17"/>
      <c r="R355" s="17"/>
      <c r="S355" s="17"/>
      <c r="T355" s="17"/>
      <c r="U355" s="17"/>
      <c r="V355" s="17"/>
      <c r="W355" s="17"/>
      <c r="X355" s="103"/>
      <c r="Y355" s="17"/>
      <c r="Z355" s="101" t="str">
        <f>IF(N355="", "", IF(ISNUMBER(MATCH(N355, TextTables!A:A, 0)), "Y", "N"))</f>
        <v>Y</v>
      </c>
      <c r="AA355" s="101" t="str">
        <f>IF(ISNUMBER(MATCH(F355, '[1]Can Matrix'!M:M, 0)), "Y", "N")</f>
        <v>Y</v>
      </c>
    </row>
    <row r="356" spans="1:27" ht="16.8">
      <c r="A356" s="17"/>
      <c r="B356" s="17"/>
      <c r="C356" s="17"/>
      <c r="D356" s="17" t="s">
        <v>143</v>
      </c>
      <c r="E356" s="17"/>
      <c r="F356" s="17" t="s">
        <v>6192</v>
      </c>
      <c r="G356" s="17" t="s">
        <v>6192</v>
      </c>
      <c r="H356" s="17"/>
      <c r="I356" s="97">
        <f>VLOOKUP(F356, '[1]Can Matrix'!$M:$X, 2, FALSE)</f>
        <v>2</v>
      </c>
      <c r="J356" s="17" t="str">
        <f t="shared" si="6"/>
        <v>uint8</v>
      </c>
      <c r="K356" s="17"/>
      <c r="L356" s="17"/>
      <c r="M356" s="100" t="str">
        <f>'[1]Can Matrix'!$R$2</f>
        <v>Unsigned</v>
      </c>
      <c r="N356" s="101" t="str">
        <f>IFERROR(IF(VLOOKUP(F356, '[1]Can Matrix'!$M:$X, 12, FALSE)=0, "", "TMS_Enum_" &amp; VLOOKUP(F356, '[1]Can Matrix'!$M:$X, 12, FALSE)), "")</f>
        <v>TMS_Enum_SpeedLvl</v>
      </c>
      <c r="O356" s="17"/>
      <c r="P356" s="17"/>
      <c r="Q356" s="17"/>
      <c r="R356" s="17"/>
      <c r="S356" s="17"/>
      <c r="T356" s="17"/>
      <c r="U356" s="17"/>
      <c r="V356" s="17"/>
      <c r="W356" s="17"/>
      <c r="X356" s="103"/>
      <c r="Y356" s="17"/>
      <c r="Z356" s="101" t="str">
        <f>IF(N356="", "", IF(ISNUMBER(MATCH(N356, TextTables!A:A, 0)), "Y", "N"))</f>
        <v>Y</v>
      </c>
      <c r="AA356" s="101" t="str">
        <f>IF(ISNUMBER(MATCH(F356, '[1]Can Matrix'!M:M, 0)), "Y", "N")</f>
        <v>Y</v>
      </c>
    </row>
    <row r="357" spans="1:27" ht="16.8">
      <c r="A357" s="17"/>
      <c r="B357" s="17"/>
      <c r="C357" s="17"/>
      <c r="D357" s="17" t="s">
        <v>143</v>
      </c>
      <c r="E357" s="17"/>
      <c r="F357" s="17" t="s">
        <v>6193</v>
      </c>
      <c r="G357" s="17" t="s">
        <v>6193</v>
      </c>
      <c r="H357" s="17"/>
      <c r="I357" s="97">
        <f>VLOOKUP(F357, '[1]Can Matrix'!$M:$X, 2, FALSE)</f>
        <v>2</v>
      </c>
      <c r="J357" s="17" t="str">
        <f t="shared" si="6"/>
        <v>uint8</v>
      </c>
      <c r="K357" s="17"/>
      <c r="L357" s="17"/>
      <c r="M357" s="100" t="str">
        <f>'[1]Can Matrix'!$R$2</f>
        <v>Unsigned</v>
      </c>
      <c r="N357" s="101" t="str">
        <f>IFERROR(IF(VLOOKUP(F357, '[1]Can Matrix'!$M:$X, 12, FALSE)=0, "", "TMS_Enum_" &amp; VLOOKUP(F357, '[1]Can Matrix'!$M:$X, 12, FALSE)), "")</f>
        <v>TMS_Enum_SpdLvlReq</v>
      </c>
      <c r="O357" s="17"/>
      <c r="P357" s="17"/>
      <c r="Q357" s="17"/>
      <c r="R357" s="17"/>
      <c r="S357" s="17"/>
      <c r="T357" s="17"/>
      <c r="U357" s="17"/>
      <c r="V357" s="17"/>
      <c r="W357" s="17"/>
      <c r="X357" s="103"/>
      <c r="Y357" s="17"/>
      <c r="Z357" s="101" t="str">
        <f>IF(N357="", "", IF(ISNUMBER(MATCH(N357, TextTables!A:A, 0)), "Y", "N"))</f>
        <v>Y</v>
      </c>
      <c r="AA357" s="101" t="str">
        <f>IF(ISNUMBER(MATCH(F357, '[1]Can Matrix'!M:M, 0)), "Y", "N")</f>
        <v>Y</v>
      </c>
    </row>
    <row r="358" spans="1:27" ht="16.8">
      <c r="A358" s="17"/>
      <c r="B358" s="17"/>
      <c r="C358" s="17"/>
      <c r="D358" s="17" t="s">
        <v>143</v>
      </c>
      <c r="E358" s="17"/>
      <c r="F358" s="17" t="s">
        <v>6194</v>
      </c>
      <c r="G358" s="17" t="s">
        <v>6194</v>
      </c>
      <c r="H358" s="17"/>
      <c r="I358" s="97">
        <f>VLOOKUP(F358, '[1]Can Matrix'!$M:$X, 2, FALSE)</f>
        <v>3</v>
      </c>
      <c r="J358" s="17" t="str">
        <f t="shared" si="6"/>
        <v>uint8</v>
      </c>
      <c r="K358" s="17"/>
      <c r="L358" s="17"/>
      <c r="M358" s="100" t="str">
        <f>'[1]Can Matrix'!$R$2</f>
        <v>Unsigned</v>
      </c>
      <c r="N358" s="101" t="str">
        <f>IFERROR(IF(VLOOKUP(F358, '[1]Can Matrix'!$M:$X, 12, FALSE)=0, "", "TMS_Enum_" &amp; VLOOKUP(F358, '[1]Can Matrix'!$M:$X, 12, FALSE)), "")</f>
        <v>TMS_Enum_TempSts</v>
      </c>
      <c r="O358" s="17"/>
      <c r="P358" s="17"/>
      <c r="Q358" s="17"/>
      <c r="R358" s="17"/>
      <c r="S358" s="17"/>
      <c r="T358" s="17"/>
      <c r="U358" s="17"/>
      <c r="V358" s="17"/>
      <c r="W358" s="17"/>
      <c r="X358" s="103"/>
      <c r="Y358" s="17"/>
      <c r="Z358" s="101" t="str">
        <f>IF(N358="", "", IF(ISNUMBER(MATCH(N358, TextTables!A:A, 0)), "Y", "N"))</f>
        <v>Y</v>
      </c>
      <c r="AA358" s="101" t="str">
        <f>IF(ISNUMBER(MATCH(F358, '[1]Can Matrix'!M:M, 0)), "Y", "N")</f>
        <v>Y</v>
      </c>
    </row>
    <row r="359" spans="1:27" ht="16.8">
      <c r="A359" s="17"/>
      <c r="B359" s="17"/>
      <c r="C359" s="17"/>
      <c r="D359" s="17" t="s">
        <v>143</v>
      </c>
      <c r="E359" s="17"/>
      <c r="F359" s="17" t="s">
        <v>6195</v>
      </c>
      <c r="G359" s="17" t="s">
        <v>6195</v>
      </c>
      <c r="H359" s="17"/>
      <c r="I359" s="97">
        <f>VLOOKUP(F359, '[1]Can Matrix'!$M:$X, 2, FALSE)</f>
        <v>2</v>
      </c>
      <c r="J359" s="17" t="str">
        <f t="shared" si="6"/>
        <v>uint8</v>
      </c>
      <c r="K359" s="17"/>
      <c r="L359" s="17"/>
      <c r="M359" s="100" t="str">
        <f>'[1]Can Matrix'!$R$2</f>
        <v>Unsigned</v>
      </c>
      <c r="N359" s="101" t="str">
        <f>IFERROR(IF(VLOOKUP(F359, '[1]Can Matrix'!$M:$X, 12, FALSE)=0, "", "TMS_Enum_" &amp; VLOOKUP(F359, '[1]Can Matrix'!$M:$X, 12, FALSE)), "")</f>
        <v>TMS_Enum_VoltSts</v>
      </c>
      <c r="O359" s="17"/>
      <c r="P359" s="17"/>
      <c r="Q359" s="17"/>
      <c r="R359" s="17"/>
      <c r="S359" s="17"/>
      <c r="T359" s="17"/>
      <c r="U359" s="17"/>
      <c r="V359" s="17"/>
      <c r="W359" s="17"/>
      <c r="X359" s="103"/>
      <c r="Y359" s="17"/>
      <c r="Z359" s="101" t="str">
        <f>IF(N359="", "", IF(ISNUMBER(MATCH(N359, TextTables!A:A, 0)), "Y", "N"))</f>
        <v>Y</v>
      </c>
      <c r="AA359" s="101" t="str">
        <f>IF(ISNUMBER(MATCH(F359, '[1]Can Matrix'!M:M, 0)), "Y", "N")</f>
        <v>Y</v>
      </c>
    </row>
    <row r="360" spans="1:27" ht="16.8">
      <c r="A360" s="17"/>
      <c r="B360" s="17"/>
      <c r="C360" s="17"/>
      <c r="D360" s="17" t="s">
        <v>143</v>
      </c>
      <c r="E360" s="17"/>
      <c r="F360" s="17" t="s">
        <v>6196</v>
      </c>
      <c r="G360" s="17" t="s">
        <v>6196</v>
      </c>
      <c r="H360" s="17"/>
      <c r="I360" s="97">
        <f>VLOOKUP(F360, '[1]Can Matrix'!$M:$X, 2, FALSE)</f>
        <v>1</v>
      </c>
      <c r="J360" s="17" t="str">
        <f t="shared" si="6"/>
        <v>uint8</v>
      </c>
      <c r="K360" s="17"/>
      <c r="L360" s="17"/>
      <c r="M360" s="100" t="str">
        <f>'[1]Can Matrix'!$R$2</f>
        <v>Unsigned</v>
      </c>
      <c r="N360" s="101" t="str">
        <f>IFERROR(IF(VLOOKUP(F360, '[1]Can Matrix'!$M:$X, 12, FALSE)=0, "", "TMS_Enum_" &amp; VLOOKUP(F360, '[1]Can Matrix'!$M:$X, 12, FALSE)), "")</f>
        <v>TMS_Enum_Boolean</v>
      </c>
      <c r="O360" s="17"/>
      <c r="P360" s="17"/>
      <c r="Q360" s="17"/>
      <c r="R360" s="17"/>
      <c r="S360" s="17"/>
      <c r="T360" s="17"/>
      <c r="U360" s="17"/>
      <c r="V360" s="17"/>
      <c r="W360" s="17"/>
      <c r="X360" s="103"/>
      <c r="Y360" s="17"/>
      <c r="Z360" s="101" t="str">
        <f>IF(N360="", "", IF(ISNUMBER(MATCH(N360, TextTables!A:A, 0)), "Y", "N"))</f>
        <v>Y</v>
      </c>
      <c r="AA360" s="101" t="str">
        <f>IF(ISNUMBER(MATCH(F360, '[1]Can Matrix'!M:M, 0)), "Y", "N")</f>
        <v>Y</v>
      </c>
    </row>
    <row r="361" spans="1:27" ht="16.8">
      <c r="A361" s="17"/>
      <c r="B361" s="17"/>
      <c r="C361" s="17"/>
      <c r="D361" s="17" t="s">
        <v>143</v>
      </c>
      <c r="E361" s="17"/>
      <c r="F361" s="17" t="s">
        <v>6197</v>
      </c>
      <c r="G361" s="17" t="s">
        <v>6197</v>
      </c>
      <c r="H361" s="17"/>
      <c r="I361" s="97">
        <f>VLOOKUP(F361, '[1]Can Matrix'!$M:$X, 2, FALSE)</f>
        <v>8</v>
      </c>
      <c r="J361" s="17" t="str">
        <f t="shared" si="6"/>
        <v>uint8</v>
      </c>
      <c r="K361" s="17"/>
      <c r="L361" s="17"/>
      <c r="M361" s="100" t="str">
        <f>'[1]Can Matrix'!$R$2</f>
        <v>Unsigned</v>
      </c>
      <c r="N361" s="101" t="str">
        <f>IFERROR(IF(VLOOKUP(F361, '[1]Can Matrix'!$M:$X, 12, FALSE)=0, "", "TMS_Enum_" &amp; VLOOKUP(F361, '[1]Can Matrix'!$M:$X, 12, FALSE)), "")</f>
        <v/>
      </c>
      <c r="O361" s="17"/>
      <c r="P361" s="17"/>
      <c r="Q361" s="17"/>
      <c r="R361" s="17"/>
      <c r="S361" s="17"/>
      <c r="T361" s="17"/>
      <c r="U361" s="17"/>
      <c r="V361" s="17"/>
      <c r="W361" s="17"/>
      <c r="X361" s="103"/>
      <c r="Y361" s="17"/>
      <c r="Z361" s="101" t="str">
        <f>IF(N361="", "", IF(ISNUMBER(MATCH(N361, TextTables!A:A, 0)), "Y", "N"))</f>
        <v/>
      </c>
      <c r="AA361" s="101" t="str">
        <f>IF(ISNUMBER(MATCH(F361, '[1]Can Matrix'!M:M, 0)), "Y", "N")</f>
        <v>Y</v>
      </c>
    </row>
    <row r="362" spans="1:27" ht="16.8">
      <c r="A362" s="17"/>
      <c r="B362" s="17"/>
      <c r="C362" s="17"/>
      <c r="D362" s="17" t="s">
        <v>143</v>
      </c>
      <c r="E362" s="17"/>
      <c r="F362" s="17" t="s">
        <v>6198</v>
      </c>
      <c r="G362" s="17" t="s">
        <v>6198</v>
      </c>
      <c r="H362" s="17"/>
      <c r="I362" s="97">
        <f>VLOOKUP(F362, '[1]Can Matrix'!$M:$X, 2, FALSE)</f>
        <v>1</v>
      </c>
      <c r="J362" s="17" t="str">
        <f t="shared" si="6"/>
        <v>uint8</v>
      </c>
      <c r="K362" s="17"/>
      <c r="L362" s="17"/>
      <c r="M362" s="100" t="str">
        <f>'[1]Can Matrix'!$R$2</f>
        <v>Unsigned</v>
      </c>
      <c r="N362" s="101" t="str">
        <f>IFERROR(IF(VLOOKUP(F362, '[1]Can Matrix'!$M:$X, 12, FALSE)=0, "", "TMS_Enum_" &amp; VLOOKUP(F362, '[1]Can Matrix'!$M:$X, 12, FALSE)), "")</f>
        <v>TMS_Enum_OnOff1</v>
      </c>
      <c r="O362" s="17"/>
      <c r="P362" s="17"/>
      <c r="Q362" s="17"/>
      <c r="R362" s="17"/>
      <c r="S362" s="17"/>
      <c r="T362" s="17"/>
      <c r="U362" s="17"/>
      <c r="V362" s="17"/>
      <c r="W362" s="17"/>
      <c r="X362" s="103"/>
      <c r="Y362" s="17"/>
      <c r="Z362" s="101" t="str">
        <f>IF(N362="", "", IF(ISNUMBER(MATCH(N362, TextTables!A:A, 0)), "Y", "N"))</f>
        <v>Y</v>
      </c>
      <c r="AA362" s="101" t="str">
        <f>IF(ISNUMBER(MATCH(F362, '[1]Can Matrix'!M:M, 0)), "Y", "N")</f>
        <v>Y</v>
      </c>
    </row>
    <row r="363" spans="1:27" ht="16.8">
      <c r="A363" s="17"/>
      <c r="B363" s="17"/>
      <c r="C363" s="17"/>
      <c r="D363" s="17" t="s">
        <v>143</v>
      </c>
      <c r="E363" s="17"/>
      <c r="F363" s="17" t="s">
        <v>6199</v>
      </c>
      <c r="G363" s="17" t="s">
        <v>6199</v>
      </c>
      <c r="H363" s="17"/>
      <c r="I363" s="97">
        <f>VLOOKUP(F363, '[1]Can Matrix'!$M:$X, 2, FALSE)</f>
        <v>8</v>
      </c>
      <c r="J363" s="17" t="str">
        <f t="shared" si="6"/>
        <v>uint8</v>
      </c>
      <c r="K363" s="17"/>
      <c r="L363" s="17"/>
      <c r="M363" s="100" t="str">
        <f>'[1]Can Matrix'!$R$2</f>
        <v>Unsigned</v>
      </c>
      <c r="N363" s="101" t="str">
        <f>IFERROR(IF(VLOOKUP(F363, '[1]Can Matrix'!$M:$X, 12, FALSE)=0, "", "TMS_Enum_" &amp; VLOOKUP(F363, '[1]Can Matrix'!$M:$X, 12, FALSE)), "")</f>
        <v/>
      </c>
      <c r="O363" s="17"/>
      <c r="P363" s="17"/>
      <c r="Q363" s="17"/>
      <c r="R363" s="17"/>
      <c r="S363" s="17"/>
      <c r="T363" s="17"/>
      <c r="U363" s="17"/>
      <c r="V363" s="17"/>
      <c r="W363" s="17"/>
      <c r="X363" s="103"/>
      <c r="Y363" s="17"/>
      <c r="Z363" s="101" t="str">
        <f>IF(N363="", "", IF(ISNUMBER(MATCH(N363, TextTables!A:A, 0)), "Y", "N"))</f>
        <v/>
      </c>
      <c r="AA363" s="101" t="str">
        <f>IF(ISNUMBER(MATCH(F363, '[1]Can Matrix'!M:M, 0)), "Y", "N")</f>
        <v>Y</v>
      </c>
    </row>
    <row r="364" spans="1:27" ht="16.8">
      <c r="A364" s="17"/>
      <c r="B364" s="17"/>
      <c r="C364" s="17"/>
      <c r="D364" s="17" t="s">
        <v>143</v>
      </c>
      <c r="E364" s="17"/>
      <c r="F364" s="17" t="s">
        <v>6200</v>
      </c>
      <c r="G364" s="17" t="s">
        <v>6200</v>
      </c>
      <c r="H364" s="17"/>
      <c r="I364" s="97">
        <f>VLOOKUP(F364, '[1]Can Matrix'!$M:$X, 2, FALSE)</f>
        <v>3</v>
      </c>
      <c r="J364" s="17" t="str">
        <f t="shared" si="6"/>
        <v>uint8</v>
      </c>
      <c r="K364" s="17"/>
      <c r="L364" s="17"/>
      <c r="M364" s="100" t="str">
        <f>'[1]Can Matrix'!$R$2</f>
        <v>Unsigned</v>
      </c>
      <c r="N364" s="101" t="str">
        <f>IFERROR(IF(VLOOKUP(F364, '[1]Can Matrix'!$M:$X, 12, FALSE)=0, "", "TMS_Enum_" &amp; VLOOKUP(F364, '[1]Can Matrix'!$M:$X, 12, FALSE)), "")</f>
        <v>TMS_Enum_HvCooltHeatrSts</v>
      </c>
      <c r="O364" s="17"/>
      <c r="P364" s="17"/>
      <c r="Q364" s="17"/>
      <c r="R364" s="17"/>
      <c r="S364" s="17"/>
      <c r="T364" s="17"/>
      <c r="U364" s="17"/>
      <c r="V364" s="17"/>
      <c r="W364" s="17"/>
      <c r="X364" s="103"/>
      <c r="Y364" s="17"/>
      <c r="Z364" s="101" t="str">
        <f>IF(N364="", "", IF(ISNUMBER(MATCH(N364, TextTables!A:A, 0)), "Y", "N"))</f>
        <v>Y</v>
      </c>
      <c r="AA364" s="101" t="str">
        <f>IF(ISNUMBER(MATCH(F364, '[1]Can Matrix'!M:M, 0)), "Y", "N")</f>
        <v>Y</v>
      </c>
    </row>
    <row r="365" spans="1:27" ht="16.8">
      <c r="A365" s="17"/>
      <c r="B365" s="17"/>
      <c r="C365" s="17"/>
      <c r="D365" s="17" t="s">
        <v>143</v>
      </c>
      <c r="E365" s="17"/>
      <c r="F365" s="17" t="s">
        <v>6201</v>
      </c>
      <c r="G365" s="17" t="s">
        <v>6201</v>
      </c>
      <c r="H365" s="17"/>
      <c r="I365" s="97">
        <f>VLOOKUP(F365, '[1]Can Matrix'!$M:$X, 2, FALSE)</f>
        <v>8</v>
      </c>
      <c r="J365" s="17" t="str">
        <f t="shared" si="6"/>
        <v>uint8</v>
      </c>
      <c r="K365" s="17"/>
      <c r="L365" s="17"/>
      <c r="M365" s="100" t="str">
        <f>'[1]Can Matrix'!$R$2</f>
        <v>Unsigned</v>
      </c>
      <c r="N365" s="101" t="str">
        <f>IFERROR(IF(VLOOKUP(F365, '[1]Can Matrix'!$M:$X, 12, FALSE)=0, "", "TMS_Enum_" &amp; VLOOKUP(F365, '[1]Can Matrix'!$M:$X, 12, FALSE)), "")</f>
        <v/>
      </c>
      <c r="O365" s="17"/>
      <c r="P365" s="17"/>
      <c r="Q365" s="17"/>
      <c r="R365" s="17"/>
      <c r="S365" s="17"/>
      <c r="T365" s="17"/>
      <c r="U365" s="17"/>
      <c r="V365" s="17"/>
      <c r="W365" s="17"/>
      <c r="X365" s="103"/>
      <c r="Y365" s="17"/>
      <c r="Z365" s="101" t="str">
        <f>IF(N365="", "", IF(ISNUMBER(MATCH(N365, TextTables!A:A, 0)), "Y", "N"))</f>
        <v/>
      </c>
      <c r="AA365" s="101" t="str">
        <f>IF(ISNUMBER(MATCH(F365, '[1]Can Matrix'!M:M, 0)), "Y", "N")</f>
        <v>Y</v>
      </c>
    </row>
    <row r="366" spans="1:27" ht="16.8">
      <c r="A366" s="17"/>
      <c r="B366" s="17"/>
      <c r="C366" s="17"/>
      <c r="D366" s="17" t="s">
        <v>143</v>
      </c>
      <c r="E366" s="17"/>
      <c r="F366" s="17" t="s">
        <v>6202</v>
      </c>
      <c r="G366" s="17" t="s">
        <v>6202</v>
      </c>
      <c r="H366" s="17"/>
      <c r="I366" s="97">
        <f>VLOOKUP(F366, '[1]Can Matrix'!$M:$X, 2, FALSE)</f>
        <v>8</v>
      </c>
      <c r="J366" s="17" t="str">
        <f t="shared" si="6"/>
        <v>uint8</v>
      </c>
      <c r="K366" s="17"/>
      <c r="L366" s="17"/>
      <c r="M366" s="100" t="str">
        <f>'[1]Can Matrix'!$R$2</f>
        <v>Unsigned</v>
      </c>
      <c r="N366" s="101" t="str">
        <f>IFERROR(IF(VLOOKUP(F366, '[1]Can Matrix'!$M:$X, 12, FALSE)=0, "", "TMS_Enum_" &amp; VLOOKUP(F366, '[1]Can Matrix'!$M:$X, 12, FALSE)), "")</f>
        <v/>
      </c>
      <c r="O366" s="17"/>
      <c r="P366" s="17"/>
      <c r="Q366" s="17"/>
      <c r="R366" s="17"/>
      <c r="S366" s="17"/>
      <c r="T366" s="17"/>
      <c r="U366" s="17"/>
      <c r="V366" s="17"/>
      <c r="W366" s="17"/>
      <c r="X366" s="103"/>
      <c r="Y366" s="17"/>
      <c r="Z366" s="101" t="str">
        <f>IF(N366="", "", IF(ISNUMBER(MATCH(N366, TextTables!A:A, 0)), "Y", "N"))</f>
        <v/>
      </c>
      <c r="AA366" s="101" t="str">
        <f>IF(ISNUMBER(MATCH(F366, '[1]Can Matrix'!M:M, 0)), "Y", "N")</f>
        <v>Y</v>
      </c>
    </row>
    <row r="367" spans="1:27" ht="16.8">
      <c r="A367" s="17"/>
      <c r="B367" s="17"/>
      <c r="C367" s="17"/>
      <c r="D367" s="17" t="s">
        <v>143</v>
      </c>
      <c r="E367" s="17"/>
      <c r="F367" s="17" t="s">
        <v>6203</v>
      </c>
      <c r="G367" s="17" t="s">
        <v>6203</v>
      </c>
      <c r="H367" s="17"/>
      <c r="I367" s="97">
        <f>VLOOKUP(F367, '[1]Can Matrix'!$M:$X, 2, FALSE)</f>
        <v>10</v>
      </c>
      <c r="J367" s="17" t="str">
        <f t="shared" si="6"/>
        <v>uint16</v>
      </c>
      <c r="K367" s="17"/>
      <c r="L367" s="17"/>
      <c r="M367" s="100" t="str">
        <f>'[1]Can Matrix'!$R$2</f>
        <v>Unsigned</v>
      </c>
      <c r="N367" s="101" t="str">
        <f>IFERROR(IF(VLOOKUP(F367, '[1]Can Matrix'!$M:$X, 12, FALSE)=0, "", "TMS_Enum_" &amp; VLOOKUP(F367, '[1]Can Matrix'!$M:$X, 12, FALSE)), "")</f>
        <v/>
      </c>
      <c r="O367" s="17"/>
      <c r="P367" s="17"/>
      <c r="Q367" s="17"/>
      <c r="R367" s="17"/>
      <c r="S367" s="17"/>
      <c r="T367" s="17"/>
      <c r="U367" s="17"/>
      <c r="V367" s="17"/>
      <c r="W367" s="17"/>
      <c r="X367" s="103"/>
      <c r="Y367" s="17"/>
      <c r="Z367" s="101" t="str">
        <f>IF(N367="", "", IF(ISNUMBER(MATCH(N367, TextTables!A:A, 0)), "Y", "N"))</f>
        <v/>
      </c>
      <c r="AA367" s="101" t="str">
        <f>IF(ISNUMBER(MATCH(F367, '[1]Can Matrix'!M:M, 0)), "Y", "N")</f>
        <v>Y</v>
      </c>
    </row>
    <row r="368" spans="1:27" ht="16.8">
      <c r="A368" s="17"/>
      <c r="B368" s="17"/>
      <c r="C368" s="17"/>
      <c r="D368" s="17" t="s">
        <v>143</v>
      </c>
      <c r="E368" s="17"/>
      <c r="F368" s="17" t="s">
        <v>6204</v>
      </c>
      <c r="G368" s="17" t="s">
        <v>6204</v>
      </c>
      <c r="H368" s="17"/>
      <c r="I368" s="97">
        <f>VLOOKUP(F368, '[1]Can Matrix'!$M:$X, 2, FALSE)</f>
        <v>10</v>
      </c>
      <c r="J368" s="17" t="str">
        <f t="shared" si="6"/>
        <v>uint16</v>
      </c>
      <c r="K368" s="17"/>
      <c r="L368" s="17"/>
      <c r="M368" s="100" t="str">
        <f>'[1]Can Matrix'!$R$2</f>
        <v>Unsigned</v>
      </c>
      <c r="N368" s="101" t="str">
        <f>IFERROR(IF(VLOOKUP(F368, '[1]Can Matrix'!$M:$X, 12, FALSE)=0, "", "TMS_Enum_" &amp; VLOOKUP(F368, '[1]Can Matrix'!$M:$X, 12, FALSE)), "")</f>
        <v/>
      </c>
      <c r="O368" s="17"/>
      <c r="P368" s="17"/>
      <c r="Q368" s="17"/>
      <c r="R368" s="17"/>
      <c r="S368" s="17"/>
      <c r="T368" s="17"/>
      <c r="U368" s="17"/>
      <c r="V368" s="17"/>
      <c r="W368" s="17"/>
      <c r="X368" s="103"/>
      <c r="Y368" s="17"/>
      <c r="Z368" s="101" t="str">
        <f>IF(N368="", "", IF(ISNUMBER(MATCH(N368, TextTables!A:A, 0)), "Y", "N"))</f>
        <v/>
      </c>
      <c r="AA368" s="101" t="str">
        <f>IF(ISNUMBER(MATCH(F368, '[1]Can Matrix'!M:M, 0)), "Y", "N")</f>
        <v>Y</v>
      </c>
    </row>
    <row r="369" spans="1:27" ht="16.8">
      <c r="A369" s="17"/>
      <c r="B369" s="17"/>
      <c r="C369" s="17"/>
      <c r="D369" s="17" t="s">
        <v>143</v>
      </c>
      <c r="E369" s="17"/>
      <c r="F369" s="17" t="s">
        <v>6205</v>
      </c>
      <c r="G369" s="17" t="s">
        <v>6205</v>
      </c>
      <c r="H369" s="17"/>
      <c r="I369" s="97">
        <f>VLOOKUP(F369, '[1]Can Matrix'!$M:$X, 2, FALSE)</f>
        <v>8</v>
      </c>
      <c r="J369" s="17" t="str">
        <f t="shared" si="6"/>
        <v>uint8</v>
      </c>
      <c r="K369" s="17"/>
      <c r="L369" s="17"/>
      <c r="M369" s="100" t="str">
        <f>'[1]Can Matrix'!$R$2</f>
        <v>Unsigned</v>
      </c>
      <c r="N369" s="101" t="str">
        <f>IFERROR(IF(VLOOKUP(F369, '[1]Can Matrix'!$M:$X, 12, FALSE)=0, "", "TMS_Enum_" &amp; VLOOKUP(F369, '[1]Can Matrix'!$M:$X, 12, FALSE)), "")</f>
        <v/>
      </c>
      <c r="O369" s="17"/>
      <c r="P369" s="17"/>
      <c r="Q369" s="17"/>
      <c r="R369" s="17"/>
      <c r="S369" s="17"/>
      <c r="T369" s="17"/>
      <c r="U369" s="17"/>
      <c r="V369" s="17"/>
      <c r="W369" s="17"/>
      <c r="X369" s="103"/>
      <c r="Y369" s="17"/>
      <c r="Z369" s="101" t="str">
        <f>IF(N369="", "", IF(ISNUMBER(MATCH(N369, TextTables!A:A, 0)), "Y", "N"))</f>
        <v/>
      </c>
      <c r="AA369" s="101" t="str">
        <f>IF(ISNUMBER(MATCH(F369, '[1]Can Matrix'!M:M, 0)), "Y", "N")</f>
        <v>Y</v>
      </c>
    </row>
    <row r="370" spans="1:27" ht="16.8">
      <c r="A370" s="17"/>
      <c r="B370" s="17"/>
      <c r="C370" s="17"/>
      <c r="D370" s="17" t="s">
        <v>143</v>
      </c>
      <c r="E370" s="17"/>
      <c r="F370" s="17" t="s">
        <v>6206</v>
      </c>
      <c r="G370" s="17" t="s">
        <v>6206</v>
      </c>
      <c r="H370" s="17"/>
      <c r="I370" s="97">
        <f>VLOOKUP(F370, '[1]Can Matrix'!$M:$X, 2, FALSE)</f>
        <v>8</v>
      </c>
      <c r="J370" s="17" t="str">
        <f t="shared" si="6"/>
        <v>uint8</v>
      </c>
      <c r="K370" s="17"/>
      <c r="L370" s="17"/>
      <c r="M370" s="100" t="str">
        <f>'[1]Can Matrix'!$R$2</f>
        <v>Unsigned</v>
      </c>
      <c r="N370" s="101" t="str">
        <f>IFERROR(IF(VLOOKUP(F370, '[1]Can Matrix'!$M:$X, 12, FALSE)=0, "", "TMS_Enum_" &amp; VLOOKUP(F370, '[1]Can Matrix'!$M:$X, 12, FALSE)), "")</f>
        <v/>
      </c>
      <c r="O370" s="17"/>
      <c r="P370" s="17"/>
      <c r="Q370" s="17"/>
      <c r="R370" s="17"/>
      <c r="S370" s="17"/>
      <c r="T370" s="17"/>
      <c r="U370" s="17"/>
      <c r="V370" s="17"/>
      <c r="W370" s="17"/>
      <c r="X370" s="103"/>
      <c r="Y370" s="17"/>
      <c r="Z370" s="101" t="str">
        <f>IF(N370="", "", IF(ISNUMBER(MATCH(N370, TextTables!A:A, 0)), "Y", "N"))</f>
        <v/>
      </c>
      <c r="AA370" s="101" t="str">
        <f>IF(ISNUMBER(MATCH(F370, '[1]Can Matrix'!M:M, 0)), "Y", "N")</f>
        <v>Y</v>
      </c>
    </row>
    <row r="371" spans="1:27" ht="16.8">
      <c r="A371" s="17"/>
      <c r="B371" s="17"/>
      <c r="C371" s="17"/>
      <c r="D371" s="17" t="s">
        <v>143</v>
      </c>
      <c r="E371" s="17"/>
      <c r="F371" s="17" t="s">
        <v>6207</v>
      </c>
      <c r="G371" s="17" t="s">
        <v>6207</v>
      </c>
      <c r="H371" s="17"/>
      <c r="I371" s="97">
        <f>VLOOKUP(F371, '[1]Can Matrix'!$M:$X, 2, FALSE)</f>
        <v>3</v>
      </c>
      <c r="J371" s="17" t="str">
        <f t="shared" si="6"/>
        <v>uint8</v>
      </c>
      <c r="K371" s="17"/>
      <c r="L371" s="17"/>
      <c r="M371" s="100" t="str">
        <f>'[1]Can Matrix'!$R$2</f>
        <v>Unsigned</v>
      </c>
      <c r="N371" s="101" t="str">
        <f>IFERROR(IF(VLOOKUP(F371, '[1]Can Matrix'!$M:$X, 12, FALSE)=0, "", "TMS_Enum_" &amp; VLOOKUP(F371, '[1]Can Matrix'!$M:$X, 12, FALSE)), "")</f>
        <v/>
      </c>
      <c r="O371" s="17"/>
      <c r="P371" s="17"/>
      <c r="Q371" s="17"/>
      <c r="R371" s="17"/>
      <c r="S371" s="17"/>
      <c r="T371" s="17"/>
      <c r="U371" s="17"/>
      <c r="V371" s="17"/>
      <c r="W371" s="17"/>
      <c r="X371" s="103"/>
      <c r="Y371" s="17"/>
      <c r="Z371" s="101" t="str">
        <f>IF(N371="", "", IF(ISNUMBER(MATCH(N371, TextTables!A:A, 0)), "Y", "N"))</f>
        <v/>
      </c>
      <c r="AA371" s="101" t="str">
        <f>IF(ISNUMBER(MATCH(F371, '[1]Can Matrix'!M:M, 0)), "Y", "N")</f>
        <v>Y</v>
      </c>
    </row>
    <row r="372" spans="1:27" ht="16.8">
      <c r="A372" s="17"/>
      <c r="B372" s="17"/>
      <c r="C372" s="17"/>
      <c r="D372" s="17" t="s">
        <v>143</v>
      </c>
      <c r="E372" s="17"/>
      <c r="F372" s="17" t="s">
        <v>6208</v>
      </c>
      <c r="G372" s="17" t="s">
        <v>6208</v>
      </c>
      <c r="H372" s="17"/>
      <c r="I372" s="97">
        <f>VLOOKUP(F372, '[1]Can Matrix'!$M:$X, 2, FALSE)</f>
        <v>2</v>
      </c>
      <c r="J372" s="17" t="str">
        <f t="shared" si="6"/>
        <v>uint8</v>
      </c>
      <c r="K372" s="17"/>
      <c r="L372" s="17"/>
      <c r="M372" s="100" t="str">
        <f>'[1]Can Matrix'!$R$2</f>
        <v>Unsigned</v>
      </c>
      <c r="N372" s="101" t="str">
        <f>IFERROR(IF(VLOOKUP(F372, '[1]Can Matrix'!$M:$X, 12, FALSE)=0, "", "TMS_Enum_" &amp; VLOOKUP(F372, '[1]Can Matrix'!$M:$X, 12, FALSE)), "")</f>
        <v/>
      </c>
      <c r="O372" s="17"/>
      <c r="P372" s="17"/>
      <c r="Q372" s="17"/>
      <c r="R372" s="17"/>
      <c r="S372" s="17"/>
      <c r="T372" s="17"/>
      <c r="U372" s="17"/>
      <c r="V372" s="17"/>
      <c r="W372" s="17"/>
      <c r="X372" s="103"/>
      <c r="Y372" s="17"/>
      <c r="Z372" s="101" t="str">
        <f>IF(N372="", "", IF(ISNUMBER(MATCH(N372, TextTables!A:A, 0)), "Y", "N"))</f>
        <v/>
      </c>
      <c r="AA372" s="101" t="str">
        <f>IF(ISNUMBER(MATCH(F372, '[1]Can Matrix'!M:M, 0)), "Y", "N")</f>
        <v>Y</v>
      </c>
    </row>
    <row r="373" spans="1:27" ht="16.8">
      <c r="A373" s="17"/>
      <c r="B373" s="17"/>
      <c r="C373" s="17"/>
      <c r="D373" s="17" t="s">
        <v>143</v>
      </c>
      <c r="E373" s="17"/>
      <c r="F373" s="17" t="s">
        <v>6209</v>
      </c>
      <c r="G373" s="17" t="s">
        <v>6209</v>
      </c>
      <c r="H373" s="17"/>
      <c r="I373" s="97">
        <f>VLOOKUP(F373, '[1]Can Matrix'!$M:$X, 2, FALSE)</f>
        <v>5</v>
      </c>
      <c r="J373" s="17" t="str">
        <f t="shared" si="6"/>
        <v>uint8</v>
      </c>
      <c r="K373" s="17"/>
      <c r="L373" s="17"/>
      <c r="M373" s="100" t="str">
        <f>'[1]Can Matrix'!$R$2</f>
        <v>Unsigned</v>
      </c>
      <c r="N373" s="101" t="str">
        <f>IFERROR(IF(VLOOKUP(F373, '[1]Can Matrix'!$M:$X, 12, FALSE)=0, "", "TMS_Enum_" &amp; VLOOKUP(F373, '[1]Can Matrix'!$M:$X, 12, FALSE)), "")</f>
        <v/>
      </c>
      <c r="O373" s="17"/>
      <c r="P373" s="17"/>
      <c r="Q373" s="17"/>
      <c r="R373" s="17"/>
      <c r="S373" s="17"/>
      <c r="T373" s="17"/>
      <c r="U373" s="17"/>
      <c r="V373" s="17"/>
      <c r="W373" s="17"/>
      <c r="X373" s="103"/>
      <c r="Y373" s="17"/>
      <c r="Z373" s="101" t="str">
        <f>IF(N373="", "", IF(ISNUMBER(MATCH(N373, TextTables!A:A, 0)), "Y", "N"))</f>
        <v/>
      </c>
      <c r="AA373" s="101" t="str">
        <f>IF(ISNUMBER(MATCH(F373, '[1]Can Matrix'!M:M, 0)), "Y", "N")</f>
        <v>Y</v>
      </c>
    </row>
    <row r="374" spans="1:27" ht="16.8">
      <c r="A374" s="17"/>
      <c r="B374" s="17"/>
      <c r="C374" s="17"/>
      <c r="D374" s="17" t="s">
        <v>143</v>
      </c>
      <c r="E374" s="17"/>
      <c r="F374" s="17" t="s">
        <v>6210</v>
      </c>
      <c r="G374" s="17" t="s">
        <v>6210</v>
      </c>
      <c r="H374" s="17"/>
      <c r="I374" s="97">
        <f>VLOOKUP(F374, '[1]Can Matrix'!$M:$X, 2, FALSE)</f>
        <v>2</v>
      </c>
      <c r="J374" s="17" t="str">
        <f t="shared" si="6"/>
        <v>uint8</v>
      </c>
      <c r="K374" s="17"/>
      <c r="L374" s="17"/>
      <c r="M374" s="100" t="str">
        <f>'[1]Can Matrix'!$R$2</f>
        <v>Unsigned</v>
      </c>
      <c r="N374" s="101" t="str">
        <f>IFERROR(IF(VLOOKUP(F374, '[1]Can Matrix'!$M:$X, 12, FALSE)=0, "", "TMS_Enum_" &amp; VLOOKUP(F374, '[1]Can Matrix'!$M:$X, 12, FALSE)), "")</f>
        <v/>
      </c>
      <c r="O374" s="17"/>
      <c r="P374" s="17"/>
      <c r="Q374" s="17"/>
      <c r="R374" s="17"/>
      <c r="S374" s="17"/>
      <c r="T374" s="17"/>
      <c r="U374" s="17"/>
      <c r="V374" s="17"/>
      <c r="W374" s="17"/>
      <c r="X374" s="103"/>
      <c r="Y374" s="17"/>
      <c r="Z374" s="101" t="str">
        <f>IF(N374="", "", IF(ISNUMBER(MATCH(N374, TextTables!A:A, 0)), "Y", "N"))</f>
        <v/>
      </c>
      <c r="AA374" s="101" t="str">
        <f>IF(ISNUMBER(MATCH(F374, '[1]Can Matrix'!M:M, 0)), "Y", "N")</f>
        <v>Y</v>
      </c>
    </row>
    <row r="375" spans="1:27" ht="16.8">
      <c r="A375" s="17"/>
      <c r="B375" s="17"/>
      <c r="C375" s="17"/>
      <c r="D375" s="17" t="s">
        <v>143</v>
      </c>
      <c r="E375" s="17"/>
      <c r="F375" s="17" t="s">
        <v>6211</v>
      </c>
      <c r="G375" s="17" t="s">
        <v>6211</v>
      </c>
      <c r="H375" s="17"/>
      <c r="I375" s="97">
        <f>VLOOKUP(F375, '[1]Can Matrix'!$M:$X, 2, FALSE)</f>
        <v>3</v>
      </c>
      <c r="J375" s="17" t="str">
        <f t="shared" si="6"/>
        <v>uint8</v>
      </c>
      <c r="K375" s="17"/>
      <c r="L375" s="17"/>
      <c r="M375" s="100" t="str">
        <f>'[1]Can Matrix'!$R$2</f>
        <v>Unsigned</v>
      </c>
      <c r="N375" s="101" t="str">
        <f>IFERROR(IF(VLOOKUP(F375, '[1]Can Matrix'!$M:$X, 12, FALSE)=0, "", "TMS_Enum_" &amp; VLOOKUP(F375, '[1]Can Matrix'!$M:$X, 12, FALSE)), "")</f>
        <v/>
      </c>
      <c r="O375" s="17"/>
      <c r="P375" s="17"/>
      <c r="Q375" s="17"/>
      <c r="R375" s="17"/>
      <c r="S375" s="17"/>
      <c r="T375" s="17"/>
      <c r="U375" s="17"/>
      <c r="V375" s="17"/>
      <c r="W375" s="17"/>
      <c r="X375" s="103"/>
      <c r="Y375" s="17"/>
      <c r="Z375" s="101" t="str">
        <f>IF(N375="", "", IF(ISNUMBER(MATCH(N375, TextTables!A:A, 0)), "Y", "N"))</f>
        <v/>
      </c>
      <c r="AA375" s="101" t="str">
        <f>IF(ISNUMBER(MATCH(F375, '[1]Can Matrix'!M:M, 0)), "Y", "N")</f>
        <v>Y</v>
      </c>
    </row>
    <row r="376" spans="1:27" ht="16.8">
      <c r="A376" s="17"/>
      <c r="B376" s="17"/>
      <c r="C376" s="17"/>
      <c r="D376" s="17" t="s">
        <v>143</v>
      </c>
      <c r="E376" s="17"/>
      <c r="F376" s="17" t="s">
        <v>6212</v>
      </c>
      <c r="G376" s="17" t="s">
        <v>6212</v>
      </c>
      <c r="H376" s="17"/>
      <c r="I376" s="97">
        <f>VLOOKUP(F376, '[1]Can Matrix'!$M:$X, 2, FALSE)</f>
        <v>3</v>
      </c>
      <c r="J376" s="17" t="str">
        <f t="shared" si="6"/>
        <v>uint8</v>
      </c>
      <c r="K376" s="17"/>
      <c r="L376" s="17"/>
      <c r="M376" s="100" t="str">
        <f>'[1]Can Matrix'!$R$2</f>
        <v>Unsigned</v>
      </c>
      <c r="N376" s="101" t="str">
        <f>IFERROR(IF(VLOOKUP(F376, '[1]Can Matrix'!$M:$X, 12, FALSE)=0, "", "TMS_Enum_" &amp; VLOOKUP(F376, '[1]Can Matrix'!$M:$X, 12, FALSE)), "")</f>
        <v/>
      </c>
      <c r="O376" s="17"/>
      <c r="P376" s="17"/>
      <c r="Q376" s="17"/>
      <c r="R376" s="17"/>
      <c r="S376" s="17"/>
      <c r="T376" s="17"/>
      <c r="U376" s="17"/>
      <c r="V376" s="17"/>
      <c r="W376" s="17"/>
      <c r="X376" s="103"/>
      <c r="Y376" s="17"/>
      <c r="Z376" s="101" t="str">
        <f>IF(N376="", "", IF(ISNUMBER(MATCH(N376, TextTables!A:A, 0)), "Y", "N"))</f>
        <v/>
      </c>
      <c r="AA376" s="101" t="str">
        <f>IF(ISNUMBER(MATCH(F376, '[1]Can Matrix'!M:M, 0)), "Y", "N")</f>
        <v>Y</v>
      </c>
    </row>
    <row r="377" spans="1:27" ht="16.8">
      <c r="A377" s="17"/>
      <c r="B377" s="17"/>
      <c r="C377" s="17"/>
      <c r="D377" s="17" t="s">
        <v>143</v>
      </c>
      <c r="E377" s="17"/>
      <c r="F377" s="17" t="s">
        <v>6213</v>
      </c>
      <c r="G377" s="17" t="s">
        <v>6213</v>
      </c>
      <c r="H377" s="17"/>
      <c r="I377" s="97">
        <f>VLOOKUP(F377, '[1]Can Matrix'!$M:$X, 2, FALSE)</f>
        <v>3</v>
      </c>
      <c r="J377" s="17" t="str">
        <f t="shared" si="6"/>
        <v>uint8</v>
      </c>
      <c r="K377" s="17"/>
      <c r="L377" s="17"/>
      <c r="M377" s="100" t="str">
        <f>'[1]Can Matrix'!$R$2</f>
        <v>Unsigned</v>
      </c>
      <c r="N377" s="101" t="str">
        <f>IFERROR(IF(VLOOKUP(F377, '[1]Can Matrix'!$M:$X, 12, FALSE)=0, "", "TMS_Enum_" &amp; VLOOKUP(F377, '[1]Can Matrix'!$M:$X, 12, FALSE)), "")</f>
        <v/>
      </c>
      <c r="O377" s="17"/>
      <c r="P377" s="17"/>
      <c r="Q377" s="17"/>
      <c r="R377" s="17"/>
      <c r="S377" s="17"/>
      <c r="T377" s="17"/>
      <c r="U377" s="17"/>
      <c r="V377" s="17"/>
      <c r="W377" s="17"/>
      <c r="X377" s="103"/>
      <c r="Y377" s="17"/>
      <c r="Z377" s="101" t="str">
        <f>IF(N377="", "", IF(ISNUMBER(MATCH(N377, TextTables!A:A, 0)), "Y", "N"))</f>
        <v/>
      </c>
      <c r="AA377" s="101" t="str">
        <f>IF(ISNUMBER(MATCH(F377, '[1]Can Matrix'!M:M, 0)), "Y", "N")</f>
        <v>Y</v>
      </c>
    </row>
    <row r="378" spans="1:27" ht="16.8">
      <c r="A378" s="17"/>
      <c r="B378" s="17"/>
      <c r="C378" s="17"/>
      <c r="D378" s="17" t="s">
        <v>143</v>
      </c>
      <c r="E378" s="17"/>
      <c r="F378" s="17" t="s">
        <v>6214</v>
      </c>
      <c r="G378" s="17" t="s">
        <v>6214</v>
      </c>
      <c r="H378" s="17"/>
      <c r="I378" s="97">
        <f>VLOOKUP(F378, '[1]Can Matrix'!$M:$X, 2, FALSE)</f>
        <v>3</v>
      </c>
      <c r="J378" s="17" t="str">
        <f t="shared" si="6"/>
        <v>uint8</v>
      </c>
      <c r="K378" s="17"/>
      <c r="L378" s="17"/>
      <c r="M378" s="100" t="str">
        <f>'[1]Can Matrix'!$R$2</f>
        <v>Unsigned</v>
      </c>
      <c r="N378" s="101" t="str">
        <f>IFERROR(IF(VLOOKUP(F378, '[1]Can Matrix'!$M:$X, 12, FALSE)=0, "", "TMS_Enum_" &amp; VLOOKUP(F378, '[1]Can Matrix'!$M:$X, 12, FALSE)), "")</f>
        <v/>
      </c>
      <c r="O378" s="17"/>
      <c r="P378" s="17"/>
      <c r="Q378" s="17"/>
      <c r="R378" s="17"/>
      <c r="S378" s="17"/>
      <c r="T378" s="17"/>
      <c r="U378" s="17"/>
      <c r="V378" s="17"/>
      <c r="W378" s="17"/>
      <c r="X378" s="103"/>
      <c r="Y378" s="17"/>
      <c r="Z378" s="101" t="str">
        <f>IF(N378="", "", IF(ISNUMBER(MATCH(N378, TextTables!A:A, 0)), "Y", "N"))</f>
        <v/>
      </c>
      <c r="AA378" s="101" t="str">
        <f>IF(ISNUMBER(MATCH(F378, '[1]Can Matrix'!M:M, 0)), "Y", "N")</f>
        <v>Y</v>
      </c>
    </row>
    <row r="379" spans="1:27" ht="16.8">
      <c r="A379" s="17"/>
      <c r="B379" s="17"/>
      <c r="C379" s="17"/>
      <c r="D379" s="17" t="s">
        <v>143</v>
      </c>
      <c r="E379" s="17"/>
      <c r="F379" s="17" t="s">
        <v>6215</v>
      </c>
      <c r="G379" s="17" t="s">
        <v>6215</v>
      </c>
      <c r="H379" s="17"/>
      <c r="I379" s="97">
        <f>VLOOKUP(F379, '[1]Can Matrix'!$M:$X, 2, FALSE)</f>
        <v>2</v>
      </c>
      <c r="J379" s="17" t="str">
        <f t="shared" si="6"/>
        <v>uint8</v>
      </c>
      <c r="K379" s="17"/>
      <c r="L379" s="17"/>
      <c r="M379" s="100" t="str">
        <f>'[1]Can Matrix'!$R$2</f>
        <v>Unsigned</v>
      </c>
      <c r="N379" s="101" t="str">
        <f>IFERROR(IF(VLOOKUP(F379, '[1]Can Matrix'!$M:$X, 12, FALSE)=0, "", "TMS_Enum_" &amp; VLOOKUP(F379, '[1]Can Matrix'!$M:$X, 12, FALSE)), "")</f>
        <v/>
      </c>
      <c r="O379" s="17"/>
      <c r="P379" s="17"/>
      <c r="Q379" s="17"/>
      <c r="R379" s="17"/>
      <c r="S379" s="17"/>
      <c r="T379" s="17"/>
      <c r="U379" s="17"/>
      <c r="V379" s="17"/>
      <c r="W379" s="17"/>
      <c r="X379" s="103"/>
      <c r="Y379" s="17"/>
      <c r="Z379" s="101" t="str">
        <f>IF(N379="", "", IF(ISNUMBER(MATCH(N379, TextTables!A:A, 0)), "Y", "N"))</f>
        <v/>
      </c>
      <c r="AA379" s="101" t="str">
        <f>IF(ISNUMBER(MATCH(F379, '[1]Can Matrix'!M:M, 0)), "Y", "N")</f>
        <v>Y</v>
      </c>
    </row>
    <row r="380" spans="1:27" ht="16.8">
      <c r="A380" s="17"/>
      <c r="B380" s="17"/>
      <c r="C380" s="17"/>
      <c r="D380" s="17" t="s">
        <v>143</v>
      </c>
      <c r="E380" s="17"/>
      <c r="F380" s="17" t="s">
        <v>6216</v>
      </c>
      <c r="G380" s="17" t="s">
        <v>6216</v>
      </c>
      <c r="H380" s="17"/>
      <c r="I380" s="97">
        <f>VLOOKUP(F380, '[1]Can Matrix'!$M:$X, 2, FALSE)</f>
        <v>2</v>
      </c>
      <c r="J380" s="17" t="str">
        <f t="shared" si="6"/>
        <v>uint8</v>
      </c>
      <c r="K380" s="17"/>
      <c r="L380" s="17"/>
      <c r="M380" s="100" t="str">
        <f>'[1]Can Matrix'!$R$2</f>
        <v>Unsigned</v>
      </c>
      <c r="N380" s="101" t="str">
        <f>IFERROR(IF(VLOOKUP(F380, '[1]Can Matrix'!$M:$X, 12, FALSE)=0, "", "TMS_Enum_" &amp; VLOOKUP(F380, '[1]Can Matrix'!$M:$X, 12, FALSE)), "")</f>
        <v/>
      </c>
      <c r="O380" s="17"/>
      <c r="P380" s="17"/>
      <c r="Q380" s="17"/>
      <c r="R380" s="17"/>
      <c r="S380" s="17"/>
      <c r="T380" s="17"/>
      <c r="U380" s="17"/>
      <c r="V380" s="17"/>
      <c r="W380" s="17"/>
      <c r="X380" s="103"/>
      <c r="Y380" s="17"/>
      <c r="Z380" s="101" t="str">
        <f>IF(N380="", "", IF(ISNUMBER(MATCH(N380, TextTables!A:A, 0)), "Y", "N"))</f>
        <v/>
      </c>
      <c r="AA380" s="101" t="str">
        <f>IF(ISNUMBER(MATCH(F380, '[1]Can Matrix'!M:M, 0)), "Y", "N")</f>
        <v>Y</v>
      </c>
    </row>
    <row r="381" spans="1:27" ht="16.8">
      <c r="A381" s="17"/>
      <c r="B381" s="17"/>
      <c r="C381" s="17"/>
      <c r="D381" s="17" t="s">
        <v>143</v>
      </c>
      <c r="E381" s="17"/>
      <c r="F381" s="17" t="s">
        <v>6217</v>
      </c>
      <c r="G381" s="17" t="s">
        <v>6217</v>
      </c>
      <c r="H381" s="17"/>
      <c r="I381" s="97">
        <f>VLOOKUP(F381, '[1]Can Matrix'!$M:$X, 2, FALSE)</f>
        <v>3</v>
      </c>
      <c r="J381" s="17" t="str">
        <f t="shared" si="6"/>
        <v>uint8</v>
      </c>
      <c r="K381" s="17"/>
      <c r="L381" s="17"/>
      <c r="M381" s="100" t="str">
        <f>'[1]Can Matrix'!$R$2</f>
        <v>Unsigned</v>
      </c>
      <c r="N381" s="101" t="str">
        <f>IFERROR(IF(VLOOKUP(F381, '[1]Can Matrix'!$M:$X, 12, FALSE)=0, "", "TMS_Enum_" &amp; VLOOKUP(F381, '[1]Can Matrix'!$M:$X, 12, FALSE)), "")</f>
        <v/>
      </c>
      <c r="O381" s="17"/>
      <c r="P381" s="17"/>
      <c r="Q381" s="17"/>
      <c r="R381" s="17"/>
      <c r="S381" s="17"/>
      <c r="T381" s="17"/>
      <c r="U381" s="17"/>
      <c r="V381" s="17"/>
      <c r="W381" s="17"/>
      <c r="X381" s="103"/>
      <c r="Y381" s="17"/>
      <c r="Z381" s="101" t="str">
        <f>IF(N381="", "", IF(ISNUMBER(MATCH(N381, TextTables!A:A, 0)), "Y", "N"))</f>
        <v/>
      </c>
      <c r="AA381" s="101" t="str">
        <f>IF(ISNUMBER(MATCH(F381, '[1]Can Matrix'!M:M, 0)), "Y", "N")</f>
        <v>Y</v>
      </c>
    </row>
    <row r="382" spans="1:27" ht="16.8">
      <c r="A382" s="17"/>
      <c r="B382" s="17"/>
      <c r="C382" s="17"/>
      <c r="D382" s="17" t="s">
        <v>143</v>
      </c>
      <c r="E382" s="17"/>
      <c r="F382" s="17" t="s">
        <v>6218</v>
      </c>
      <c r="G382" s="17" t="s">
        <v>6218</v>
      </c>
      <c r="H382" s="17"/>
      <c r="I382" s="97">
        <f>VLOOKUP(F382, '[1]Can Matrix'!$M:$X, 2, FALSE)</f>
        <v>2</v>
      </c>
      <c r="J382" s="17" t="str">
        <f t="shared" si="6"/>
        <v>uint8</v>
      </c>
      <c r="K382" s="17"/>
      <c r="L382" s="17"/>
      <c r="M382" s="100" t="str">
        <f>'[1]Can Matrix'!$R$2</f>
        <v>Unsigned</v>
      </c>
      <c r="N382" s="101" t="str">
        <f>IFERROR(IF(VLOOKUP(F382, '[1]Can Matrix'!$M:$X, 12, FALSE)=0, "", "TMS_Enum_" &amp; VLOOKUP(F382, '[1]Can Matrix'!$M:$X, 12, FALSE)), "")</f>
        <v/>
      </c>
      <c r="O382" s="17"/>
      <c r="P382" s="17"/>
      <c r="Q382" s="17"/>
      <c r="R382" s="17"/>
      <c r="S382" s="17"/>
      <c r="T382" s="17"/>
      <c r="U382" s="17"/>
      <c r="V382" s="17"/>
      <c r="W382" s="17"/>
      <c r="X382" s="103"/>
      <c r="Y382" s="17"/>
      <c r="Z382" s="101" t="str">
        <f>IF(N382="", "", IF(ISNUMBER(MATCH(N382, TextTables!A:A, 0)), "Y", "N"))</f>
        <v/>
      </c>
      <c r="AA382" s="101" t="str">
        <f>IF(ISNUMBER(MATCH(F382, '[1]Can Matrix'!M:M, 0)), "Y", "N")</f>
        <v>Y</v>
      </c>
    </row>
    <row r="383" spans="1:27" ht="16.8">
      <c r="A383" s="17"/>
      <c r="B383" s="17"/>
      <c r="C383" s="17"/>
      <c r="D383" s="17" t="s">
        <v>143</v>
      </c>
      <c r="E383" s="17"/>
      <c r="F383" s="17" t="s">
        <v>6219</v>
      </c>
      <c r="G383" s="17" t="s">
        <v>6219</v>
      </c>
      <c r="H383" s="17"/>
      <c r="I383" s="97">
        <f>VLOOKUP(F383, '[1]Can Matrix'!$M:$X, 2, FALSE)</f>
        <v>5</v>
      </c>
      <c r="J383" s="17" t="str">
        <f t="shared" si="6"/>
        <v>uint8</v>
      </c>
      <c r="K383" s="17"/>
      <c r="L383" s="17"/>
      <c r="M383" s="100" t="str">
        <f>'[1]Can Matrix'!$R$2</f>
        <v>Unsigned</v>
      </c>
      <c r="N383" s="101" t="str">
        <f>IFERROR(IF(VLOOKUP(F383, '[1]Can Matrix'!$M:$X, 12, FALSE)=0, "", "TMS_Enum_" &amp; VLOOKUP(F383, '[1]Can Matrix'!$M:$X, 12, FALSE)), "")</f>
        <v/>
      </c>
      <c r="O383" s="17"/>
      <c r="P383" s="17"/>
      <c r="Q383" s="17"/>
      <c r="R383" s="17"/>
      <c r="S383" s="17"/>
      <c r="T383" s="17"/>
      <c r="U383" s="17"/>
      <c r="V383" s="17"/>
      <c r="W383" s="17"/>
      <c r="X383" s="103"/>
      <c r="Y383" s="17"/>
      <c r="Z383" s="101" t="str">
        <f>IF(N383="", "", IF(ISNUMBER(MATCH(N383, TextTables!A:A, 0)), "Y", "N"))</f>
        <v/>
      </c>
      <c r="AA383" s="101" t="str">
        <f>IF(ISNUMBER(MATCH(F383, '[1]Can Matrix'!M:M, 0)), "Y", "N")</f>
        <v>Y</v>
      </c>
    </row>
    <row r="384" spans="1:27" ht="16.8">
      <c r="A384" s="17"/>
      <c r="B384" s="17"/>
      <c r="C384" s="17"/>
      <c r="D384" s="17" t="s">
        <v>143</v>
      </c>
      <c r="E384" s="17"/>
      <c r="F384" s="17" t="s">
        <v>6220</v>
      </c>
      <c r="G384" s="17" t="s">
        <v>6220</v>
      </c>
      <c r="H384" s="17"/>
      <c r="I384" s="97">
        <f>VLOOKUP(F384, '[1]Can Matrix'!$M:$X, 2, FALSE)</f>
        <v>5</v>
      </c>
      <c r="J384" s="17" t="str">
        <f t="shared" si="6"/>
        <v>uint8</v>
      </c>
      <c r="K384" s="17"/>
      <c r="L384" s="17"/>
      <c r="M384" s="100" t="str">
        <f>'[1]Can Matrix'!$R$2</f>
        <v>Unsigned</v>
      </c>
      <c r="N384" s="101" t="str">
        <f>IFERROR(IF(VLOOKUP(F384, '[1]Can Matrix'!$M:$X, 12, FALSE)=0, "", "TMS_Enum_" &amp; VLOOKUP(F384, '[1]Can Matrix'!$M:$X, 12, FALSE)), "")</f>
        <v/>
      </c>
      <c r="O384" s="17"/>
      <c r="P384" s="17"/>
      <c r="Q384" s="17"/>
      <c r="R384" s="17"/>
      <c r="S384" s="17"/>
      <c r="T384" s="17"/>
      <c r="U384" s="17"/>
      <c r="V384" s="17"/>
      <c r="W384" s="17"/>
      <c r="X384" s="103"/>
      <c r="Y384" s="17"/>
      <c r="Z384" s="101" t="str">
        <f>IF(N384="", "", IF(ISNUMBER(MATCH(N384, TextTables!A:A, 0)), "Y", "N"))</f>
        <v/>
      </c>
      <c r="AA384" s="101" t="str">
        <f>IF(ISNUMBER(MATCH(F384, '[1]Can Matrix'!M:M, 0)), "Y", "N")</f>
        <v>Y</v>
      </c>
    </row>
    <row r="385" spans="1:27" ht="16.8">
      <c r="A385" s="17"/>
      <c r="B385" s="17"/>
      <c r="C385" s="17"/>
      <c r="D385" s="17" t="s">
        <v>143</v>
      </c>
      <c r="E385" s="17"/>
      <c r="F385" s="17" t="s">
        <v>6221</v>
      </c>
      <c r="G385" s="17" t="s">
        <v>6221</v>
      </c>
      <c r="H385" s="17"/>
      <c r="I385" s="97">
        <f>VLOOKUP(F385, '[1]Can Matrix'!$M:$X, 2, FALSE)</f>
        <v>3</v>
      </c>
      <c r="J385" s="17" t="str">
        <f t="shared" si="6"/>
        <v>uint8</v>
      </c>
      <c r="K385" s="17"/>
      <c r="L385" s="17"/>
      <c r="M385" s="100" t="str">
        <f>'[1]Can Matrix'!$R$2</f>
        <v>Unsigned</v>
      </c>
      <c r="N385" s="101" t="str">
        <f>IFERROR(IF(VLOOKUP(F385, '[1]Can Matrix'!$M:$X, 12, FALSE)=0, "", "TMS_Enum_" &amp; VLOOKUP(F385, '[1]Can Matrix'!$M:$X, 12, FALSE)), "")</f>
        <v/>
      </c>
      <c r="O385" s="17"/>
      <c r="P385" s="17"/>
      <c r="Q385" s="17"/>
      <c r="R385" s="17"/>
      <c r="S385" s="17"/>
      <c r="T385" s="17"/>
      <c r="U385" s="17"/>
      <c r="V385" s="17"/>
      <c r="W385" s="17"/>
      <c r="X385" s="103"/>
      <c r="Y385" s="17"/>
      <c r="Z385" s="101" t="str">
        <f>IF(N385="", "", IF(ISNUMBER(MATCH(N385, TextTables!A:A, 0)), "Y", "N"))</f>
        <v/>
      </c>
      <c r="AA385" s="101" t="str">
        <f>IF(ISNUMBER(MATCH(F385, '[1]Can Matrix'!M:M, 0)), "Y", "N")</f>
        <v>Y</v>
      </c>
    </row>
    <row r="386" spans="1:27" ht="16.8">
      <c r="A386" s="17"/>
      <c r="B386" s="17"/>
      <c r="C386" s="17"/>
      <c r="D386" s="17" t="s">
        <v>143</v>
      </c>
      <c r="E386" s="17"/>
      <c r="F386" s="17" t="s">
        <v>6222</v>
      </c>
      <c r="G386" s="17" t="s">
        <v>6222</v>
      </c>
      <c r="H386" s="17"/>
      <c r="I386" s="97">
        <f>VLOOKUP(F386, '[1]Can Matrix'!$M:$X, 2, FALSE)</f>
        <v>3</v>
      </c>
      <c r="J386" s="17" t="str">
        <f t="shared" si="6"/>
        <v>uint8</v>
      </c>
      <c r="K386" s="17"/>
      <c r="L386" s="17"/>
      <c r="M386" s="100" t="str">
        <f>'[1]Can Matrix'!$R$2</f>
        <v>Unsigned</v>
      </c>
      <c r="N386" s="101" t="str">
        <f>IFERROR(IF(VLOOKUP(F386, '[1]Can Matrix'!$M:$X, 12, FALSE)=0, "", "TMS_Enum_" &amp; VLOOKUP(F386, '[1]Can Matrix'!$M:$X, 12, FALSE)), "")</f>
        <v/>
      </c>
      <c r="O386" s="17"/>
      <c r="P386" s="17"/>
      <c r="Q386" s="17"/>
      <c r="R386" s="17"/>
      <c r="S386" s="17"/>
      <c r="T386" s="17"/>
      <c r="U386" s="17"/>
      <c r="V386" s="17"/>
      <c r="W386" s="17"/>
      <c r="X386" s="103"/>
      <c r="Y386" s="17"/>
      <c r="Z386" s="101" t="str">
        <f>IF(N386="", "", IF(ISNUMBER(MATCH(N386, TextTables!A:A, 0)), "Y", "N"))</f>
        <v/>
      </c>
      <c r="AA386" s="101" t="str">
        <f>IF(ISNUMBER(MATCH(F386, '[1]Can Matrix'!M:M, 0)), "Y", "N")</f>
        <v>Y</v>
      </c>
    </row>
    <row r="387" spans="1:27" ht="16.8">
      <c r="A387" s="17"/>
      <c r="B387" s="17"/>
      <c r="C387" s="17"/>
      <c r="D387" s="17" t="s">
        <v>143</v>
      </c>
      <c r="E387" s="17"/>
      <c r="F387" s="17" t="s">
        <v>6223</v>
      </c>
      <c r="G387" s="17" t="s">
        <v>6223</v>
      </c>
      <c r="H387" s="17"/>
      <c r="I387" s="97">
        <f>VLOOKUP(F387, '[1]Can Matrix'!$M:$X, 2, FALSE)</f>
        <v>2</v>
      </c>
      <c r="J387" s="17" t="str">
        <f t="shared" si="6"/>
        <v>uint8</v>
      </c>
      <c r="K387" s="17"/>
      <c r="L387" s="17"/>
      <c r="M387" s="100" t="str">
        <f>'[1]Can Matrix'!$R$2</f>
        <v>Unsigned</v>
      </c>
      <c r="N387" s="101" t="str">
        <f>IFERROR(IF(VLOOKUP(F387, '[1]Can Matrix'!$M:$X, 12, FALSE)=0, "", "TMS_Enum_" &amp; VLOOKUP(F387, '[1]Can Matrix'!$M:$X, 12, FALSE)), "")</f>
        <v/>
      </c>
      <c r="O387" s="17"/>
      <c r="P387" s="17"/>
      <c r="Q387" s="17"/>
      <c r="R387" s="17"/>
      <c r="S387" s="17"/>
      <c r="T387" s="17"/>
      <c r="U387" s="17"/>
      <c r="V387" s="17"/>
      <c r="W387" s="17"/>
      <c r="X387" s="103"/>
      <c r="Y387" s="17"/>
      <c r="Z387" s="101" t="str">
        <f>IF(N387="", "", IF(ISNUMBER(MATCH(N387, TextTables!A:A, 0)), "Y", "N"))</f>
        <v/>
      </c>
      <c r="AA387" s="101" t="str">
        <f>IF(ISNUMBER(MATCH(F387, '[1]Can Matrix'!M:M, 0)), "Y", "N")</f>
        <v>Y</v>
      </c>
    </row>
    <row r="388" spans="1:27" ht="16.8">
      <c r="A388" s="17"/>
      <c r="B388" s="17"/>
      <c r="C388" s="17"/>
      <c r="D388" s="17" t="s">
        <v>143</v>
      </c>
      <c r="E388" s="17"/>
      <c r="F388" s="17" t="s">
        <v>6224</v>
      </c>
      <c r="G388" s="17" t="s">
        <v>6224</v>
      </c>
      <c r="H388" s="17"/>
      <c r="I388" s="97">
        <f>VLOOKUP(F388, '[1]Can Matrix'!$M:$X, 2, FALSE)</f>
        <v>3</v>
      </c>
      <c r="J388" s="17" t="str">
        <f t="shared" si="6"/>
        <v>uint8</v>
      </c>
      <c r="K388" s="17"/>
      <c r="L388" s="17"/>
      <c r="M388" s="100" t="str">
        <f>'[1]Can Matrix'!$R$2</f>
        <v>Unsigned</v>
      </c>
      <c r="N388" s="101" t="str">
        <f>IFERROR(IF(VLOOKUP(F388, '[1]Can Matrix'!$M:$X, 12, FALSE)=0, "", "TMS_Enum_" &amp; VLOOKUP(F388, '[1]Can Matrix'!$M:$X, 12, FALSE)), "")</f>
        <v/>
      </c>
      <c r="O388" s="17"/>
      <c r="P388" s="17"/>
      <c r="Q388" s="17"/>
      <c r="R388" s="17"/>
      <c r="S388" s="17"/>
      <c r="T388" s="17"/>
      <c r="U388" s="17"/>
      <c r="V388" s="17"/>
      <c r="W388" s="17"/>
      <c r="X388" s="103"/>
      <c r="Y388" s="17"/>
      <c r="Z388" s="101" t="str">
        <f>IF(N388="", "", IF(ISNUMBER(MATCH(N388, TextTables!A:A, 0)), "Y", "N"))</f>
        <v/>
      </c>
      <c r="AA388" s="101" t="str">
        <f>IF(ISNUMBER(MATCH(F388, '[1]Can Matrix'!M:M, 0)), "Y", "N")</f>
        <v>Y</v>
      </c>
    </row>
    <row r="389" spans="1:27" ht="16.8">
      <c r="A389" s="17"/>
      <c r="B389" s="17"/>
      <c r="C389" s="17"/>
      <c r="D389" s="17" t="s">
        <v>143</v>
      </c>
      <c r="E389" s="17"/>
      <c r="F389" s="17" t="s">
        <v>6225</v>
      </c>
      <c r="G389" s="17" t="s">
        <v>6225</v>
      </c>
      <c r="H389" s="17"/>
      <c r="I389" s="97">
        <f>VLOOKUP(F389, '[1]Can Matrix'!$M:$X, 2, FALSE)</f>
        <v>12</v>
      </c>
      <c r="J389" s="17" t="str">
        <f t="shared" si="6"/>
        <v>uint16</v>
      </c>
      <c r="K389" s="17"/>
      <c r="L389" s="17"/>
      <c r="M389" s="100" t="str">
        <f>'[1]Can Matrix'!$R$2</f>
        <v>Unsigned</v>
      </c>
      <c r="N389" s="101" t="str">
        <f>IFERROR(IF(VLOOKUP(F389, '[1]Can Matrix'!$M:$X, 12, FALSE)=0, "", "TMS_Enum_" &amp; VLOOKUP(F389, '[1]Can Matrix'!$M:$X, 12, FALSE)), "")</f>
        <v/>
      </c>
      <c r="O389" s="17"/>
      <c r="P389" s="17"/>
      <c r="Q389" s="17"/>
      <c r="R389" s="17"/>
      <c r="S389" s="17"/>
      <c r="T389" s="17"/>
      <c r="U389" s="17"/>
      <c r="V389" s="17"/>
      <c r="W389" s="17"/>
      <c r="X389" s="103"/>
      <c r="Y389" s="17"/>
      <c r="Z389" s="101" t="str">
        <f>IF(N389="", "", IF(ISNUMBER(MATCH(N389, TextTables!A:A, 0)), "Y", "N"))</f>
        <v/>
      </c>
      <c r="AA389" s="101" t="str">
        <f>IF(ISNUMBER(MATCH(F389, '[1]Can Matrix'!M:M, 0)), "Y", "N")</f>
        <v>Y</v>
      </c>
    </row>
    <row r="390" spans="1:27" ht="16.8">
      <c r="A390" s="17"/>
      <c r="B390" s="17"/>
      <c r="C390" s="17"/>
      <c r="D390" s="17" t="s">
        <v>143</v>
      </c>
      <c r="E390" s="17"/>
      <c r="F390" s="17" t="s">
        <v>6226</v>
      </c>
      <c r="G390" s="17" t="s">
        <v>6226</v>
      </c>
      <c r="H390" s="17"/>
      <c r="I390" s="97">
        <f>VLOOKUP(F390, '[1]Can Matrix'!$M:$X, 2, FALSE)</f>
        <v>8</v>
      </c>
      <c r="J390" s="17" t="str">
        <f t="shared" si="6"/>
        <v>uint8</v>
      </c>
      <c r="K390" s="17"/>
      <c r="L390" s="17"/>
      <c r="M390" s="100" t="str">
        <f>'[1]Can Matrix'!$R$2</f>
        <v>Unsigned</v>
      </c>
      <c r="N390" s="101" t="str">
        <f>IFERROR(IF(VLOOKUP(F390, '[1]Can Matrix'!$M:$X, 12, FALSE)=0, "", "TMS_Enum_" &amp; VLOOKUP(F390, '[1]Can Matrix'!$M:$X, 12, FALSE)), "")</f>
        <v/>
      </c>
      <c r="O390" s="17"/>
      <c r="P390" s="17"/>
      <c r="Q390" s="17"/>
      <c r="R390" s="17"/>
      <c r="S390" s="17"/>
      <c r="T390" s="17"/>
      <c r="U390" s="17"/>
      <c r="V390" s="17"/>
      <c r="W390" s="17"/>
      <c r="X390" s="103"/>
      <c r="Y390" s="17"/>
      <c r="Z390" s="101" t="str">
        <f>IF(N390="", "", IF(ISNUMBER(MATCH(N390, TextTables!A:A, 0)), "Y", "N"))</f>
        <v/>
      </c>
      <c r="AA390" s="101" t="str">
        <f>IF(ISNUMBER(MATCH(F390, '[1]Can Matrix'!M:M, 0)), "Y", "N")</f>
        <v>Y</v>
      </c>
    </row>
    <row r="391" spans="1:27" ht="16.8">
      <c r="A391" s="17"/>
      <c r="B391" s="17"/>
      <c r="C391" s="17"/>
      <c r="D391" s="17" t="s">
        <v>143</v>
      </c>
      <c r="E391" s="17"/>
      <c r="F391" s="17" t="s">
        <v>6227</v>
      </c>
      <c r="G391" s="17" t="s">
        <v>6227</v>
      </c>
      <c r="H391" s="17"/>
      <c r="I391" s="97">
        <f>VLOOKUP(F391, '[1]Can Matrix'!$M:$X, 2, FALSE)</f>
        <v>8</v>
      </c>
      <c r="J391" s="17" t="str">
        <f t="shared" si="6"/>
        <v>uint8</v>
      </c>
      <c r="K391" s="17"/>
      <c r="L391" s="17"/>
      <c r="M391" s="100" t="str">
        <f>'[1]Can Matrix'!$R$2</f>
        <v>Unsigned</v>
      </c>
      <c r="N391" s="101" t="str">
        <f>IFERROR(IF(VLOOKUP(F391, '[1]Can Matrix'!$M:$X, 12, FALSE)=0, "", "TMS_Enum_" &amp; VLOOKUP(F391, '[1]Can Matrix'!$M:$X, 12, FALSE)), "")</f>
        <v/>
      </c>
      <c r="O391" s="17"/>
      <c r="P391" s="17"/>
      <c r="Q391" s="17"/>
      <c r="R391" s="17"/>
      <c r="S391" s="17"/>
      <c r="T391" s="17"/>
      <c r="U391" s="17"/>
      <c r="V391" s="17"/>
      <c r="W391" s="17"/>
      <c r="X391" s="103"/>
      <c r="Y391" s="17"/>
      <c r="Z391" s="101" t="str">
        <f>IF(N391="", "", IF(ISNUMBER(MATCH(N391, TextTables!A:A, 0)), "Y", "N"))</f>
        <v/>
      </c>
      <c r="AA391" s="101" t="str">
        <f>IF(ISNUMBER(MATCH(F391, '[1]Can Matrix'!M:M, 0)), "Y", "N")</f>
        <v>Y</v>
      </c>
    </row>
    <row r="392" spans="1:27" ht="16.8">
      <c r="A392" s="17"/>
      <c r="B392" s="17"/>
      <c r="C392" s="17"/>
      <c r="D392" s="17" t="s">
        <v>143</v>
      </c>
      <c r="E392" s="17"/>
      <c r="F392" s="17" t="s">
        <v>6228</v>
      </c>
      <c r="G392" s="17" t="s">
        <v>6228</v>
      </c>
      <c r="H392" s="17"/>
      <c r="I392" s="97">
        <f>VLOOKUP(F392, '[1]Can Matrix'!$M:$X, 2, FALSE)</f>
        <v>3</v>
      </c>
      <c r="J392" s="17" t="str">
        <f t="shared" si="6"/>
        <v>uint8</v>
      </c>
      <c r="K392" s="17"/>
      <c r="L392" s="17"/>
      <c r="M392" s="100" t="str">
        <f>'[1]Can Matrix'!$R$2</f>
        <v>Unsigned</v>
      </c>
      <c r="N392" s="101" t="str">
        <f>IFERROR(IF(VLOOKUP(F392, '[1]Can Matrix'!$M:$X, 12, FALSE)=0, "", "TMS_Enum_" &amp; VLOOKUP(F392, '[1]Can Matrix'!$M:$X, 12, FALSE)), "")</f>
        <v>TMS_Enum_CmprSts</v>
      </c>
      <c r="O392" s="17"/>
      <c r="P392" s="17"/>
      <c r="Q392" s="17"/>
      <c r="R392" s="17"/>
      <c r="S392" s="17"/>
      <c r="T392" s="17"/>
      <c r="U392" s="17"/>
      <c r="V392" s="17"/>
      <c r="W392" s="17"/>
      <c r="X392" s="103"/>
      <c r="Y392" s="17"/>
      <c r="Z392" s="101" t="str">
        <f>IF(N392="", "", IF(ISNUMBER(MATCH(N392, TextTables!A:A, 0)), "Y", "N"))</f>
        <v>Y</v>
      </c>
      <c r="AA392" s="101" t="str">
        <f>IF(ISNUMBER(MATCH(F392, '[1]Can Matrix'!M:M, 0)), "Y", "N")</f>
        <v>Y</v>
      </c>
    </row>
    <row r="393" spans="1:27" ht="16.8">
      <c r="A393" s="17"/>
      <c r="B393" s="17"/>
      <c r="C393" s="17"/>
      <c r="D393" s="17" t="s">
        <v>143</v>
      </c>
      <c r="E393" s="17"/>
      <c r="F393" s="17" t="s">
        <v>6229</v>
      </c>
      <c r="G393" s="17" t="s">
        <v>6229</v>
      </c>
      <c r="H393" s="17"/>
      <c r="I393" s="97">
        <f>VLOOKUP(F393, '[1]Can Matrix'!$M:$X, 2, FALSE)</f>
        <v>4</v>
      </c>
      <c r="J393" s="17" t="str">
        <f t="shared" si="6"/>
        <v>uint8</v>
      </c>
      <c r="K393" s="17"/>
      <c r="L393" s="17"/>
      <c r="M393" s="100" t="str">
        <f>'[1]Can Matrix'!$R$2</f>
        <v>Unsigned</v>
      </c>
      <c r="N393" s="101" t="str">
        <f>IFERROR(IF(VLOOKUP(F393, '[1]Can Matrix'!$M:$X, 12, FALSE)=0, "", "TMS_Enum_" &amp; VLOOKUP(F393, '[1]Can Matrix'!$M:$X, 12, FALSE)), "")</f>
        <v>TMS_Enum_CompStat</v>
      </c>
      <c r="O393" s="17"/>
      <c r="P393" s="17"/>
      <c r="Q393" s="17"/>
      <c r="R393" s="17"/>
      <c r="S393" s="17"/>
      <c r="T393" s="17"/>
      <c r="U393" s="17"/>
      <c r="V393" s="17"/>
      <c r="W393" s="17"/>
      <c r="X393" s="103"/>
      <c r="Y393" s="17"/>
      <c r="Z393" s="101" t="str">
        <f>IF(N393="", "", IF(ISNUMBER(MATCH(N393, TextTables!A:A, 0)), "Y", "N"))</f>
        <v>Y</v>
      </c>
      <c r="AA393" s="101" t="str">
        <f>IF(ISNUMBER(MATCH(F393, '[1]Can Matrix'!M:M, 0)), "Y", "N")</f>
        <v>Y</v>
      </c>
    </row>
    <row r="394" spans="1:27" ht="16.8">
      <c r="A394" s="17"/>
      <c r="B394" s="17"/>
      <c r="C394" s="17"/>
      <c r="D394" s="17" t="s">
        <v>143</v>
      </c>
      <c r="E394" s="17"/>
      <c r="F394" s="17" t="s">
        <v>6230</v>
      </c>
      <c r="G394" s="17" t="s">
        <v>6230</v>
      </c>
      <c r="H394" s="17"/>
      <c r="I394" s="97">
        <f>VLOOKUP(F394, '[1]Can Matrix'!$M:$X, 2, FALSE)</f>
        <v>8</v>
      </c>
      <c r="J394" s="17" t="str">
        <f t="shared" si="6"/>
        <v>uint8</v>
      </c>
      <c r="K394" s="17"/>
      <c r="L394" s="17"/>
      <c r="M394" s="100" t="str">
        <f>'[1]Can Matrix'!$R$2</f>
        <v>Unsigned</v>
      </c>
      <c r="N394" s="101" t="str">
        <f>IFERROR(IF(VLOOKUP(F394, '[1]Can Matrix'!$M:$X, 12, FALSE)=0, "", "TMS_Enum_" &amp; VLOOKUP(F394, '[1]Can Matrix'!$M:$X, 12, FALSE)), "")</f>
        <v/>
      </c>
      <c r="O394" s="17"/>
      <c r="P394" s="17"/>
      <c r="Q394" s="17"/>
      <c r="R394" s="17"/>
      <c r="S394" s="17"/>
      <c r="T394" s="17"/>
      <c r="U394" s="17"/>
      <c r="V394" s="17"/>
      <c r="W394" s="17"/>
      <c r="X394" s="103"/>
      <c r="Y394" s="17"/>
      <c r="Z394" s="101" t="str">
        <f>IF(N394="", "", IF(ISNUMBER(MATCH(N394, TextTables!A:A, 0)), "Y", "N"))</f>
        <v/>
      </c>
      <c r="AA394" s="101" t="str">
        <f>IF(ISNUMBER(MATCH(F394, '[1]Can Matrix'!M:M, 0)), "Y", "N")</f>
        <v>Y</v>
      </c>
    </row>
    <row r="395" spans="1:27" ht="16.8">
      <c r="A395" s="17"/>
      <c r="B395" s="17"/>
      <c r="C395" s="17"/>
      <c r="D395" s="17" t="s">
        <v>143</v>
      </c>
      <c r="E395" s="17"/>
      <c r="F395" s="17" t="s">
        <v>6231</v>
      </c>
      <c r="G395" s="17" t="s">
        <v>6231</v>
      </c>
      <c r="H395" s="17"/>
      <c r="I395" s="97">
        <f>VLOOKUP(F395, '[1]Can Matrix'!$M:$X, 2, FALSE)</f>
        <v>8</v>
      </c>
      <c r="J395" s="17" t="str">
        <f t="shared" si="6"/>
        <v>uint8</v>
      </c>
      <c r="K395" s="17"/>
      <c r="L395" s="17"/>
      <c r="M395" s="100" t="str">
        <f>'[1]Can Matrix'!$R$2</f>
        <v>Unsigned</v>
      </c>
      <c r="N395" s="101" t="str">
        <f>IFERROR(IF(VLOOKUP(F395, '[1]Can Matrix'!$M:$X, 12, FALSE)=0, "", "TMS_Enum_" &amp; VLOOKUP(F395, '[1]Can Matrix'!$M:$X, 12, FALSE)), "")</f>
        <v/>
      </c>
      <c r="O395" s="17"/>
      <c r="P395" s="17"/>
      <c r="Q395" s="17"/>
      <c r="R395" s="17"/>
      <c r="S395" s="17"/>
      <c r="T395" s="17"/>
      <c r="U395" s="17"/>
      <c r="V395" s="17"/>
      <c r="W395" s="17"/>
      <c r="X395" s="103"/>
      <c r="Y395" s="17"/>
      <c r="Z395" s="101" t="str">
        <f>IF(N395="", "", IF(ISNUMBER(MATCH(N395, TextTables!A:A, 0)), "Y", "N"))</f>
        <v/>
      </c>
      <c r="AA395" s="101" t="str">
        <f>IF(ISNUMBER(MATCH(F395, '[1]Can Matrix'!M:M, 0)), "Y", "N")</f>
        <v>Y</v>
      </c>
    </row>
    <row r="396" spans="1:27" ht="16.8">
      <c r="A396" s="17"/>
      <c r="B396" s="17"/>
      <c r="C396" s="17"/>
      <c r="D396" s="17" t="s">
        <v>143</v>
      </c>
      <c r="E396" s="17"/>
      <c r="F396" s="17" t="s">
        <v>6232</v>
      </c>
      <c r="G396" s="17" t="s">
        <v>6232</v>
      </c>
      <c r="H396" s="17"/>
      <c r="I396" s="97">
        <f>VLOOKUP(F396, '[1]Can Matrix'!$M:$X, 2, FALSE)</f>
        <v>10</v>
      </c>
      <c r="J396" s="17" t="str">
        <f t="shared" si="6"/>
        <v>uint16</v>
      </c>
      <c r="K396" s="17"/>
      <c r="L396" s="17"/>
      <c r="M396" s="100" t="str">
        <f>'[1]Can Matrix'!$R$2</f>
        <v>Unsigned</v>
      </c>
      <c r="N396" s="101" t="str">
        <f>IFERROR(IF(VLOOKUP(F396, '[1]Can Matrix'!$M:$X, 12, FALSE)=0, "", "TMS_Enum_" &amp; VLOOKUP(F396, '[1]Can Matrix'!$M:$X, 12, FALSE)), "")</f>
        <v/>
      </c>
      <c r="O396" s="17"/>
      <c r="P396" s="17"/>
      <c r="Q396" s="17"/>
      <c r="R396" s="17"/>
      <c r="S396" s="17"/>
      <c r="T396" s="17"/>
      <c r="U396" s="17"/>
      <c r="V396" s="17"/>
      <c r="W396" s="17"/>
      <c r="X396" s="103"/>
      <c r="Y396" s="17"/>
      <c r="Z396" s="101" t="str">
        <f>IF(N396="", "", IF(ISNUMBER(MATCH(N396, TextTables!A:A, 0)), "Y", "N"))</f>
        <v/>
      </c>
      <c r="AA396" s="101" t="str">
        <f>IF(ISNUMBER(MATCH(F396, '[1]Can Matrix'!M:M, 0)), "Y", "N")</f>
        <v>Y</v>
      </c>
    </row>
    <row r="397" spans="1:27" ht="16.8">
      <c r="A397" s="17"/>
      <c r="B397" s="17"/>
      <c r="C397" s="17"/>
      <c r="D397" s="17" t="s">
        <v>143</v>
      </c>
      <c r="E397" s="17"/>
      <c r="F397" s="17" t="s">
        <v>6233</v>
      </c>
      <c r="G397" s="17" t="s">
        <v>6233</v>
      </c>
      <c r="H397" s="17"/>
      <c r="I397" s="97">
        <f>VLOOKUP(F397, '[1]Can Matrix'!$M:$X, 2, FALSE)</f>
        <v>1</v>
      </c>
      <c r="J397" s="17" t="str">
        <f t="shared" si="6"/>
        <v>uint8</v>
      </c>
      <c r="K397" s="17"/>
      <c r="L397" s="17"/>
      <c r="M397" s="100" t="str">
        <f>'[1]Can Matrix'!$R$2</f>
        <v>Unsigned</v>
      </c>
      <c r="N397" s="101" t="str">
        <f>IFERROR(IF(VLOOKUP(F397, '[1]Can Matrix'!$M:$X, 12, FALSE)=0, "", "TMS_Enum_" &amp; VLOOKUP(F397, '[1]Can Matrix'!$M:$X, 12, FALSE)), "")</f>
        <v>TMS_Enum_VlvMovEna</v>
      </c>
      <c r="O397" s="17"/>
      <c r="P397" s="17"/>
      <c r="Q397" s="17"/>
      <c r="R397" s="17"/>
      <c r="S397" s="17"/>
      <c r="T397" s="17"/>
      <c r="U397" s="17"/>
      <c r="V397" s="17"/>
      <c r="W397" s="17"/>
      <c r="X397" s="103"/>
      <c r="Y397" s="17"/>
      <c r="Z397" s="101" t="str">
        <f>IF(N397="", "", IF(ISNUMBER(MATCH(N397, TextTables!A:A, 0)), "Y", "N"))</f>
        <v>Y</v>
      </c>
      <c r="AA397" s="101" t="str">
        <f>IF(ISNUMBER(MATCH(F397, '[1]Can Matrix'!M:M, 0)), "Y", "N")</f>
        <v>Y</v>
      </c>
    </row>
    <row r="398" spans="1:27" ht="16.8">
      <c r="A398" s="17"/>
      <c r="B398" s="17"/>
      <c r="C398" s="17"/>
      <c r="D398" s="17" t="s">
        <v>143</v>
      </c>
      <c r="E398" s="17"/>
      <c r="F398" s="17" t="s">
        <v>6234</v>
      </c>
      <c r="G398" s="17" t="s">
        <v>6234</v>
      </c>
      <c r="H398" s="17"/>
      <c r="I398" s="97">
        <f>VLOOKUP(F398, '[1]Can Matrix'!$M:$X, 2, FALSE)</f>
        <v>5</v>
      </c>
      <c r="J398" s="17" t="str">
        <f t="shared" si="6"/>
        <v>uint8</v>
      </c>
      <c r="K398" s="17"/>
      <c r="L398" s="17"/>
      <c r="M398" s="100" t="str">
        <f>'[1]Can Matrix'!$R$2</f>
        <v>Unsigned</v>
      </c>
      <c r="N398" s="101" t="str">
        <f>IFERROR(IF(VLOOKUP(F398, '[1]Can Matrix'!$M:$X, 12, FALSE)=0, "", "TMS_Enum_" &amp; VLOOKUP(F398, '[1]Can Matrix'!$M:$X, 12, FALSE)), "")</f>
        <v>TMS_Enum_VlvPosSetReq</v>
      </c>
      <c r="O398" s="17"/>
      <c r="P398" s="17"/>
      <c r="Q398" s="17"/>
      <c r="R398" s="17"/>
      <c r="S398" s="17"/>
      <c r="T398" s="17"/>
      <c r="U398" s="17"/>
      <c r="V398" s="17"/>
      <c r="W398" s="17"/>
      <c r="X398" s="103"/>
      <c r="Y398" s="17"/>
      <c r="Z398" s="101" t="str">
        <f>IF(N398="", "", IF(ISNUMBER(MATCH(N398, TextTables!A:A, 0)), "Y", "N"))</f>
        <v>Y</v>
      </c>
      <c r="AA398" s="101" t="str">
        <f>IF(ISNUMBER(MATCH(F398, '[1]Can Matrix'!M:M, 0)), "Y", "N")</f>
        <v>Y</v>
      </c>
    </row>
    <row r="399" spans="1:27" ht="16.8">
      <c r="A399" s="17"/>
      <c r="B399" s="17"/>
      <c r="C399" s="17"/>
      <c r="D399" s="17" t="s">
        <v>143</v>
      </c>
      <c r="E399" s="17"/>
      <c r="F399" s="17" t="s">
        <v>6235</v>
      </c>
      <c r="G399" s="17" t="s">
        <v>6235</v>
      </c>
      <c r="H399" s="17"/>
      <c r="I399" s="97">
        <f>VLOOKUP(F399, '[1]Can Matrix'!$M:$X, 2, FALSE)</f>
        <v>2</v>
      </c>
      <c r="J399" s="17" t="str">
        <f t="shared" si="6"/>
        <v>uint8</v>
      </c>
      <c r="K399" s="17"/>
      <c r="L399" s="17"/>
      <c r="M399" s="100" t="str">
        <f>'[1]Can Matrix'!$R$2</f>
        <v>Unsigned</v>
      </c>
      <c r="N399" s="101" t="str">
        <f>IFERROR(IF(VLOOKUP(F399, '[1]Can Matrix'!$M:$X, 12, FALSE)=0, "", "TMS_Enum_" &amp; VLOOKUP(F399, '[1]Can Matrix'!$M:$X, 12, FALSE)), "")</f>
        <v>TMS_Enum_VlvSpdLvlReq</v>
      </c>
      <c r="O399" s="17"/>
      <c r="P399" s="17"/>
      <c r="Q399" s="17"/>
      <c r="R399" s="17"/>
      <c r="S399" s="17"/>
      <c r="T399" s="17"/>
      <c r="U399" s="17"/>
      <c r="V399" s="17"/>
      <c r="W399" s="17"/>
      <c r="X399" s="103"/>
      <c r="Y399" s="17"/>
      <c r="Z399" s="101" t="str">
        <f>IF(N399="", "", IF(ISNUMBER(MATCH(N399, TextTables!A:A, 0)), "Y", "N"))</f>
        <v>Y</v>
      </c>
      <c r="AA399" s="101" t="str">
        <f>IF(ISNUMBER(MATCH(F399, '[1]Can Matrix'!M:M, 0)), "Y", "N")</f>
        <v>Y</v>
      </c>
    </row>
    <row r="400" spans="1:27" ht="16.8">
      <c r="A400" s="17"/>
      <c r="B400" s="17"/>
      <c r="C400" s="17"/>
      <c r="D400" s="17" t="s">
        <v>143</v>
      </c>
      <c r="E400" s="17"/>
      <c r="F400" s="17" t="s">
        <v>6236</v>
      </c>
      <c r="G400" s="17" t="s">
        <v>6236</v>
      </c>
      <c r="H400" s="17"/>
      <c r="I400" s="97">
        <f>VLOOKUP(F400, '[1]Can Matrix'!$M:$X, 2, FALSE)</f>
        <v>3</v>
      </c>
      <c r="J400" s="17" t="str">
        <f t="shared" si="6"/>
        <v>uint8</v>
      </c>
      <c r="K400" s="17"/>
      <c r="L400" s="17"/>
      <c r="M400" s="100" t="str">
        <f>'[1]Can Matrix'!$R$2</f>
        <v>Unsigned</v>
      </c>
      <c r="N400" s="101" t="str">
        <f>IFERROR(IF(VLOOKUP(F400, '[1]Can Matrix'!$M:$X, 12, FALSE)=0, "", "TMS_Enum_" &amp; VLOOKUP(F400, '[1]Can Matrix'!$M:$X, 12, FALSE)), "")</f>
        <v>TMS_Enum_VlvFaultSts</v>
      </c>
      <c r="O400" s="17"/>
      <c r="P400" s="17"/>
      <c r="Q400" s="17"/>
      <c r="R400" s="17"/>
      <c r="S400" s="17"/>
      <c r="T400" s="17"/>
      <c r="U400" s="17"/>
      <c r="V400" s="17"/>
      <c r="W400" s="17"/>
      <c r="X400" s="103"/>
      <c r="Y400" s="17"/>
      <c r="Z400" s="101" t="str">
        <f>IF(N400="", "", IF(ISNUMBER(MATCH(N400, TextTables!A:A, 0)), "Y", "N"))</f>
        <v>Y</v>
      </c>
      <c r="AA400" s="101" t="str">
        <f>IF(ISNUMBER(MATCH(F400, '[1]Can Matrix'!M:M, 0)), "Y", "N")</f>
        <v>Y</v>
      </c>
    </row>
    <row r="401" spans="1:27" ht="16.8">
      <c r="A401" s="17"/>
      <c r="B401" s="17"/>
      <c r="C401" s="17"/>
      <c r="D401" s="17" t="s">
        <v>143</v>
      </c>
      <c r="E401" s="17"/>
      <c r="F401" s="17" t="s">
        <v>6237</v>
      </c>
      <c r="G401" s="17" t="s">
        <v>6237</v>
      </c>
      <c r="H401" s="17"/>
      <c r="I401" s="97">
        <f>VLOOKUP(F401, '[1]Can Matrix'!$M:$X, 2, FALSE)</f>
        <v>5</v>
      </c>
      <c r="J401" s="17" t="str">
        <f t="shared" si="6"/>
        <v>uint8</v>
      </c>
      <c r="K401" s="17"/>
      <c r="L401" s="17"/>
      <c r="M401" s="100" t="str">
        <f>'[1]Can Matrix'!$R$2</f>
        <v>Unsigned</v>
      </c>
      <c r="N401" s="101" t="str">
        <f>IFERROR(IF(VLOOKUP(F401, '[1]Can Matrix'!$M:$X, 12, FALSE)=0, "", "TMS_Enum_" &amp; VLOOKUP(F401, '[1]Can Matrix'!$M:$X, 12, FALSE)), "")</f>
        <v>TMS_Enum_VlvPosSts</v>
      </c>
      <c r="O401" s="17"/>
      <c r="P401" s="17"/>
      <c r="Q401" s="17"/>
      <c r="R401" s="17"/>
      <c r="S401" s="17"/>
      <c r="T401" s="17"/>
      <c r="U401" s="17"/>
      <c r="V401" s="17"/>
      <c r="W401" s="17"/>
      <c r="X401" s="103"/>
      <c r="Y401" s="17"/>
      <c r="Z401" s="101" t="str">
        <f>IF(N401="", "", IF(ISNUMBER(MATCH(N401, TextTables!A:A, 0)), "Y", "N"))</f>
        <v>Y</v>
      </c>
      <c r="AA401" s="101" t="str">
        <f>IF(ISNUMBER(MATCH(F401, '[1]Can Matrix'!M:M, 0)), "Y", "N")</f>
        <v>Y</v>
      </c>
    </row>
    <row r="402" spans="1:27" ht="16.8">
      <c r="A402" s="17"/>
      <c r="B402" s="17"/>
      <c r="C402" s="17"/>
      <c r="D402" s="17" t="s">
        <v>143</v>
      </c>
      <c r="E402" s="17"/>
      <c r="F402" s="17" t="s">
        <v>6238</v>
      </c>
      <c r="G402" s="17" t="s">
        <v>6238</v>
      </c>
      <c r="H402" s="17"/>
      <c r="I402" s="97">
        <f>VLOOKUP(F402, '[1]Can Matrix'!$M:$X, 2, FALSE)</f>
        <v>1</v>
      </c>
      <c r="J402" s="17" t="str">
        <f t="shared" si="6"/>
        <v>uint8</v>
      </c>
      <c r="K402" s="17"/>
      <c r="L402" s="17"/>
      <c r="M402" s="100" t="str">
        <f>'[1]Can Matrix'!$R$2</f>
        <v>Unsigned</v>
      </c>
      <c r="N402" s="101" t="str">
        <f>IFERROR(IF(VLOOKUP(F402, '[1]Can Matrix'!$M:$X, 12, FALSE)=0, "", "TMS_Enum_" &amp; VLOOKUP(F402, '[1]Can Matrix'!$M:$X, 12, FALSE)), "")</f>
        <v>TMS_Enum_VlvRunSts</v>
      </c>
      <c r="O402" s="17"/>
      <c r="P402" s="17"/>
      <c r="Q402" s="17"/>
      <c r="R402" s="17"/>
      <c r="S402" s="17"/>
      <c r="T402" s="17"/>
      <c r="U402" s="17"/>
      <c r="V402" s="17"/>
      <c r="W402" s="17"/>
      <c r="X402" s="103"/>
      <c r="Y402" s="17"/>
      <c r="Z402" s="101" t="str">
        <f>IF(N402="", "", IF(ISNUMBER(MATCH(N402, TextTables!A:A, 0)), "Y", "N"))</f>
        <v>Y</v>
      </c>
      <c r="AA402" s="101" t="str">
        <f>IF(ISNUMBER(MATCH(F402, '[1]Can Matrix'!M:M, 0)), "Y", "N")</f>
        <v>Y</v>
      </c>
    </row>
    <row r="403" spans="1:27" ht="16.8">
      <c r="A403" s="17"/>
      <c r="B403" s="17"/>
      <c r="C403" s="17"/>
      <c r="D403" s="17" t="s">
        <v>143</v>
      </c>
      <c r="E403" s="17"/>
      <c r="F403" s="17" t="s">
        <v>6239</v>
      </c>
      <c r="G403" s="17" t="s">
        <v>6239</v>
      </c>
      <c r="H403" s="17"/>
      <c r="I403" s="97">
        <f>VLOOKUP(F403, '[1]Can Matrix'!$M:$X, 2, FALSE)</f>
        <v>2</v>
      </c>
      <c r="J403" s="17" t="str">
        <f t="shared" si="6"/>
        <v>uint8</v>
      </c>
      <c r="K403" s="17"/>
      <c r="L403" s="17"/>
      <c r="M403" s="100" t="str">
        <f>'[1]Can Matrix'!$R$2</f>
        <v>Unsigned</v>
      </c>
      <c r="N403" s="101" t="str">
        <f>IFERROR(IF(VLOOKUP(F403, '[1]Can Matrix'!$M:$X, 12, FALSE)=0, "", "TMS_Enum_" &amp; VLOOKUP(F403, '[1]Can Matrix'!$M:$X, 12, FALSE)), "")</f>
        <v>TMS_Enum_VlvSpdLvl</v>
      </c>
      <c r="O403" s="17"/>
      <c r="P403" s="17"/>
      <c r="Q403" s="17"/>
      <c r="R403" s="17"/>
      <c r="S403" s="17"/>
      <c r="T403" s="17"/>
      <c r="U403" s="17"/>
      <c r="V403" s="17"/>
      <c r="W403" s="17"/>
      <c r="X403" s="103"/>
      <c r="Y403" s="17"/>
      <c r="Z403" s="101" t="str">
        <f>IF(N403="", "", IF(ISNUMBER(MATCH(N403, TextTables!A:A, 0)), "Y", "N"))</f>
        <v>Y</v>
      </c>
      <c r="AA403" s="101" t="str">
        <f>IF(ISNUMBER(MATCH(F403, '[1]Can Matrix'!M:M, 0)), "Y", "N")</f>
        <v>Y</v>
      </c>
    </row>
    <row r="404" spans="1:27" ht="16.8">
      <c r="A404" s="17"/>
      <c r="B404" s="17"/>
      <c r="C404" s="17"/>
      <c r="D404" s="17" t="s">
        <v>143</v>
      </c>
      <c r="E404" s="17"/>
      <c r="F404" s="17" t="s">
        <v>6240</v>
      </c>
      <c r="G404" s="17" t="s">
        <v>6240</v>
      </c>
      <c r="H404" s="17"/>
      <c r="I404" s="97">
        <f>VLOOKUP(F404, '[1]Can Matrix'!$M:$X, 2, FALSE)</f>
        <v>2</v>
      </c>
      <c r="J404" s="17" t="str">
        <f t="shared" si="6"/>
        <v>uint8</v>
      </c>
      <c r="K404" s="17"/>
      <c r="L404" s="17"/>
      <c r="M404" s="100" t="str">
        <f>'[1]Can Matrix'!$R$2</f>
        <v>Unsigned</v>
      </c>
      <c r="N404" s="101" t="str">
        <f>IFERROR(IF(VLOOKUP(F404, '[1]Can Matrix'!$M:$X, 12, FALSE)=0, "", "TMS_Enum_" &amp; VLOOKUP(F404, '[1]Can Matrix'!$M:$X, 12, FALSE)), "")</f>
        <v>TMS_Enum_VlvTempSts</v>
      </c>
      <c r="O404" s="17"/>
      <c r="P404" s="17"/>
      <c r="Q404" s="17"/>
      <c r="R404" s="17"/>
      <c r="S404" s="17"/>
      <c r="T404" s="17"/>
      <c r="U404" s="17"/>
      <c r="V404" s="17"/>
      <c r="W404" s="17"/>
      <c r="X404" s="103"/>
      <c r="Y404" s="17"/>
      <c r="Z404" s="101" t="str">
        <f>IF(N404="", "", IF(ISNUMBER(MATCH(N404, TextTables!A:A, 0)), "Y", "N"))</f>
        <v>Y</v>
      </c>
      <c r="AA404" s="101" t="str">
        <f>IF(ISNUMBER(MATCH(F404, '[1]Can Matrix'!M:M, 0)), "Y", "N")</f>
        <v>Y</v>
      </c>
    </row>
    <row r="405" spans="1:27" ht="16.8">
      <c r="A405" s="17"/>
      <c r="B405" s="17"/>
      <c r="C405" s="17"/>
      <c r="D405" s="17" t="s">
        <v>143</v>
      </c>
      <c r="E405" s="17"/>
      <c r="F405" s="17" t="s">
        <v>6241</v>
      </c>
      <c r="G405" s="17" t="s">
        <v>6241</v>
      </c>
      <c r="H405" s="17"/>
      <c r="I405" s="97">
        <f>VLOOKUP(F405, '[1]Can Matrix'!$M:$X, 2, FALSE)</f>
        <v>2</v>
      </c>
      <c r="J405" s="17" t="str">
        <f t="shared" si="6"/>
        <v>uint8</v>
      </c>
      <c r="K405" s="17"/>
      <c r="L405" s="17"/>
      <c r="M405" s="100" t="str">
        <f>'[1]Can Matrix'!$R$2</f>
        <v>Unsigned</v>
      </c>
      <c r="N405" s="101" t="str">
        <f>IFERROR(IF(VLOOKUP(F405, '[1]Can Matrix'!$M:$X, 12, FALSE)=0, "", "TMS_Enum_" &amp; VLOOKUP(F405, '[1]Can Matrix'!$M:$X, 12, FALSE)), "")</f>
        <v>TMS_Enum_VoltSts</v>
      </c>
      <c r="O405" s="17"/>
      <c r="P405" s="17"/>
      <c r="Q405" s="17"/>
      <c r="R405" s="17"/>
      <c r="S405" s="17"/>
      <c r="T405" s="17"/>
      <c r="U405" s="17"/>
      <c r="V405" s="17"/>
      <c r="W405" s="17"/>
      <c r="X405" s="103"/>
      <c r="Y405" s="17"/>
      <c r="Z405" s="101" t="str">
        <f>IF(N405="", "", IF(ISNUMBER(MATCH(N405, TextTables!A:A, 0)), "Y", "N"))</f>
        <v>Y</v>
      </c>
      <c r="AA405" s="101" t="str">
        <f>IF(ISNUMBER(MATCH(F405, '[1]Can Matrix'!M:M, 0)), "Y", "N")</f>
        <v>Y</v>
      </c>
    </row>
    <row r="406" spans="1:27" ht="16.8">
      <c r="A406" s="17"/>
      <c r="B406" s="17"/>
      <c r="C406" s="17"/>
      <c r="D406" s="17" t="s">
        <v>143</v>
      </c>
      <c r="E406" s="17"/>
      <c r="F406" s="17" t="s">
        <v>6242</v>
      </c>
      <c r="G406" s="17" t="s">
        <v>6242</v>
      </c>
      <c r="H406" s="17"/>
      <c r="I406" s="97">
        <f>VLOOKUP(F406, '[1]Can Matrix'!$M:$X, 2, FALSE)</f>
        <v>8</v>
      </c>
      <c r="J406" s="17" t="str">
        <f t="shared" si="6"/>
        <v>uint8</v>
      </c>
      <c r="K406" s="17"/>
      <c r="L406" s="17"/>
      <c r="M406" s="100" t="str">
        <f>'[1]Can Matrix'!$R$2</f>
        <v>Unsigned</v>
      </c>
      <c r="N406" s="101" t="str">
        <f>IFERROR(IF(VLOOKUP(F406, '[1]Can Matrix'!$M:$X, 12, FALSE)=0, "", "TMS_Enum_" &amp; VLOOKUP(F406, '[1]Can Matrix'!$M:$X, 12, FALSE)), "")</f>
        <v/>
      </c>
      <c r="O406" s="17"/>
      <c r="P406" s="17"/>
      <c r="Q406" s="17"/>
      <c r="R406" s="17"/>
      <c r="S406" s="17"/>
      <c r="T406" s="17"/>
      <c r="U406" s="17"/>
      <c r="V406" s="17"/>
      <c r="W406" s="17"/>
      <c r="X406" s="103"/>
      <c r="Y406" s="17"/>
      <c r="Z406" s="101" t="str">
        <f>IF(N406="", "", IF(ISNUMBER(MATCH(N406, TextTables!A:A, 0)), "Y", "N"))</f>
        <v/>
      </c>
      <c r="AA406" s="101" t="str">
        <f>IF(ISNUMBER(MATCH(F406, '[1]Can Matrix'!M:M, 0)), "Y", "N")</f>
        <v>Y</v>
      </c>
    </row>
    <row r="407" spans="1:27" ht="16.8">
      <c r="A407" s="17"/>
      <c r="B407" s="17"/>
      <c r="C407" s="17"/>
      <c r="D407" s="17" t="s">
        <v>143</v>
      </c>
      <c r="E407" s="17"/>
      <c r="F407" s="17" t="s">
        <v>6243</v>
      </c>
      <c r="G407" s="17" t="s">
        <v>6243</v>
      </c>
      <c r="H407" s="17"/>
      <c r="I407" s="97">
        <f>VLOOKUP(F407, '[1]Can Matrix'!$M:$X, 2, FALSE)</f>
        <v>4</v>
      </c>
      <c r="J407" s="17" t="str">
        <f t="shared" si="6"/>
        <v>uint8</v>
      </c>
      <c r="K407" s="17"/>
      <c r="L407" s="17"/>
      <c r="M407" s="100" t="str">
        <f>'[1]Can Matrix'!$R$2</f>
        <v>Unsigned</v>
      </c>
      <c r="N407" s="101" t="str">
        <f>IFERROR(IF(VLOOKUP(F407, '[1]Can Matrix'!$M:$X, 12, FALSE)=0, "", "TMS_Enum_" &amp; VLOOKUP(F407, '[1]Can Matrix'!$M:$X, 12, FALSE)), "")</f>
        <v/>
      </c>
      <c r="O407" s="17"/>
      <c r="P407" s="17"/>
      <c r="Q407" s="17"/>
      <c r="R407" s="17"/>
      <c r="S407" s="17"/>
      <c r="T407" s="17"/>
      <c r="U407" s="17"/>
      <c r="V407" s="17"/>
      <c r="W407" s="17"/>
      <c r="X407" s="103"/>
      <c r="Y407" s="17"/>
      <c r="Z407" s="101" t="str">
        <f>IF(N407="", "", IF(ISNUMBER(MATCH(N407, TextTables!A:A, 0)), "Y", "N"))</f>
        <v/>
      </c>
      <c r="AA407" s="101" t="str">
        <f>IF(ISNUMBER(MATCH(F407, '[1]Can Matrix'!M:M, 0)), "Y", "N")</f>
        <v>Y</v>
      </c>
    </row>
    <row r="408" spans="1:27" ht="16.8">
      <c r="A408" s="17"/>
      <c r="B408" s="17"/>
      <c r="C408" s="17"/>
      <c r="D408" s="17" t="s">
        <v>143</v>
      </c>
      <c r="E408" s="17"/>
      <c r="F408" s="17" t="s">
        <v>6244</v>
      </c>
      <c r="G408" s="17" t="s">
        <v>6244</v>
      </c>
      <c r="H408" s="17"/>
      <c r="I408" s="97">
        <f>VLOOKUP(F408, '[1]Can Matrix'!$M:$X, 2, FALSE)</f>
        <v>1</v>
      </c>
      <c r="J408" s="17" t="str">
        <f t="shared" si="6"/>
        <v>uint8</v>
      </c>
      <c r="K408" s="17"/>
      <c r="L408" s="17"/>
      <c r="M408" s="100" t="str">
        <f>'[1]Can Matrix'!$R$2</f>
        <v>Unsigned</v>
      </c>
      <c r="N408" s="101" t="str">
        <f>IFERROR(IF(VLOOKUP(F408, '[1]Can Matrix'!$M:$X, 12, FALSE)=0, "", "TMS_Enum_" &amp; VLOOKUP(F408, '[1]Can Matrix'!$M:$X, 12, FALSE)), "")</f>
        <v>TMS_Enum_Boolean</v>
      </c>
      <c r="O408" s="17"/>
      <c r="P408" s="17"/>
      <c r="Q408" s="17"/>
      <c r="R408" s="17"/>
      <c r="S408" s="17"/>
      <c r="T408" s="17"/>
      <c r="U408" s="17"/>
      <c r="V408" s="17"/>
      <c r="W408" s="17"/>
      <c r="X408" s="103"/>
      <c r="Y408" s="17"/>
      <c r="Z408" s="101" t="str">
        <f>IF(N408="", "", IF(ISNUMBER(MATCH(N408, TextTables!A:A, 0)), "Y", "N"))</f>
        <v>Y</v>
      </c>
      <c r="AA408" s="101" t="str">
        <f>IF(ISNUMBER(MATCH(F408, '[1]Can Matrix'!M:M, 0)), "Y", "N")</f>
        <v>Y</v>
      </c>
    </row>
    <row r="409" spans="1:27" ht="16.8">
      <c r="A409" s="17"/>
      <c r="B409" s="17"/>
      <c r="C409" s="17"/>
      <c r="D409" s="17" t="s">
        <v>143</v>
      </c>
      <c r="E409" s="17"/>
      <c r="F409" s="17" t="s">
        <v>6245</v>
      </c>
      <c r="G409" s="17" t="s">
        <v>6245</v>
      </c>
      <c r="H409" s="17"/>
      <c r="I409" s="97">
        <f>VLOOKUP(F409, '[1]Can Matrix'!$M:$X, 2, FALSE)</f>
        <v>1</v>
      </c>
      <c r="J409" s="17" t="str">
        <f t="shared" si="6"/>
        <v>uint8</v>
      </c>
      <c r="K409" s="17"/>
      <c r="L409" s="17"/>
      <c r="M409" s="100" t="str">
        <f>'[1]Can Matrix'!$R$2</f>
        <v>Unsigned</v>
      </c>
      <c r="N409" s="101" t="str">
        <f>IFERROR(IF(VLOOKUP(F409, '[1]Can Matrix'!$M:$X, 12, FALSE)=0, "", "TMS_Enum_" &amp; VLOOKUP(F409, '[1]Can Matrix'!$M:$X, 12, FALSE)), "")</f>
        <v>TMS_Enum_Boolean</v>
      </c>
      <c r="O409" s="17"/>
      <c r="P409" s="17"/>
      <c r="Q409" s="17"/>
      <c r="R409" s="17"/>
      <c r="S409" s="17"/>
      <c r="T409" s="17"/>
      <c r="U409" s="17"/>
      <c r="V409" s="17"/>
      <c r="W409" s="17"/>
      <c r="X409" s="103"/>
      <c r="Y409" s="17"/>
      <c r="Z409" s="101" t="str">
        <f>IF(N409="", "", IF(ISNUMBER(MATCH(N409, TextTables!A:A, 0)), "Y", "N"))</f>
        <v>Y</v>
      </c>
      <c r="AA409" s="101" t="str">
        <f>IF(ISNUMBER(MATCH(F409, '[1]Can Matrix'!M:M, 0)), "Y", "N")</f>
        <v>Y</v>
      </c>
    </row>
    <row r="410" spans="1:27" ht="16.8">
      <c r="A410" s="17"/>
      <c r="B410" s="17"/>
      <c r="C410" s="17"/>
      <c r="D410" s="17" t="s">
        <v>143</v>
      </c>
      <c r="E410" s="17"/>
      <c r="F410" s="17" t="s">
        <v>6246</v>
      </c>
      <c r="G410" s="17" t="s">
        <v>6246</v>
      </c>
      <c r="H410" s="17"/>
      <c r="I410" s="97">
        <f>VLOOKUP(F410, '[1]Can Matrix'!$M:$X, 2, FALSE)</f>
        <v>1</v>
      </c>
      <c r="J410" s="17" t="str">
        <f t="shared" si="6"/>
        <v>uint8</v>
      </c>
      <c r="K410" s="17"/>
      <c r="L410" s="17"/>
      <c r="M410" s="100" t="str">
        <f>'[1]Can Matrix'!$R$2</f>
        <v>Unsigned</v>
      </c>
      <c r="N410" s="101" t="str">
        <f>IFERROR(IF(VLOOKUP(F410, '[1]Can Matrix'!$M:$X, 12, FALSE)=0, "", "TMS_Enum_" &amp; VLOOKUP(F410, '[1]Can Matrix'!$M:$X, 12, FALSE)), "")</f>
        <v>TMS_Enum_Boolean</v>
      </c>
      <c r="O410" s="17"/>
      <c r="P410" s="17"/>
      <c r="Q410" s="17"/>
      <c r="R410" s="17"/>
      <c r="S410" s="17"/>
      <c r="T410" s="17"/>
      <c r="U410" s="17"/>
      <c r="V410" s="17"/>
      <c r="W410" s="17"/>
      <c r="X410" s="103"/>
      <c r="Y410" s="17"/>
      <c r="Z410" s="101" t="str">
        <f>IF(N410="", "", IF(ISNUMBER(MATCH(N410, TextTables!A:A, 0)), "Y", "N"))</f>
        <v>Y</v>
      </c>
      <c r="AA410" s="101" t="str">
        <f>IF(ISNUMBER(MATCH(F410, '[1]Can Matrix'!M:M, 0)), "Y", "N")</f>
        <v>Y</v>
      </c>
    </row>
    <row r="411" spans="1:27" ht="16.8">
      <c r="A411" s="17"/>
      <c r="B411" s="17"/>
      <c r="C411" s="17"/>
      <c r="D411" s="17" t="s">
        <v>143</v>
      </c>
      <c r="E411" s="17"/>
      <c r="F411" s="17" t="s">
        <v>6247</v>
      </c>
      <c r="G411" s="17" t="s">
        <v>6247</v>
      </c>
      <c r="H411" s="17"/>
      <c r="I411" s="97">
        <f>VLOOKUP(F411, '[1]Can Matrix'!$M:$X, 2, FALSE)</f>
        <v>1</v>
      </c>
      <c r="J411" s="17" t="str">
        <f t="shared" si="6"/>
        <v>uint8</v>
      </c>
      <c r="K411" s="17"/>
      <c r="L411" s="17"/>
      <c r="M411" s="100" t="str">
        <f>'[1]Can Matrix'!$R$2</f>
        <v>Unsigned</v>
      </c>
      <c r="N411" s="101" t="str">
        <f>IFERROR(IF(VLOOKUP(F411, '[1]Can Matrix'!$M:$X, 12, FALSE)=0, "", "TMS_Enum_" &amp; VLOOKUP(F411, '[1]Can Matrix'!$M:$X, 12, FALSE)), "")</f>
        <v>TMS_Enum_Boolean</v>
      </c>
      <c r="O411" s="17"/>
      <c r="P411" s="17"/>
      <c r="Q411" s="17"/>
      <c r="R411" s="17"/>
      <c r="S411" s="17"/>
      <c r="T411" s="17"/>
      <c r="U411" s="17"/>
      <c r="V411" s="17"/>
      <c r="W411" s="17"/>
      <c r="X411" s="103"/>
      <c r="Y411" s="17"/>
      <c r="Z411" s="101" t="str">
        <f>IF(N411="", "", IF(ISNUMBER(MATCH(N411, TextTables!A:A, 0)), "Y", "N"))</f>
        <v>Y</v>
      </c>
      <c r="AA411" s="101" t="str">
        <f>IF(ISNUMBER(MATCH(F411, '[1]Can Matrix'!M:M, 0)), "Y", "N")</f>
        <v>Y</v>
      </c>
    </row>
    <row r="412" spans="1:27" ht="16.8">
      <c r="A412" s="17"/>
      <c r="B412" s="17"/>
      <c r="C412" s="17"/>
      <c r="D412" s="17" t="s">
        <v>143</v>
      </c>
      <c r="E412" s="17"/>
      <c r="F412" s="17" t="s">
        <v>6248</v>
      </c>
      <c r="G412" s="17" t="s">
        <v>6248</v>
      </c>
      <c r="H412" s="17"/>
      <c r="I412" s="97">
        <f>VLOOKUP(F412, '[1]Can Matrix'!$M:$X, 2, FALSE)</f>
        <v>1</v>
      </c>
      <c r="J412" s="17" t="str">
        <f t="shared" si="6"/>
        <v>uint8</v>
      </c>
      <c r="K412" s="17"/>
      <c r="L412" s="17"/>
      <c r="M412" s="100" t="str">
        <f>'[1]Can Matrix'!$R$2</f>
        <v>Unsigned</v>
      </c>
      <c r="N412" s="101" t="str">
        <f>IFERROR(IF(VLOOKUP(F412, '[1]Can Matrix'!$M:$X, 12, FALSE)=0, "", "TMS_Enum_" &amp; VLOOKUP(F412, '[1]Can Matrix'!$M:$X, 12, FALSE)), "")</f>
        <v>TMS_Enum_Boolean</v>
      </c>
      <c r="O412" s="17"/>
      <c r="P412" s="17"/>
      <c r="Q412" s="17"/>
      <c r="R412" s="17"/>
      <c r="S412" s="17"/>
      <c r="T412" s="17"/>
      <c r="U412" s="17"/>
      <c r="V412" s="17"/>
      <c r="W412" s="17"/>
      <c r="X412" s="103"/>
      <c r="Y412" s="17"/>
      <c r="Z412" s="101" t="str">
        <f>IF(N412="", "", IF(ISNUMBER(MATCH(N412, TextTables!A:A, 0)), "Y", "N"))</f>
        <v>Y</v>
      </c>
      <c r="AA412" s="101" t="str">
        <f>IF(ISNUMBER(MATCH(F412, '[1]Can Matrix'!M:M, 0)), "Y", "N")</f>
        <v>Y</v>
      </c>
    </row>
    <row r="413" spans="1:27" ht="16.8">
      <c r="A413" s="17"/>
      <c r="B413" s="17"/>
      <c r="C413" s="17"/>
      <c r="D413" s="17" t="s">
        <v>143</v>
      </c>
      <c r="E413" s="17"/>
      <c r="F413" s="17" t="s">
        <v>6249</v>
      </c>
      <c r="G413" s="17" t="s">
        <v>6249</v>
      </c>
      <c r="H413" s="17"/>
      <c r="I413" s="97">
        <f>VLOOKUP(F413, '[1]Can Matrix'!$M:$X, 2, FALSE)</f>
        <v>1</v>
      </c>
      <c r="J413" s="17" t="str">
        <f t="shared" si="6"/>
        <v>uint8</v>
      </c>
      <c r="K413" s="17"/>
      <c r="L413" s="17"/>
      <c r="M413" s="100" t="str">
        <f>'[1]Can Matrix'!$R$2</f>
        <v>Unsigned</v>
      </c>
      <c r="N413" s="101" t="str">
        <f>IFERROR(IF(VLOOKUP(F413, '[1]Can Matrix'!$M:$X, 12, FALSE)=0, "", "TMS_Enum_" &amp; VLOOKUP(F413, '[1]Can Matrix'!$M:$X, 12, FALSE)), "")</f>
        <v>TMS_Enum_Boolean</v>
      </c>
      <c r="O413" s="17"/>
      <c r="P413" s="17"/>
      <c r="Q413" s="17"/>
      <c r="R413" s="17"/>
      <c r="S413" s="17"/>
      <c r="T413" s="17"/>
      <c r="U413" s="17"/>
      <c r="V413" s="17"/>
      <c r="W413" s="17"/>
      <c r="X413" s="103"/>
      <c r="Y413" s="17"/>
      <c r="Z413" s="101" t="str">
        <f>IF(N413="", "", IF(ISNUMBER(MATCH(N413, TextTables!A:A, 0)), "Y", "N"))</f>
        <v>Y</v>
      </c>
      <c r="AA413" s="101" t="str">
        <f>IF(ISNUMBER(MATCH(F413, '[1]Can Matrix'!M:M, 0)), "Y", "N")</f>
        <v>Y</v>
      </c>
    </row>
    <row r="414" spans="1:27" ht="16.8">
      <c r="A414" s="17"/>
      <c r="B414" s="17"/>
      <c r="C414" s="17"/>
      <c r="D414" s="17" t="s">
        <v>143</v>
      </c>
      <c r="E414" s="17"/>
      <c r="F414" s="17" t="s">
        <v>6250</v>
      </c>
      <c r="G414" s="17" t="s">
        <v>6250</v>
      </c>
      <c r="H414" s="17"/>
      <c r="I414" s="97">
        <f>VLOOKUP(F414, '[1]Can Matrix'!$M:$X, 2, FALSE)</f>
        <v>1</v>
      </c>
      <c r="J414" s="17" t="str">
        <f t="shared" ref="J414:J477" si="7">IF(I414&lt;=8,"uint8",IF(I414&lt;=16,"uint16","uint32"))</f>
        <v>uint8</v>
      </c>
      <c r="K414" s="17"/>
      <c r="L414" s="17"/>
      <c r="M414" s="100" t="str">
        <f>'[1]Can Matrix'!$R$2</f>
        <v>Unsigned</v>
      </c>
      <c r="N414" s="101" t="str">
        <f>IFERROR(IF(VLOOKUP(F414, '[1]Can Matrix'!$M:$X, 12, FALSE)=0, "", "TMS_Enum_" &amp; VLOOKUP(F414, '[1]Can Matrix'!$M:$X, 12, FALSE)), "")</f>
        <v>TMS_Enum_Boolean</v>
      </c>
      <c r="O414" s="17"/>
      <c r="P414" s="17"/>
      <c r="Q414" s="17"/>
      <c r="R414" s="17"/>
      <c r="S414" s="17"/>
      <c r="T414" s="17"/>
      <c r="U414" s="17"/>
      <c r="V414" s="17"/>
      <c r="W414" s="17"/>
      <c r="X414" s="103"/>
      <c r="Y414" s="17"/>
      <c r="Z414" s="101" t="str">
        <f>IF(N414="", "", IF(ISNUMBER(MATCH(N414, TextTables!A:A, 0)), "Y", "N"))</f>
        <v>Y</v>
      </c>
      <c r="AA414" s="101" t="str">
        <f>IF(ISNUMBER(MATCH(F414, '[1]Can Matrix'!M:M, 0)), "Y", "N")</f>
        <v>Y</v>
      </c>
    </row>
    <row r="415" spans="1:27" ht="16.8">
      <c r="A415" s="17"/>
      <c r="B415" s="17"/>
      <c r="C415" s="17"/>
      <c r="D415" s="17" t="s">
        <v>143</v>
      </c>
      <c r="E415" s="17"/>
      <c r="F415" s="17" t="s">
        <v>6251</v>
      </c>
      <c r="G415" s="17" t="s">
        <v>6251</v>
      </c>
      <c r="H415" s="17"/>
      <c r="I415" s="97">
        <f>VLOOKUP(F415, '[1]Can Matrix'!$M:$X, 2, FALSE)</f>
        <v>1</v>
      </c>
      <c r="J415" s="17" t="str">
        <f t="shared" si="7"/>
        <v>uint8</v>
      </c>
      <c r="K415" s="17"/>
      <c r="L415" s="17"/>
      <c r="M415" s="100" t="str">
        <f>'[1]Can Matrix'!$R$2</f>
        <v>Unsigned</v>
      </c>
      <c r="N415" s="101" t="str">
        <f>IFERROR(IF(VLOOKUP(F415, '[1]Can Matrix'!$M:$X, 12, FALSE)=0, "", "TMS_Enum_" &amp; VLOOKUP(F415, '[1]Can Matrix'!$M:$X, 12, FALSE)), "")</f>
        <v>TMS_Enum_Boolean</v>
      </c>
      <c r="O415" s="17"/>
      <c r="P415" s="17"/>
      <c r="Q415" s="17"/>
      <c r="R415" s="17"/>
      <c r="S415" s="17"/>
      <c r="T415" s="17"/>
      <c r="U415" s="17"/>
      <c r="V415" s="17"/>
      <c r="W415" s="17"/>
      <c r="X415" s="103"/>
      <c r="Y415" s="17"/>
      <c r="Z415" s="101" t="str">
        <f>IF(N415="", "", IF(ISNUMBER(MATCH(N415, TextTables!A:A, 0)), "Y", "N"))</f>
        <v>Y</v>
      </c>
      <c r="AA415" s="101" t="str">
        <f>IF(ISNUMBER(MATCH(F415, '[1]Can Matrix'!M:M, 0)), "Y", "N")</f>
        <v>Y</v>
      </c>
    </row>
    <row r="416" spans="1:27" ht="16.8">
      <c r="A416" s="17"/>
      <c r="B416" s="17"/>
      <c r="C416" s="17"/>
      <c r="D416" s="17" t="s">
        <v>143</v>
      </c>
      <c r="E416" s="17"/>
      <c r="F416" s="17" t="s">
        <v>6252</v>
      </c>
      <c r="G416" s="17" t="s">
        <v>6252</v>
      </c>
      <c r="H416" s="17"/>
      <c r="I416" s="97">
        <f>VLOOKUP(F416, '[1]Can Matrix'!$M:$X, 2, FALSE)</f>
        <v>1</v>
      </c>
      <c r="J416" s="17" t="str">
        <f t="shared" si="7"/>
        <v>uint8</v>
      </c>
      <c r="K416" s="17"/>
      <c r="L416" s="17"/>
      <c r="M416" s="100" t="str">
        <f>'[1]Can Matrix'!$R$2</f>
        <v>Unsigned</v>
      </c>
      <c r="N416" s="101" t="str">
        <f>IFERROR(IF(VLOOKUP(F416, '[1]Can Matrix'!$M:$X, 12, FALSE)=0, "", "TMS_Enum_" &amp; VLOOKUP(F416, '[1]Can Matrix'!$M:$X, 12, FALSE)), "")</f>
        <v>TMS_Enum_Boolean</v>
      </c>
      <c r="O416" s="17"/>
      <c r="P416" s="17"/>
      <c r="Q416" s="17"/>
      <c r="R416" s="17"/>
      <c r="S416" s="17"/>
      <c r="T416" s="17"/>
      <c r="U416" s="17"/>
      <c r="V416" s="17"/>
      <c r="W416" s="17"/>
      <c r="X416" s="103"/>
      <c r="Y416" s="17"/>
      <c r="Z416" s="101" t="str">
        <f>IF(N416="", "", IF(ISNUMBER(MATCH(N416, TextTables!A:A, 0)), "Y", "N"))</f>
        <v>Y</v>
      </c>
      <c r="AA416" s="101" t="str">
        <f>IF(ISNUMBER(MATCH(F416, '[1]Can Matrix'!M:M, 0)), "Y", "N")</f>
        <v>Y</v>
      </c>
    </row>
    <row r="417" spans="1:27" ht="16.8">
      <c r="A417" s="17"/>
      <c r="B417" s="17"/>
      <c r="C417" s="17"/>
      <c r="D417" s="17" t="s">
        <v>143</v>
      </c>
      <c r="E417" s="17"/>
      <c r="F417" s="17" t="s">
        <v>6253</v>
      </c>
      <c r="G417" s="17" t="s">
        <v>6253</v>
      </c>
      <c r="H417" s="17"/>
      <c r="I417" s="97">
        <f>VLOOKUP(F417, '[1]Can Matrix'!$M:$X, 2, FALSE)</f>
        <v>1</v>
      </c>
      <c r="J417" s="17" t="str">
        <f t="shared" si="7"/>
        <v>uint8</v>
      </c>
      <c r="K417" s="17"/>
      <c r="L417" s="17"/>
      <c r="M417" s="100" t="str">
        <f>'[1]Can Matrix'!$R$2</f>
        <v>Unsigned</v>
      </c>
      <c r="N417" s="101" t="str">
        <f>IFERROR(IF(VLOOKUP(F417, '[1]Can Matrix'!$M:$X, 12, FALSE)=0, "", "TMS_Enum_" &amp; VLOOKUP(F417, '[1]Can Matrix'!$M:$X, 12, FALSE)), "")</f>
        <v>TMS_Enum_Boolean</v>
      </c>
      <c r="O417" s="17"/>
      <c r="P417" s="17"/>
      <c r="Q417" s="17"/>
      <c r="R417" s="17"/>
      <c r="S417" s="17"/>
      <c r="T417" s="17"/>
      <c r="U417" s="17"/>
      <c r="V417" s="17"/>
      <c r="W417" s="17"/>
      <c r="X417" s="103"/>
      <c r="Y417" s="17"/>
      <c r="Z417" s="101" t="str">
        <f>IF(N417="", "", IF(ISNUMBER(MATCH(N417, TextTables!A:A, 0)), "Y", "N"))</f>
        <v>Y</v>
      </c>
      <c r="AA417" s="101" t="str">
        <f>IF(ISNUMBER(MATCH(F417, '[1]Can Matrix'!M:M, 0)), "Y", "N")</f>
        <v>Y</v>
      </c>
    </row>
    <row r="418" spans="1:27" ht="16.8">
      <c r="A418" s="17"/>
      <c r="B418" s="17"/>
      <c r="C418" s="17"/>
      <c r="D418" s="17" t="s">
        <v>143</v>
      </c>
      <c r="E418" s="17"/>
      <c r="F418" s="17" t="s">
        <v>6254</v>
      </c>
      <c r="G418" s="17" t="s">
        <v>6254</v>
      </c>
      <c r="H418" s="17"/>
      <c r="I418" s="97">
        <f>VLOOKUP(F418, '[1]Can Matrix'!$M:$X, 2, FALSE)</f>
        <v>1</v>
      </c>
      <c r="J418" s="17" t="str">
        <f t="shared" si="7"/>
        <v>uint8</v>
      </c>
      <c r="K418" s="17"/>
      <c r="L418" s="17"/>
      <c r="M418" s="100" t="str">
        <f>'[1]Can Matrix'!$R$2</f>
        <v>Unsigned</v>
      </c>
      <c r="N418" s="101" t="str">
        <f>IFERROR(IF(VLOOKUP(F418, '[1]Can Matrix'!$M:$X, 12, FALSE)=0, "", "TMS_Enum_" &amp; VLOOKUP(F418, '[1]Can Matrix'!$M:$X, 12, FALSE)), "")</f>
        <v>TMS_Enum_Boolean</v>
      </c>
      <c r="O418" s="17"/>
      <c r="P418" s="17"/>
      <c r="Q418" s="17"/>
      <c r="R418" s="17"/>
      <c r="S418" s="17"/>
      <c r="T418" s="17"/>
      <c r="U418" s="17"/>
      <c r="V418" s="17"/>
      <c r="W418" s="17"/>
      <c r="X418" s="103"/>
      <c r="Y418" s="17"/>
      <c r="Z418" s="101" t="str">
        <f>IF(N418="", "", IF(ISNUMBER(MATCH(N418, TextTables!A:A, 0)), "Y", "N"))</f>
        <v>Y</v>
      </c>
      <c r="AA418" s="101" t="str">
        <f>IF(ISNUMBER(MATCH(F418, '[1]Can Matrix'!M:M, 0)), "Y", "N")</f>
        <v>Y</v>
      </c>
    </row>
    <row r="419" spans="1:27" ht="16.8">
      <c r="A419" s="17"/>
      <c r="B419" s="17"/>
      <c r="C419" s="17"/>
      <c r="D419" s="17" t="s">
        <v>143</v>
      </c>
      <c r="E419" s="17"/>
      <c r="F419" s="17" t="s">
        <v>6255</v>
      </c>
      <c r="G419" s="17" t="s">
        <v>6255</v>
      </c>
      <c r="H419" s="17"/>
      <c r="I419" s="97">
        <f>VLOOKUP(F419, '[1]Can Matrix'!$M:$X, 2, FALSE)</f>
        <v>1</v>
      </c>
      <c r="J419" s="17" t="str">
        <f t="shared" si="7"/>
        <v>uint8</v>
      </c>
      <c r="K419" s="17"/>
      <c r="L419" s="17"/>
      <c r="M419" s="100" t="str">
        <f>'[1]Can Matrix'!$R$2</f>
        <v>Unsigned</v>
      </c>
      <c r="N419" s="101" t="str">
        <f>IFERROR(IF(VLOOKUP(F419, '[1]Can Matrix'!$M:$X, 12, FALSE)=0, "", "TMS_Enum_" &amp; VLOOKUP(F419, '[1]Can Matrix'!$M:$X, 12, FALSE)), "")</f>
        <v>TMS_Enum_Boolean</v>
      </c>
      <c r="O419" s="17"/>
      <c r="P419" s="17"/>
      <c r="Q419" s="17"/>
      <c r="R419" s="17"/>
      <c r="S419" s="17"/>
      <c r="T419" s="17"/>
      <c r="U419" s="17"/>
      <c r="V419" s="17"/>
      <c r="W419" s="17"/>
      <c r="X419" s="103"/>
      <c r="Y419" s="17"/>
      <c r="Z419" s="101" t="str">
        <f>IF(N419="", "", IF(ISNUMBER(MATCH(N419, TextTables!A:A, 0)), "Y", "N"))</f>
        <v>Y</v>
      </c>
      <c r="AA419" s="101" t="str">
        <f>IF(ISNUMBER(MATCH(F419, '[1]Can Matrix'!M:M, 0)), "Y", "N")</f>
        <v>Y</v>
      </c>
    </row>
    <row r="420" spans="1:27" ht="16.8">
      <c r="A420" s="17"/>
      <c r="B420" s="17"/>
      <c r="C420" s="17"/>
      <c r="D420" s="17" t="s">
        <v>143</v>
      </c>
      <c r="E420" s="17"/>
      <c r="F420" s="17" t="s">
        <v>6256</v>
      </c>
      <c r="G420" s="17" t="s">
        <v>6256</v>
      </c>
      <c r="H420" s="17"/>
      <c r="I420" s="97">
        <f>VLOOKUP(F420, '[1]Can Matrix'!$M:$X, 2, FALSE)</f>
        <v>1</v>
      </c>
      <c r="J420" s="17" t="str">
        <f t="shared" si="7"/>
        <v>uint8</v>
      </c>
      <c r="K420" s="17"/>
      <c r="L420" s="17"/>
      <c r="M420" s="100" t="str">
        <f>'[1]Can Matrix'!$R$2</f>
        <v>Unsigned</v>
      </c>
      <c r="N420" s="101" t="str">
        <f>IFERROR(IF(VLOOKUP(F420, '[1]Can Matrix'!$M:$X, 12, FALSE)=0, "", "TMS_Enum_" &amp; VLOOKUP(F420, '[1]Can Matrix'!$M:$X, 12, FALSE)), "")</f>
        <v>TMS_Enum_Boolean</v>
      </c>
      <c r="O420" s="17"/>
      <c r="P420" s="17"/>
      <c r="Q420" s="17"/>
      <c r="R420" s="17"/>
      <c r="S420" s="17"/>
      <c r="T420" s="17"/>
      <c r="U420" s="17"/>
      <c r="V420" s="17"/>
      <c r="W420" s="17"/>
      <c r="X420" s="103"/>
      <c r="Y420" s="17"/>
      <c r="Z420" s="101" t="str">
        <f>IF(N420="", "", IF(ISNUMBER(MATCH(N420, TextTables!A:A, 0)), "Y", "N"))</f>
        <v>Y</v>
      </c>
      <c r="AA420" s="101" t="str">
        <f>IF(ISNUMBER(MATCH(F420, '[1]Can Matrix'!M:M, 0)), "Y", "N")</f>
        <v>Y</v>
      </c>
    </row>
    <row r="421" spans="1:27" ht="16.8">
      <c r="A421" s="17"/>
      <c r="B421" s="17"/>
      <c r="C421" s="17"/>
      <c r="D421" s="17" t="s">
        <v>143</v>
      </c>
      <c r="E421" s="17"/>
      <c r="F421" s="17" t="s">
        <v>6257</v>
      </c>
      <c r="G421" s="17" t="s">
        <v>6257</v>
      </c>
      <c r="H421" s="17"/>
      <c r="I421" s="97">
        <f>VLOOKUP(F421, '[1]Can Matrix'!$M:$X, 2, FALSE)</f>
        <v>1</v>
      </c>
      <c r="J421" s="17" t="str">
        <f t="shared" si="7"/>
        <v>uint8</v>
      </c>
      <c r="K421" s="17"/>
      <c r="L421" s="17"/>
      <c r="M421" s="100" t="str">
        <f>'[1]Can Matrix'!$R$2</f>
        <v>Unsigned</v>
      </c>
      <c r="N421" s="101" t="str">
        <f>IFERROR(IF(VLOOKUP(F421, '[1]Can Matrix'!$M:$X, 12, FALSE)=0, "", "TMS_Enum_" &amp; VLOOKUP(F421, '[1]Can Matrix'!$M:$X, 12, FALSE)), "")</f>
        <v>TMS_Enum_Boolean</v>
      </c>
      <c r="O421" s="17"/>
      <c r="P421" s="17"/>
      <c r="Q421" s="17"/>
      <c r="R421" s="17"/>
      <c r="S421" s="17"/>
      <c r="T421" s="17"/>
      <c r="U421" s="17"/>
      <c r="V421" s="17"/>
      <c r="W421" s="17"/>
      <c r="X421" s="103"/>
      <c r="Y421" s="17"/>
      <c r="Z421" s="101" t="str">
        <f>IF(N421="", "", IF(ISNUMBER(MATCH(N421, TextTables!A:A, 0)), "Y", "N"))</f>
        <v>Y</v>
      </c>
      <c r="AA421" s="101" t="str">
        <f>IF(ISNUMBER(MATCH(F421, '[1]Can Matrix'!M:M, 0)), "Y", "N")</f>
        <v>Y</v>
      </c>
    </row>
    <row r="422" spans="1:27" ht="16.8">
      <c r="A422" s="17"/>
      <c r="B422" s="17"/>
      <c r="C422" s="17"/>
      <c r="D422" s="17" t="s">
        <v>143</v>
      </c>
      <c r="E422" s="17"/>
      <c r="F422" s="17" t="s">
        <v>6258</v>
      </c>
      <c r="G422" s="17" t="s">
        <v>6258</v>
      </c>
      <c r="H422" s="17"/>
      <c r="I422" s="97">
        <f>VLOOKUP(F422, '[1]Can Matrix'!$M:$X, 2, FALSE)</f>
        <v>8</v>
      </c>
      <c r="J422" s="17" t="str">
        <f t="shared" si="7"/>
        <v>uint8</v>
      </c>
      <c r="K422" s="17"/>
      <c r="L422" s="17"/>
      <c r="M422" s="100" t="str">
        <f>'[1]Can Matrix'!$R$2</f>
        <v>Unsigned</v>
      </c>
      <c r="N422" s="101" t="str">
        <f>IFERROR(IF(VLOOKUP(F422, '[1]Can Matrix'!$M:$X, 12, FALSE)=0, "", "TMS_Enum_" &amp; VLOOKUP(F422, '[1]Can Matrix'!$M:$X, 12, FALSE)), "")</f>
        <v/>
      </c>
      <c r="O422" s="17"/>
      <c r="P422" s="17"/>
      <c r="Q422" s="17"/>
      <c r="R422" s="17"/>
      <c r="S422" s="17"/>
      <c r="T422" s="17"/>
      <c r="U422" s="17"/>
      <c r="V422" s="17"/>
      <c r="W422" s="17"/>
      <c r="X422" s="103"/>
      <c r="Y422" s="17"/>
      <c r="Z422" s="101" t="str">
        <f>IF(N422="", "", IF(ISNUMBER(MATCH(N422, TextTables!A:A, 0)), "Y", "N"))</f>
        <v/>
      </c>
      <c r="AA422" s="101" t="str">
        <f>IF(ISNUMBER(MATCH(F422, '[1]Can Matrix'!M:M, 0)), "Y", "N")</f>
        <v>Y</v>
      </c>
    </row>
    <row r="423" spans="1:27" ht="16.8">
      <c r="A423" s="17"/>
      <c r="B423" s="17"/>
      <c r="C423" s="17"/>
      <c r="D423" s="17" t="s">
        <v>143</v>
      </c>
      <c r="E423" s="17"/>
      <c r="F423" s="17" t="s">
        <v>6259</v>
      </c>
      <c r="G423" s="17" t="s">
        <v>6259</v>
      </c>
      <c r="H423" s="17"/>
      <c r="I423" s="97">
        <f>VLOOKUP(F423, '[1]Can Matrix'!$M:$X, 2, FALSE)</f>
        <v>4</v>
      </c>
      <c r="J423" s="17" t="str">
        <f t="shared" si="7"/>
        <v>uint8</v>
      </c>
      <c r="K423" s="17"/>
      <c r="L423" s="17"/>
      <c r="M423" s="100" t="str">
        <f>'[1]Can Matrix'!$R$2</f>
        <v>Unsigned</v>
      </c>
      <c r="N423" s="101" t="str">
        <f>IFERROR(IF(VLOOKUP(F423, '[1]Can Matrix'!$M:$X, 12, FALSE)=0, "", "TMS_Enum_" &amp; VLOOKUP(F423, '[1]Can Matrix'!$M:$X, 12, FALSE)), "")</f>
        <v/>
      </c>
      <c r="O423" s="17"/>
      <c r="P423" s="17"/>
      <c r="Q423" s="17"/>
      <c r="R423" s="17"/>
      <c r="S423" s="17"/>
      <c r="T423" s="17"/>
      <c r="U423" s="17"/>
      <c r="V423" s="17"/>
      <c r="W423" s="17"/>
      <c r="X423" s="103"/>
      <c r="Y423" s="17"/>
      <c r="Z423" s="101" t="str">
        <f>IF(N423="", "", IF(ISNUMBER(MATCH(N423, TextTables!A:A, 0)), "Y", "N"))</f>
        <v/>
      </c>
      <c r="AA423" s="101" t="str">
        <f>IF(ISNUMBER(MATCH(F423, '[1]Can Matrix'!M:M, 0)), "Y", "N")</f>
        <v>Y</v>
      </c>
    </row>
    <row r="424" spans="1:27" ht="16.8">
      <c r="A424" s="17"/>
      <c r="B424" s="17"/>
      <c r="C424" s="17"/>
      <c r="D424" s="17" t="s">
        <v>143</v>
      </c>
      <c r="E424" s="17"/>
      <c r="F424" s="17" t="s">
        <v>6260</v>
      </c>
      <c r="G424" s="17" t="s">
        <v>6260</v>
      </c>
      <c r="H424" s="17"/>
      <c r="I424" s="97">
        <f>VLOOKUP(F424, '[1]Can Matrix'!$M:$X, 2, FALSE)</f>
        <v>3</v>
      </c>
      <c r="J424" s="17" t="str">
        <f t="shared" si="7"/>
        <v>uint8</v>
      </c>
      <c r="K424" s="17"/>
      <c r="L424" s="17"/>
      <c r="M424" s="100" t="str">
        <f>'[1]Can Matrix'!$R$2</f>
        <v>Unsigned</v>
      </c>
      <c r="N424" s="101" t="str">
        <f>IFERROR(IF(VLOOKUP(F424, '[1]Can Matrix'!$M:$X, 12, FALSE)=0, "", "TMS_Enum_" &amp; VLOOKUP(F424, '[1]Can Matrix'!$M:$X, 12, FALSE)), "")</f>
        <v>TMS_Enum_HvCooltHeatrSts</v>
      </c>
      <c r="O424" s="17"/>
      <c r="P424" s="17"/>
      <c r="Q424" s="17"/>
      <c r="R424" s="17"/>
      <c r="S424" s="17"/>
      <c r="T424" s="17"/>
      <c r="U424" s="17"/>
      <c r="V424" s="17"/>
      <c r="W424" s="17"/>
      <c r="X424" s="103"/>
      <c r="Y424" s="17"/>
      <c r="Z424" s="101" t="str">
        <f>IF(N424="", "", IF(ISNUMBER(MATCH(N424, TextTables!A:A, 0)), "Y", "N"))</f>
        <v>Y</v>
      </c>
      <c r="AA424" s="101" t="str">
        <f>IF(ISNUMBER(MATCH(F424, '[1]Can Matrix'!M:M, 0)), "Y", "N")</f>
        <v>Y</v>
      </c>
    </row>
    <row r="425" spans="1:27" ht="16.8">
      <c r="A425" s="17"/>
      <c r="B425" s="17"/>
      <c r="C425" s="17"/>
      <c r="D425" s="17" t="s">
        <v>143</v>
      </c>
      <c r="E425" s="17"/>
      <c r="F425" s="17" t="s">
        <v>6261</v>
      </c>
      <c r="G425" s="17" t="s">
        <v>6261</v>
      </c>
      <c r="H425" s="17"/>
      <c r="I425" s="97">
        <f>VLOOKUP(F425, '[1]Can Matrix'!$M:$X, 2, FALSE)</f>
        <v>1</v>
      </c>
      <c r="J425" s="17" t="str">
        <f t="shared" si="7"/>
        <v>uint8</v>
      </c>
      <c r="K425" s="17"/>
      <c r="L425" s="17"/>
      <c r="M425" s="100" t="str">
        <f>'[1]Can Matrix'!$R$2</f>
        <v>Unsigned</v>
      </c>
      <c r="N425" s="101" t="str">
        <f>IFERROR(IF(VLOOKUP(F425, '[1]Can Matrix'!$M:$X, 12, FALSE)=0, "", "TMS_Enum_" &amp; VLOOKUP(F425, '[1]Can Matrix'!$M:$X, 12, FALSE)), "")</f>
        <v>TMS_Enum_Boolean</v>
      </c>
      <c r="O425" s="17"/>
      <c r="P425" s="17"/>
      <c r="Q425" s="17"/>
      <c r="R425" s="17"/>
      <c r="S425" s="17"/>
      <c r="T425" s="17"/>
      <c r="U425" s="17"/>
      <c r="V425" s="17"/>
      <c r="W425" s="17"/>
      <c r="X425" s="103"/>
      <c r="Y425" s="17"/>
      <c r="Z425" s="101" t="str">
        <f>IF(N425="", "", IF(ISNUMBER(MATCH(N425, TextTables!A:A, 0)), "Y", "N"))</f>
        <v>Y</v>
      </c>
      <c r="AA425" s="101" t="str">
        <f>IF(ISNUMBER(MATCH(F425, '[1]Can Matrix'!M:M, 0)), "Y", "N")</f>
        <v>Y</v>
      </c>
    </row>
    <row r="426" spans="1:27" ht="16.8">
      <c r="A426" s="17"/>
      <c r="B426" s="17"/>
      <c r="C426" s="17"/>
      <c r="D426" s="17" t="s">
        <v>143</v>
      </c>
      <c r="E426" s="17"/>
      <c r="F426" s="17" t="s">
        <v>6262</v>
      </c>
      <c r="G426" s="17" t="s">
        <v>6262</v>
      </c>
      <c r="H426" s="17"/>
      <c r="I426" s="97">
        <f>VLOOKUP(F426, '[1]Can Matrix'!$M:$X, 2, FALSE)</f>
        <v>1</v>
      </c>
      <c r="J426" s="17" t="str">
        <f t="shared" si="7"/>
        <v>uint8</v>
      </c>
      <c r="K426" s="17"/>
      <c r="L426" s="17"/>
      <c r="M426" s="100" t="str">
        <f>'[1]Can Matrix'!$R$2</f>
        <v>Unsigned</v>
      </c>
      <c r="N426" s="101" t="str">
        <f>IFERROR(IF(VLOOKUP(F426, '[1]Can Matrix'!$M:$X, 12, FALSE)=0, "", "TMS_Enum_" &amp; VLOOKUP(F426, '[1]Can Matrix'!$M:$X, 12, FALSE)), "")</f>
        <v>TMS_Enum_Boolean</v>
      </c>
      <c r="O426" s="17"/>
      <c r="P426" s="17"/>
      <c r="Q426" s="17"/>
      <c r="R426" s="17"/>
      <c r="S426" s="17"/>
      <c r="T426" s="17"/>
      <c r="U426" s="17"/>
      <c r="V426" s="17"/>
      <c r="W426" s="17"/>
      <c r="X426" s="103"/>
      <c r="Y426" s="17"/>
      <c r="Z426" s="101" t="str">
        <f>IF(N426="", "", IF(ISNUMBER(MATCH(N426, TextTables!A:A, 0)), "Y", "N"))</f>
        <v>Y</v>
      </c>
      <c r="AA426" s="101" t="str">
        <f>IF(ISNUMBER(MATCH(F426, '[1]Can Matrix'!M:M, 0)), "Y", "N")</f>
        <v>Y</v>
      </c>
    </row>
    <row r="427" spans="1:27" ht="16.8">
      <c r="A427" s="17"/>
      <c r="B427" s="17"/>
      <c r="C427" s="17"/>
      <c r="D427" s="17" t="s">
        <v>143</v>
      </c>
      <c r="E427" s="17"/>
      <c r="F427" s="17" t="s">
        <v>6263</v>
      </c>
      <c r="G427" s="17" t="s">
        <v>6263</v>
      </c>
      <c r="H427" s="17"/>
      <c r="I427" s="97">
        <f>VLOOKUP(F427, '[1]Can Matrix'!$M:$X, 2, FALSE)</f>
        <v>1</v>
      </c>
      <c r="J427" s="17" t="str">
        <f t="shared" si="7"/>
        <v>uint8</v>
      </c>
      <c r="K427" s="17"/>
      <c r="L427" s="17"/>
      <c r="M427" s="100" t="str">
        <f>'[1]Can Matrix'!$R$2</f>
        <v>Unsigned</v>
      </c>
      <c r="N427" s="101" t="str">
        <f>IFERROR(IF(VLOOKUP(F427, '[1]Can Matrix'!$M:$X, 12, FALSE)=0, "", "TMS_Enum_" &amp; VLOOKUP(F427, '[1]Can Matrix'!$M:$X, 12, FALSE)), "")</f>
        <v>TMS_Enum_Boolean</v>
      </c>
      <c r="O427" s="17"/>
      <c r="P427" s="17"/>
      <c r="Q427" s="17"/>
      <c r="R427" s="17"/>
      <c r="S427" s="17"/>
      <c r="T427" s="17"/>
      <c r="U427" s="17"/>
      <c r="V427" s="17"/>
      <c r="W427" s="17"/>
      <c r="X427" s="103"/>
      <c r="Y427" s="17"/>
      <c r="Z427" s="101" t="str">
        <f>IF(N427="", "", IF(ISNUMBER(MATCH(N427, TextTables!A:A, 0)), "Y", "N"))</f>
        <v>Y</v>
      </c>
      <c r="AA427" s="101" t="str">
        <f>IF(ISNUMBER(MATCH(F427, '[1]Can Matrix'!M:M, 0)), "Y", "N")</f>
        <v>Y</v>
      </c>
    </row>
    <row r="428" spans="1:27" ht="16.8">
      <c r="A428" s="17"/>
      <c r="B428" s="17"/>
      <c r="C428" s="17"/>
      <c r="D428" s="17" t="s">
        <v>143</v>
      </c>
      <c r="E428" s="17"/>
      <c r="F428" s="17" t="s">
        <v>6264</v>
      </c>
      <c r="G428" s="17" t="s">
        <v>6264</v>
      </c>
      <c r="H428" s="17"/>
      <c r="I428" s="97">
        <f>VLOOKUP(F428, '[1]Can Matrix'!$M:$X, 2, FALSE)</f>
        <v>1</v>
      </c>
      <c r="J428" s="17" t="str">
        <f t="shared" si="7"/>
        <v>uint8</v>
      </c>
      <c r="K428" s="17"/>
      <c r="L428" s="17"/>
      <c r="M428" s="100" t="str">
        <f>'[1]Can Matrix'!$R$2</f>
        <v>Unsigned</v>
      </c>
      <c r="N428" s="101" t="str">
        <f>IFERROR(IF(VLOOKUP(F428, '[1]Can Matrix'!$M:$X, 12, FALSE)=0, "", "TMS_Enum_" &amp; VLOOKUP(F428, '[1]Can Matrix'!$M:$X, 12, FALSE)), "")</f>
        <v>TMS_Enum_Boolean</v>
      </c>
      <c r="O428" s="17"/>
      <c r="P428" s="17"/>
      <c r="Q428" s="17"/>
      <c r="R428" s="17"/>
      <c r="S428" s="17"/>
      <c r="T428" s="17"/>
      <c r="U428" s="17"/>
      <c r="V428" s="17"/>
      <c r="W428" s="17"/>
      <c r="X428" s="103"/>
      <c r="Y428" s="17"/>
      <c r="Z428" s="101" t="str">
        <f>IF(N428="", "", IF(ISNUMBER(MATCH(N428, TextTables!A:A, 0)), "Y", "N"))</f>
        <v>Y</v>
      </c>
      <c r="AA428" s="101" t="str">
        <f>IF(ISNUMBER(MATCH(F428, '[1]Can Matrix'!M:M, 0)), "Y", "N")</f>
        <v>Y</v>
      </c>
    </row>
    <row r="429" spans="1:27" ht="16.8">
      <c r="A429" s="17"/>
      <c r="B429" s="17"/>
      <c r="C429" s="17"/>
      <c r="D429" s="17" t="s">
        <v>143</v>
      </c>
      <c r="E429" s="17"/>
      <c r="F429" s="17" t="s">
        <v>6265</v>
      </c>
      <c r="G429" s="17" t="s">
        <v>6265</v>
      </c>
      <c r="H429" s="17"/>
      <c r="I429" s="97">
        <f>VLOOKUP(F429, '[1]Can Matrix'!$M:$X, 2, FALSE)</f>
        <v>1</v>
      </c>
      <c r="J429" s="17" t="str">
        <f t="shared" si="7"/>
        <v>uint8</v>
      </c>
      <c r="K429" s="17"/>
      <c r="L429" s="17"/>
      <c r="M429" s="100" t="str">
        <f>'[1]Can Matrix'!$R$2</f>
        <v>Unsigned</v>
      </c>
      <c r="N429" s="101" t="str">
        <f>IFERROR(IF(VLOOKUP(F429, '[1]Can Matrix'!$M:$X, 12, FALSE)=0, "", "TMS_Enum_" &amp; VLOOKUP(F429, '[1]Can Matrix'!$M:$X, 12, FALSE)), "")</f>
        <v>TMS_Enum_Boolean</v>
      </c>
      <c r="O429" s="17"/>
      <c r="P429" s="17"/>
      <c r="Q429" s="17"/>
      <c r="R429" s="17"/>
      <c r="S429" s="17"/>
      <c r="T429" s="17"/>
      <c r="U429" s="17"/>
      <c r="V429" s="17"/>
      <c r="W429" s="17"/>
      <c r="X429" s="103"/>
      <c r="Y429" s="17"/>
      <c r="Z429" s="101" t="str">
        <f>IF(N429="", "", IF(ISNUMBER(MATCH(N429, TextTables!A:A, 0)), "Y", "N"))</f>
        <v>Y</v>
      </c>
      <c r="AA429" s="101" t="str">
        <f>IF(ISNUMBER(MATCH(F429, '[1]Can Matrix'!M:M, 0)), "Y", "N")</f>
        <v>Y</v>
      </c>
    </row>
    <row r="430" spans="1:27" ht="16.8">
      <c r="A430" s="17"/>
      <c r="B430" s="17"/>
      <c r="C430" s="17"/>
      <c r="D430" s="17" t="s">
        <v>143</v>
      </c>
      <c r="E430" s="17"/>
      <c r="F430" s="17" t="s">
        <v>6266</v>
      </c>
      <c r="G430" s="17" t="s">
        <v>6266</v>
      </c>
      <c r="H430" s="17"/>
      <c r="I430" s="97">
        <f>VLOOKUP(F430, '[1]Can Matrix'!$M:$X, 2, FALSE)</f>
        <v>1</v>
      </c>
      <c r="J430" s="17" t="str">
        <f t="shared" si="7"/>
        <v>uint8</v>
      </c>
      <c r="K430" s="17"/>
      <c r="L430" s="17"/>
      <c r="M430" s="100" t="str">
        <f>'[1]Can Matrix'!$R$2</f>
        <v>Unsigned</v>
      </c>
      <c r="N430" s="101" t="str">
        <f>IFERROR(IF(VLOOKUP(F430, '[1]Can Matrix'!$M:$X, 12, FALSE)=0, "", "TMS_Enum_" &amp; VLOOKUP(F430, '[1]Can Matrix'!$M:$X, 12, FALSE)), "")</f>
        <v>TMS_Enum_Boolean</v>
      </c>
      <c r="O430" s="17"/>
      <c r="P430" s="17"/>
      <c r="Q430" s="17"/>
      <c r="R430" s="17"/>
      <c r="S430" s="17"/>
      <c r="T430" s="17"/>
      <c r="U430" s="17"/>
      <c r="V430" s="17"/>
      <c r="W430" s="17"/>
      <c r="X430" s="103"/>
      <c r="Y430" s="17"/>
      <c r="Z430" s="101" t="str">
        <f>IF(N430="", "", IF(ISNUMBER(MATCH(N430, TextTables!A:A, 0)), "Y", "N"))</f>
        <v>Y</v>
      </c>
      <c r="AA430" s="101" t="str">
        <f>IF(ISNUMBER(MATCH(F430, '[1]Can Matrix'!M:M, 0)), "Y", "N")</f>
        <v>Y</v>
      </c>
    </row>
    <row r="431" spans="1:27" ht="16.8">
      <c r="A431" s="17"/>
      <c r="B431" s="17"/>
      <c r="C431" s="17"/>
      <c r="D431" s="17" t="s">
        <v>143</v>
      </c>
      <c r="E431" s="17"/>
      <c r="F431" s="17" t="s">
        <v>6379</v>
      </c>
      <c r="G431" s="17" t="s">
        <v>6267</v>
      </c>
      <c r="H431" s="17"/>
      <c r="I431" s="97">
        <f>VLOOKUP(F431, '[1]Can Matrix'!$M:$X, 2, FALSE)</f>
        <v>1</v>
      </c>
      <c r="J431" s="17" t="str">
        <f t="shared" si="7"/>
        <v>uint8</v>
      </c>
      <c r="K431" s="17"/>
      <c r="L431" s="17"/>
      <c r="M431" s="100" t="str">
        <f>'[1]Can Matrix'!$R$2</f>
        <v>Unsigned</v>
      </c>
      <c r="N431" s="101" t="str">
        <f>IFERROR(IF(VLOOKUP(F431, '[1]Can Matrix'!$M:$X, 12, FALSE)=0, "", "TMS_Enum_" &amp; VLOOKUP(F431, '[1]Can Matrix'!$M:$X, 12, FALSE)), "")</f>
        <v>TMS_Enum_Flt</v>
      </c>
      <c r="O431" s="17"/>
      <c r="P431" s="17"/>
      <c r="Q431" s="17"/>
      <c r="R431" s="17"/>
      <c r="S431" s="17"/>
      <c r="T431" s="17"/>
      <c r="U431" s="17"/>
      <c r="V431" s="17"/>
      <c r="W431" s="17"/>
      <c r="X431" s="103"/>
      <c r="Y431" s="17"/>
      <c r="Z431" s="101" t="str">
        <f>IF(N431="", "", IF(ISNUMBER(MATCH(N431, TextTables!A:A, 0)), "Y", "N"))</f>
        <v>Y</v>
      </c>
      <c r="AA431" s="101" t="str">
        <f>IF(ISNUMBER(MATCH(F431, '[1]Can Matrix'!M:M, 0)), "Y", "N")</f>
        <v>Y</v>
      </c>
    </row>
    <row r="432" spans="1:27" ht="16.8">
      <c r="A432" s="17"/>
      <c r="B432" s="17"/>
      <c r="C432" s="17"/>
      <c r="D432" s="17" t="s">
        <v>143</v>
      </c>
      <c r="E432" s="17"/>
      <c r="F432" s="17" t="s">
        <v>6380</v>
      </c>
      <c r="G432" s="17" t="s">
        <v>6268</v>
      </c>
      <c r="H432" s="17"/>
      <c r="I432" s="97">
        <f>VLOOKUP(F432, '[1]Can Matrix'!$M:$X, 2, FALSE)</f>
        <v>1</v>
      </c>
      <c r="J432" s="17" t="str">
        <f t="shared" si="7"/>
        <v>uint8</v>
      </c>
      <c r="K432" s="17"/>
      <c r="L432" s="17"/>
      <c r="M432" s="100" t="str">
        <f>'[1]Can Matrix'!$R$2</f>
        <v>Unsigned</v>
      </c>
      <c r="N432" s="101" t="str">
        <f>IFERROR(IF(VLOOKUP(F432, '[1]Can Matrix'!$M:$X, 12, FALSE)=0, "", "TMS_Enum_" &amp; VLOOKUP(F432, '[1]Can Matrix'!$M:$X, 12, FALSE)), "")</f>
        <v>TMS_Enum_Flt</v>
      </c>
      <c r="O432" s="17"/>
      <c r="P432" s="17"/>
      <c r="Q432" s="17"/>
      <c r="R432" s="17"/>
      <c r="S432" s="17"/>
      <c r="T432" s="17"/>
      <c r="U432" s="17"/>
      <c r="V432" s="17"/>
      <c r="W432" s="17"/>
      <c r="X432" s="103"/>
      <c r="Y432" s="17"/>
      <c r="Z432" s="101" t="str">
        <f>IF(N432="", "", IF(ISNUMBER(MATCH(N432, TextTables!A:A, 0)), "Y", "N"))</f>
        <v>Y</v>
      </c>
      <c r="AA432" s="101" t="str">
        <f>IF(ISNUMBER(MATCH(F432, '[1]Can Matrix'!M:M, 0)), "Y", "N")</f>
        <v>Y</v>
      </c>
    </row>
    <row r="433" spans="1:27" ht="16.8">
      <c r="A433" s="17"/>
      <c r="B433" s="17"/>
      <c r="C433" s="17"/>
      <c r="D433" s="17" t="s">
        <v>143</v>
      </c>
      <c r="E433" s="17"/>
      <c r="F433" s="17" t="s">
        <v>6269</v>
      </c>
      <c r="G433" s="17" t="s">
        <v>6269</v>
      </c>
      <c r="H433" s="17"/>
      <c r="I433" s="97">
        <f>VLOOKUP(F433, '[1]Can Matrix'!$M:$X, 2, FALSE)</f>
        <v>1</v>
      </c>
      <c r="J433" s="17" t="str">
        <f t="shared" si="7"/>
        <v>uint8</v>
      </c>
      <c r="K433" s="17"/>
      <c r="L433" s="17"/>
      <c r="M433" s="100" t="str">
        <f>'[1]Can Matrix'!$R$2</f>
        <v>Unsigned</v>
      </c>
      <c r="N433" s="101" t="str">
        <f>IFERROR(IF(VLOOKUP(F433, '[1]Can Matrix'!$M:$X, 12, FALSE)=0, "", "TMS_Enum_" &amp; VLOOKUP(F433, '[1]Can Matrix'!$M:$X, 12, FALSE)), "")</f>
        <v>TMS_Enum_Flt</v>
      </c>
      <c r="O433" s="17"/>
      <c r="P433" s="17"/>
      <c r="Q433" s="17"/>
      <c r="R433" s="17"/>
      <c r="S433" s="17"/>
      <c r="T433" s="17"/>
      <c r="U433" s="17"/>
      <c r="V433" s="17"/>
      <c r="W433" s="17"/>
      <c r="X433" s="103"/>
      <c r="Y433" s="17"/>
      <c r="Z433" s="101" t="str">
        <f>IF(N433="", "", IF(ISNUMBER(MATCH(N433, TextTables!A:A, 0)), "Y", "N"))</f>
        <v>Y</v>
      </c>
      <c r="AA433" s="101" t="str">
        <f>IF(ISNUMBER(MATCH(F433, '[1]Can Matrix'!M:M, 0)), "Y", "N")</f>
        <v>Y</v>
      </c>
    </row>
    <row r="434" spans="1:27" ht="16.8">
      <c r="A434" s="17"/>
      <c r="B434" s="17"/>
      <c r="C434" s="17"/>
      <c r="D434" s="17" t="s">
        <v>143</v>
      </c>
      <c r="E434" s="17"/>
      <c r="F434" s="17" t="s">
        <v>6270</v>
      </c>
      <c r="G434" s="17" t="s">
        <v>6270</v>
      </c>
      <c r="H434" s="17"/>
      <c r="I434" s="97">
        <f>VLOOKUP(F434, '[1]Can Matrix'!$M:$X, 2, FALSE)</f>
        <v>1</v>
      </c>
      <c r="J434" s="17" t="str">
        <f t="shared" si="7"/>
        <v>uint8</v>
      </c>
      <c r="K434" s="17"/>
      <c r="L434" s="17"/>
      <c r="M434" s="100" t="str">
        <f>'[1]Can Matrix'!$R$2</f>
        <v>Unsigned</v>
      </c>
      <c r="N434" s="101" t="str">
        <f>IFERROR(IF(VLOOKUP(F434, '[1]Can Matrix'!$M:$X, 12, FALSE)=0, "", "TMS_Enum_" &amp; VLOOKUP(F434, '[1]Can Matrix'!$M:$X, 12, FALSE)), "")</f>
        <v>TMS_Enum_ExvCalibReq</v>
      </c>
      <c r="O434" s="17"/>
      <c r="P434" s="17"/>
      <c r="Q434" s="17"/>
      <c r="R434" s="17"/>
      <c r="S434" s="17"/>
      <c r="T434" s="17"/>
      <c r="U434" s="17"/>
      <c r="V434" s="17"/>
      <c r="W434" s="17"/>
      <c r="X434" s="103"/>
      <c r="Y434" s="17"/>
      <c r="Z434" s="101" t="str">
        <f>IF(N434="", "", IF(ISNUMBER(MATCH(N434, TextTables!A:A, 0)), "Y", "N"))</f>
        <v>Y</v>
      </c>
      <c r="AA434" s="101" t="str">
        <f>IF(ISNUMBER(MATCH(F434, '[1]Can Matrix'!M:M, 0)), "Y", "N")</f>
        <v>Y</v>
      </c>
    </row>
    <row r="435" spans="1:27" ht="16.8">
      <c r="A435" s="17"/>
      <c r="B435" s="17"/>
      <c r="C435" s="17"/>
      <c r="D435" s="17" t="s">
        <v>143</v>
      </c>
      <c r="E435" s="17"/>
      <c r="F435" s="17" t="s">
        <v>6271</v>
      </c>
      <c r="G435" s="17" t="s">
        <v>6271</v>
      </c>
      <c r="H435" s="17"/>
      <c r="I435" s="97">
        <f>VLOOKUP(F435, '[1]Can Matrix'!$M:$X, 2, FALSE)</f>
        <v>1</v>
      </c>
      <c r="J435" s="17" t="str">
        <f t="shared" si="7"/>
        <v>uint8</v>
      </c>
      <c r="K435" s="17"/>
      <c r="L435" s="17"/>
      <c r="M435" s="100" t="str">
        <f>'[1]Can Matrix'!$R$2</f>
        <v>Unsigned</v>
      </c>
      <c r="N435" s="101" t="str">
        <f>IFERROR(IF(VLOOKUP(F435, '[1]Can Matrix'!$M:$X, 12, FALSE)=0, "", "TMS_Enum_" &amp; VLOOKUP(F435, '[1]Can Matrix'!$M:$X, 12, FALSE)), "")</f>
        <v>TMS_Enum_ExvHeatdReq</v>
      </c>
      <c r="O435" s="17"/>
      <c r="P435" s="17"/>
      <c r="Q435" s="17"/>
      <c r="R435" s="17"/>
      <c r="S435" s="17"/>
      <c r="T435" s="17"/>
      <c r="U435" s="17"/>
      <c r="V435" s="17"/>
      <c r="W435" s="17"/>
      <c r="X435" s="103"/>
      <c r="Y435" s="17"/>
      <c r="Z435" s="101" t="str">
        <f>IF(N435="", "", IF(ISNUMBER(MATCH(N435, TextTables!A:A, 0)), "Y", "N"))</f>
        <v>Y</v>
      </c>
      <c r="AA435" s="101" t="str">
        <f>IF(ISNUMBER(MATCH(F435, '[1]Can Matrix'!M:M, 0)), "Y", "N")</f>
        <v>Y</v>
      </c>
    </row>
    <row r="436" spans="1:27" ht="16.8">
      <c r="A436" s="17"/>
      <c r="B436" s="17"/>
      <c r="C436" s="17"/>
      <c r="D436" s="17" t="s">
        <v>143</v>
      </c>
      <c r="E436" s="17"/>
      <c r="F436" s="17" t="s">
        <v>6272</v>
      </c>
      <c r="G436" s="17" t="s">
        <v>6272</v>
      </c>
      <c r="H436" s="17"/>
      <c r="I436" s="97">
        <f>VLOOKUP(F436, '[1]Can Matrix'!$M:$X, 2, FALSE)</f>
        <v>1</v>
      </c>
      <c r="J436" s="17" t="str">
        <f t="shared" si="7"/>
        <v>uint8</v>
      </c>
      <c r="K436" s="17"/>
      <c r="L436" s="17"/>
      <c r="M436" s="100" t="str">
        <f>'[1]Can Matrix'!$R$2</f>
        <v>Unsigned</v>
      </c>
      <c r="N436" s="101" t="str">
        <f>IFERROR(IF(VLOOKUP(F436, '[1]Can Matrix'!$M:$X, 12, FALSE)=0, "", "TMS_Enum_" &amp; VLOOKUP(F436, '[1]Can Matrix'!$M:$X, 12, FALSE)), "")</f>
        <v>TMS_Enum_ExvMovEnable</v>
      </c>
      <c r="O436" s="17"/>
      <c r="P436" s="17"/>
      <c r="Q436" s="17"/>
      <c r="R436" s="17"/>
      <c r="S436" s="17"/>
      <c r="T436" s="17"/>
      <c r="U436" s="17"/>
      <c r="V436" s="17"/>
      <c r="W436" s="17"/>
      <c r="X436" s="103"/>
      <c r="Y436" s="17"/>
      <c r="Z436" s="101" t="str">
        <f>IF(N436="", "", IF(ISNUMBER(MATCH(N436, TextTables!A:A, 0)), "Y", "N"))</f>
        <v>Y</v>
      </c>
      <c r="AA436" s="101" t="str">
        <f>IF(ISNUMBER(MATCH(F436, '[1]Can Matrix'!M:M, 0)), "Y", "N")</f>
        <v>Y</v>
      </c>
    </row>
    <row r="437" spans="1:27" ht="16.8">
      <c r="A437" s="17"/>
      <c r="B437" s="17"/>
      <c r="C437" s="17"/>
      <c r="D437" s="17" t="s">
        <v>143</v>
      </c>
      <c r="E437" s="17"/>
      <c r="F437" s="17" t="s">
        <v>6273</v>
      </c>
      <c r="G437" s="17" t="s">
        <v>6273</v>
      </c>
      <c r="H437" s="17"/>
      <c r="I437" s="97">
        <f>VLOOKUP(F437, '[1]Can Matrix'!$M:$X, 2, FALSE)</f>
        <v>10</v>
      </c>
      <c r="J437" s="17" t="str">
        <f t="shared" si="7"/>
        <v>uint16</v>
      </c>
      <c r="K437" s="17"/>
      <c r="L437" s="17"/>
      <c r="M437" s="100" t="str">
        <f>'[1]Can Matrix'!$R$2</f>
        <v>Unsigned</v>
      </c>
      <c r="N437" s="101" t="str">
        <f>IFERROR(IF(VLOOKUP(F437, '[1]Can Matrix'!$M:$X, 12, FALSE)=0, "", "TMS_Enum_" &amp; VLOOKUP(F437, '[1]Can Matrix'!$M:$X, 12, FALSE)), "")</f>
        <v/>
      </c>
      <c r="O437" s="17"/>
      <c r="P437" s="17"/>
      <c r="Q437" s="17"/>
      <c r="R437" s="17"/>
      <c r="S437" s="17"/>
      <c r="T437" s="17"/>
      <c r="U437" s="17"/>
      <c r="V437" s="17"/>
      <c r="W437" s="17"/>
      <c r="X437" s="103"/>
      <c r="Y437" s="17"/>
      <c r="Z437" s="101" t="str">
        <f>IF(N437="", "", IF(ISNUMBER(MATCH(N437, TextTables!A:A, 0)), "Y", "N"))</f>
        <v/>
      </c>
      <c r="AA437" s="101" t="str">
        <f>IF(ISNUMBER(MATCH(F437, '[1]Can Matrix'!M:M, 0)), "Y", "N")</f>
        <v>Y</v>
      </c>
    </row>
    <row r="438" spans="1:27" ht="16.8">
      <c r="A438" s="17"/>
      <c r="B438" s="17"/>
      <c r="C438" s="17"/>
      <c r="D438" s="17" t="s">
        <v>143</v>
      </c>
      <c r="E438" s="17"/>
      <c r="F438" s="17" t="s">
        <v>6274</v>
      </c>
      <c r="G438" s="17" t="s">
        <v>6274</v>
      </c>
      <c r="H438" s="17"/>
      <c r="I438" s="97">
        <f>VLOOKUP(F438, '[1]Can Matrix'!$M:$X, 2, FALSE)</f>
        <v>10</v>
      </c>
      <c r="J438" s="17" t="str">
        <f t="shared" si="7"/>
        <v>uint16</v>
      </c>
      <c r="K438" s="17"/>
      <c r="L438" s="17"/>
      <c r="M438" s="100" t="str">
        <f>'[1]Can Matrix'!$R$2</f>
        <v>Unsigned</v>
      </c>
      <c r="N438" s="101" t="str">
        <f>IFERROR(IF(VLOOKUP(F438, '[1]Can Matrix'!$M:$X, 12, FALSE)=0, "", "TMS_Enum_" &amp; VLOOKUP(F438, '[1]Can Matrix'!$M:$X, 12, FALSE)), "")</f>
        <v/>
      </c>
      <c r="O438" s="17"/>
      <c r="P438" s="17"/>
      <c r="Q438" s="17"/>
      <c r="R438" s="17"/>
      <c r="S438" s="17"/>
      <c r="T438" s="17"/>
      <c r="U438" s="17"/>
      <c r="V438" s="17"/>
      <c r="W438" s="17"/>
      <c r="X438" s="103"/>
      <c r="Y438" s="17"/>
      <c r="Z438" s="101" t="str">
        <f>IF(N438="", "", IF(ISNUMBER(MATCH(N438, TextTables!A:A, 0)), "Y", "N"))</f>
        <v/>
      </c>
      <c r="AA438" s="101" t="str">
        <f>IF(ISNUMBER(MATCH(F438, '[1]Can Matrix'!M:M, 0)), "Y", "N")</f>
        <v>Y</v>
      </c>
    </row>
    <row r="439" spans="1:27" ht="16.8">
      <c r="A439" s="17"/>
      <c r="B439" s="17"/>
      <c r="C439" s="17"/>
      <c r="D439" s="17" t="s">
        <v>143</v>
      </c>
      <c r="E439" s="17"/>
      <c r="F439" s="17" t="s">
        <v>6275</v>
      </c>
      <c r="G439" s="17" t="s">
        <v>6275</v>
      </c>
      <c r="H439" s="17"/>
      <c r="I439" s="97">
        <f>VLOOKUP(F439, '[1]Can Matrix'!$M:$X, 2, FALSE)</f>
        <v>1</v>
      </c>
      <c r="J439" s="17" t="str">
        <f t="shared" si="7"/>
        <v>uint8</v>
      </c>
      <c r="K439" s="17"/>
      <c r="L439" s="17"/>
      <c r="M439" s="100" t="str">
        <f>'[1]Can Matrix'!$R$2</f>
        <v>Unsigned</v>
      </c>
      <c r="N439" s="101" t="str">
        <f>IFERROR(IF(VLOOKUP(F439, '[1]Can Matrix'!$M:$X, 12, FALSE)=0, "", "TMS_Enum_" &amp; VLOOKUP(F439, '[1]Can Matrix'!$M:$X, 12, FALSE)), "")</f>
        <v>TMS_Enum_Err1</v>
      </c>
      <c r="O439" s="17"/>
      <c r="P439" s="17"/>
      <c r="Q439" s="17"/>
      <c r="R439" s="17"/>
      <c r="S439" s="17"/>
      <c r="T439" s="17"/>
      <c r="U439" s="17"/>
      <c r="V439" s="17"/>
      <c r="W439" s="17"/>
      <c r="X439" s="103"/>
      <c r="Y439" s="17"/>
      <c r="Z439" s="101" t="str">
        <f>IF(N439="", "", IF(ISNUMBER(MATCH(N439, TextTables!A:A, 0)), "Y", "N"))</f>
        <v>Y</v>
      </c>
      <c r="AA439" s="101" t="str">
        <f>IF(ISNUMBER(MATCH(F439, '[1]Can Matrix'!M:M, 0)), "Y", "N")</f>
        <v>Y</v>
      </c>
    </row>
    <row r="440" spans="1:27" ht="16.8">
      <c r="A440" s="17"/>
      <c r="B440" s="17"/>
      <c r="C440" s="17"/>
      <c r="D440" s="17" t="s">
        <v>143</v>
      </c>
      <c r="E440" s="17"/>
      <c r="F440" s="17" t="s">
        <v>6276</v>
      </c>
      <c r="G440" s="17" t="s">
        <v>6276</v>
      </c>
      <c r="H440" s="17"/>
      <c r="I440" s="97">
        <f>VLOOKUP(F440, '[1]Can Matrix'!$M:$X, 2, FALSE)</f>
        <v>2</v>
      </c>
      <c r="J440" s="17" t="str">
        <f t="shared" si="7"/>
        <v>uint8</v>
      </c>
      <c r="K440" s="17"/>
      <c r="L440" s="17"/>
      <c r="M440" s="100" t="str">
        <f>'[1]Can Matrix'!$R$2</f>
        <v>Unsigned</v>
      </c>
      <c r="N440" s="101" t="str">
        <f>IFERROR(IF(VLOOKUP(F440, '[1]Can Matrix'!$M:$X, 12, FALSE)=0, "", "TMS_Enum_" &amp; VLOOKUP(F440, '[1]Can Matrix'!$M:$X, 12, FALSE)), "")</f>
        <v>TMS_Enum_ExvCalibSts</v>
      </c>
      <c r="O440" s="17"/>
      <c r="P440" s="17"/>
      <c r="Q440" s="17"/>
      <c r="R440" s="17"/>
      <c r="S440" s="17"/>
      <c r="T440" s="17"/>
      <c r="U440" s="17"/>
      <c r="V440" s="17"/>
      <c r="W440" s="17"/>
      <c r="X440" s="103"/>
      <c r="Y440" s="17"/>
      <c r="Z440" s="101" t="str">
        <f>IF(N440="", "", IF(ISNUMBER(MATCH(N440, TextTables!A:A, 0)), "Y", "N"))</f>
        <v>Y</v>
      </c>
      <c r="AA440" s="101" t="str">
        <f>IF(ISNUMBER(MATCH(F440, '[1]Can Matrix'!M:M, 0)), "Y", "N")</f>
        <v>Y</v>
      </c>
    </row>
    <row r="441" spans="1:27" ht="16.8">
      <c r="A441" s="17"/>
      <c r="B441" s="17"/>
      <c r="C441" s="17"/>
      <c r="D441" s="17" t="s">
        <v>143</v>
      </c>
      <c r="E441" s="17"/>
      <c r="F441" s="17" t="s">
        <v>6277</v>
      </c>
      <c r="G441" s="17" t="s">
        <v>6277</v>
      </c>
      <c r="H441" s="17"/>
      <c r="I441" s="97">
        <f>VLOOKUP(F441, '[1]Can Matrix'!$M:$X, 2, FALSE)</f>
        <v>3</v>
      </c>
      <c r="J441" s="17" t="str">
        <f t="shared" si="7"/>
        <v>uint8</v>
      </c>
      <c r="K441" s="17"/>
      <c r="L441" s="17"/>
      <c r="M441" s="100" t="str">
        <f>'[1]Can Matrix'!$R$2</f>
        <v>Unsigned</v>
      </c>
      <c r="N441" s="101" t="str">
        <f>IFERROR(IF(VLOOKUP(F441, '[1]Can Matrix'!$M:$X, 12, FALSE)=0, "", "TMS_Enum_" &amp; VLOOKUP(F441, '[1]Can Matrix'!$M:$X, 12, FALSE)), "")</f>
        <v>TMS_Enum_ExvElecStsErr</v>
      </c>
      <c r="O441" s="17"/>
      <c r="P441" s="17"/>
      <c r="Q441" s="17"/>
      <c r="R441" s="17"/>
      <c r="S441" s="17"/>
      <c r="T441" s="17"/>
      <c r="U441" s="17"/>
      <c r="V441" s="17"/>
      <c r="W441" s="17"/>
      <c r="X441" s="103"/>
      <c r="Y441" s="17"/>
      <c r="Z441" s="101" t="str">
        <f>IF(N441="", "", IF(ISNUMBER(MATCH(N441, TextTables!A:A, 0)), "Y", "N"))</f>
        <v>Y</v>
      </c>
      <c r="AA441" s="101" t="str">
        <f>IF(ISNUMBER(MATCH(F441, '[1]Can Matrix'!M:M, 0)), "Y", "N")</f>
        <v>Y</v>
      </c>
    </row>
    <row r="442" spans="1:27" ht="16.8">
      <c r="A442" s="17"/>
      <c r="B442" s="17"/>
      <c r="C442" s="17"/>
      <c r="D442" s="17" t="s">
        <v>143</v>
      </c>
      <c r="E442" s="17"/>
      <c r="F442" s="17" t="s">
        <v>6278</v>
      </c>
      <c r="G442" s="17" t="s">
        <v>6278</v>
      </c>
      <c r="H442" s="17"/>
      <c r="I442" s="97">
        <f>VLOOKUP(F442, '[1]Can Matrix'!$M:$X, 2, FALSE)</f>
        <v>1</v>
      </c>
      <c r="J442" s="17" t="str">
        <f t="shared" si="7"/>
        <v>uint8</v>
      </c>
      <c r="K442" s="17"/>
      <c r="L442" s="17"/>
      <c r="M442" s="100" t="str">
        <f>'[1]Can Matrix'!$R$2</f>
        <v>Unsigned</v>
      </c>
      <c r="N442" s="101" t="str">
        <f>IFERROR(IF(VLOOKUP(F442, '[1]Can Matrix'!$M:$X, 12, FALSE)=0, "", "TMS_Enum_" &amp; VLOOKUP(F442, '[1]Can Matrix'!$M:$X, 12, FALSE)), "")</f>
        <v>TMS_Enum_ExvMovSts</v>
      </c>
      <c r="O442" s="17"/>
      <c r="P442" s="17"/>
      <c r="Q442" s="17"/>
      <c r="R442" s="17"/>
      <c r="S442" s="17"/>
      <c r="T442" s="17"/>
      <c r="U442" s="17"/>
      <c r="V442" s="17"/>
      <c r="W442" s="17"/>
      <c r="X442" s="103"/>
      <c r="Y442" s="17"/>
      <c r="Z442" s="101" t="str">
        <f>IF(N442="", "", IF(ISNUMBER(MATCH(N442, TextTables!A:A, 0)), "Y", "N"))</f>
        <v>Y</v>
      </c>
      <c r="AA442" s="101" t="str">
        <f>IF(ISNUMBER(MATCH(F442, '[1]Can Matrix'!M:M, 0)), "Y", "N")</f>
        <v>Y</v>
      </c>
    </row>
    <row r="443" spans="1:27" ht="16.8">
      <c r="A443" s="17"/>
      <c r="B443" s="17"/>
      <c r="C443" s="17"/>
      <c r="D443" s="17" t="s">
        <v>143</v>
      </c>
      <c r="E443" s="17"/>
      <c r="F443" s="17" t="s">
        <v>6279</v>
      </c>
      <c r="G443" s="17" t="s">
        <v>6279</v>
      </c>
      <c r="H443" s="17"/>
      <c r="I443" s="97">
        <f>VLOOKUP(F443, '[1]Can Matrix'!$M:$X, 2, FALSE)</f>
        <v>1</v>
      </c>
      <c r="J443" s="17" t="str">
        <f t="shared" si="7"/>
        <v>uint8</v>
      </c>
      <c r="K443" s="17"/>
      <c r="L443" s="17"/>
      <c r="M443" s="100" t="str">
        <f>'[1]Can Matrix'!$R$2</f>
        <v>Unsigned</v>
      </c>
      <c r="N443" s="101" t="str">
        <f>IFERROR(IF(VLOOKUP(F443, '[1]Can Matrix'!$M:$X, 12, FALSE)=0, "", "TMS_Enum_" &amp; VLOOKUP(F443, '[1]Can Matrix'!$M:$X, 12, FALSE)), "")</f>
        <v>TMS_Enum_Err1</v>
      </c>
      <c r="O443" s="17"/>
      <c r="P443" s="17"/>
      <c r="Q443" s="17"/>
      <c r="R443" s="17"/>
      <c r="S443" s="17"/>
      <c r="T443" s="17"/>
      <c r="U443" s="17"/>
      <c r="V443" s="17"/>
      <c r="W443" s="17"/>
      <c r="X443" s="103"/>
      <c r="Y443" s="17"/>
      <c r="Z443" s="101" t="str">
        <f>IF(N443="", "", IF(ISNUMBER(MATCH(N443, TextTables!A:A, 0)), "Y", "N"))</f>
        <v>Y</v>
      </c>
      <c r="AA443" s="101" t="str">
        <f>IF(ISNUMBER(MATCH(F443, '[1]Can Matrix'!M:M, 0)), "Y", "N")</f>
        <v>Y</v>
      </c>
    </row>
    <row r="444" spans="1:27" ht="16.8">
      <c r="A444" s="17"/>
      <c r="B444" s="17"/>
      <c r="C444" s="17"/>
      <c r="D444" s="17" t="s">
        <v>143</v>
      </c>
      <c r="E444" s="17"/>
      <c r="F444" s="17" t="s">
        <v>6280</v>
      </c>
      <c r="G444" s="17" t="s">
        <v>6280</v>
      </c>
      <c r="H444" s="17"/>
      <c r="I444" s="97">
        <f>VLOOKUP(F444, '[1]Can Matrix'!$M:$X, 2, FALSE)</f>
        <v>1</v>
      </c>
      <c r="J444" s="17" t="str">
        <f t="shared" si="7"/>
        <v>uint8</v>
      </c>
      <c r="K444" s="17"/>
      <c r="L444" s="17"/>
      <c r="M444" s="100" t="str">
        <f>'[1]Can Matrix'!$R$2</f>
        <v>Unsigned</v>
      </c>
      <c r="N444" s="101" t="str">
        <f>IFERROR(IF(VLOOKUP(F444, '[1]Can Matrix'!$M:$X, 12, FALSE)=0, "", "TMS_Enum_" &amp; VLOOKUP(F444, '[1]Can Matrix'!$M:$X, 12, FALSE)), "")</f>
        <v>TMS_Enum_Err1</v>
      </c>
      <c r="O444" s="17"/>
      <c r="P444" s="17"/>
      <c r="Q444" s="17"/>
      <c r="R444" s="17"/>
      <c r="S444" s="17"/>
      <c r="T444" s="17"/>
      <c r="U444" s="17"/>
      <c r="V444" s="17"/>
      <c r="W444" s="17"/>
      <c r="X444" s="103"/>
      <c r="Y444" s="17"/>
      <c r="Z444" s="101" t="str">
        <f>IF(N444="", "", IF(ISNUMBER(MATCH(N444, TextTables!A:A, 0)), "Y", "N"))</f>
        <v>Y</v>
      </c>
      <c r="AA444" s="101" t="str">
        <f>IF(ISNUMBER(MATCH(F444, '[1]Can Matrix'!M:M, 0)), "Y", "N")</f>
        <v>Y</v>
      </c>
    </row>
    <row r="445" spans="1:27" ht="16.8">
      <c r="A445" s="17"/>
      <c r="B445" s="17"/>
      <c r="C445" s="17"/>
      <c r="D445" s="17" t="s">
        <v>143</v>
      </c>
      <c r="E445" s="17"/>
      <c r="F445" s="17" t="s">
        <v>6281</v>
      </c>
      <c r="G445" s="17" t="s">
        <v>6281</v>
      </c>
      <c r="H445" s="17"/>
      <c r="I445" s="97">
        <f>VLOOKUP(F445, '[1]Can Matrix'!$M:$X, 2, FALSE)</f>
        <v>1</v>
      </c>
      <c r="J445" s="17" t="str">
        <f t="shared" si="7"/>
        <v>uint8</v>
      </c>
      <c r="K445" s="17"/>
      <c r="L445" s="17"/>
      <c r="M445" s="100" t="str">
        <f>'[1]Can Matrix'!$R$2</f>
        <v>Unsigned</v>
      </c>
      <c r="N445" s="101" t="str">
        <f>IFERROR(IF(VLOOKUP(F445, '[1]Can Matrix'!$M:$X, 12, FALSE)=0, "", "TMS_Enum_" &amp; VLOOKUP(F445, '[1]Can Matrix'!$M:$X, 12, FALSE)), "")</f>
        <v>TMS_Enum_OnOff1</v>
      </c>
      <c r="O445" s="17"/>
      <c r="P445" s="17"/>
      <c r="Q445" s="17"/>
      <c r="R445" s="17"/>
      <c r="S445" s="17"/>
      <c r="T445" s="17"/>
      <c r="U445" s="17"/>
      <c r="V445" s="17"/>
      <c r="W445" s="17"/>
      <c r="X445" s="103"/>
      <c r="Y445" s="17"/>
      <c r="Z445" s="101" t="str">
        <f>IF(N445="", "", IF(ISNUMBER(MATCH(N445, TextTables!A:A, 0)), "Y", "N"))</f>
        <v>Y</v>
      </c>
      <c r="AA445" s="101" t="str">
        <f>IF(ISNUMBER(MATCH(F445, '[1]Can Matrix'!M:M, 0)), "Y", "N")</f>
        <v>Y</v>
      </c>
    </row>
    <row r="446" spans="1:27" ht="16.8">
      <c r="A446" s="17"/>
      <c r="B446" s="17"/>
      <c r="C446" s="17"/>
      <c r="D446" s="17" t="s">
        <v>143</v>
      </c>
      <c r="E446" s="17"/>
      <c r="F446" s="17" t="s">
        <v>6282</v>
      </c>
      <c r="G446" s="17" t="s">
        <v>6282</v>
      </c>
      <c r="H446" s="17"/>
      <c r="I446" s="97">
        <f>VLOOKUP(F446, '[1]Can Matrix'!$M:$X, 2, FALSE)</f>
        <v>2</v>
      </c>
      <c r="J446" s="17" t="str">
        <f t="shared" si="7"/>
        <v>uint8</v>
      </c>
      <c r="K446" s="17"/>
      <c r="L446" s="17"/>
      <c r="M446" s="100" t="str">
        <f>'[1]Can Matrix'!$R$2</f>
        <v>Unsigned</v>
      </c>
      <c r="N446" s="101" t="str">
        <f>IFERROR(IF(VLOOKUP(F446, '[1]Can Matrix'!$M:$X, 12, FALSE)=0, "", "TMS_Enum_" &amp; VLOOKUP(F446, '[1]Can Matrix'!$M:$X, 12, FALSE)), "")</f>
        <v>TMS_Enum_ExvVoltgRangErr</v>
      </c>
      <c r="O446" s="17"/>
      <c r="P446" s="17"/>
      <c r="Q446" s="17"/>
      <c r="R446" s="17"/>
      <c r="S446" s="17"/>
      <c r="T446" s="17"/>
      <c r="U446" s="17"/>
      <c r="V446" s="17"/>
      <c r="W446" s="17"/>
      <c r="X446" s="103"/>
      <c r="Y446" s="17"/>
      <c r="Z446" s="101" t="str">
        <f>IF(N446="", "", IF(ISNUMBER(MATCH(N446, TextTables!A:A, 0)), "Y", "N"))</f>
        <v>Y</v>
      </c>
      <c r="AA446" s="101" t="str">
        <f>IF(ISNUMBER(MATCH(F446, '[1]Can Matrix'!M:M, 0)), "Y", "N")</f>
        <v>Y</v>
      </c>
    </row>
    <row r="447" spans="1:27" ht="16.8">
      <c r="A447" s="17"/>
      <c r="B447" s="17"/>
      <c r="C447" s="17"/>
      <c r="D447" s="17" t="s">
        <v>143</v>
      </c>
      <c r="E447" s="17"/>
      <c r="F447" s="17" t="s">
        <v>6283</v>
      </c>
      <c r="G447" s="17" t="s">
        <v>6283</v>
      </c>
      <c r="H447" s="17"/>
      <c r="I447" s="97">
        <f>VLOOKUP(F447, '[1]Can Matrix'!$M:$X, 2, FALSE)</f>
        <v>1</v>
      </c>
      <c r="J447" s="17" t="str">
        <f t="shared" si="7"/>
        <v>uint8</v>
      </c>
      <c r="K447" s="17"/>
      <c r="L447" s="17"/>
      <c r="M447" s="100" t="str">
        <f>'[1]Can Matrix'!$R$2</f>
        <v>Unsigned</v>
      </c>
      <c r="N447" s="101" t="str">
        <f>IFERROR(IF(VLOOKUP(F447, '[1]Can Matrix'!$M:$X, 12, FALSE)=0, "", "TMS_Enum_" &amp; VLOOKUP(F447, '[1]Can Matrix'!$M:$X, 12, FALSE)), "")</f>
        <v>TMS_Enum_ExvCalibReq</v>
      </c>
      <c r="O447" s="17"/>
      <c r="P447" s="17"/>
      <c r="Q447" s="17"/>
      <c r="R447" s="17"/>
      <c r="S447" s="17"/>
      <c r="T447" s="17"/>
      <c r="U447" s="17"/>
      <c r="V447" s="17"/>
      <c r="W447" s="17"/>
      <c r="X447" s="103"/>
      <c r="Y447" s="17"/>
      <c r="Z447" s="101" t="str">
        <f>IF(N447="", "", IF(ISNUMBER(MATCH(N447, TextTables!A:A, 0)), "Y", "N"))</f>
        <v>Y</v>
      </c>
      <c r="AA447" s="101" t="str">
        <f>IF(ISNUMBER(MATCH(F447, '[1]Can Matrix'!M:M, 0)), "Y", "N")</f>
        <v>Y</v>
      </c>
    </row>
    <row r="448" spans="1:27" ht="16.8">
      <c r="A448" s="17"/>
      <c r="B448" s="17"/>
      <c r="C448" s="17"/>
      <c r="D448" s="17" t="s">
        <v>143</v>
      </c>
      <c r="E448" s="17"/>
      <c r="F448" s="17" t="s">
        <v>6284</v>
      </c>
      <c r="G448" s="17" t="s">
        <v>6284</v>
      </c>
      <c r="H448" s="17"/>
      <c r="I448" s="97">
        <f>VLOOKUP(F448, '[1]Can Matrix'!$M:$X, 2, FALSE)</f>
        <v>1</v>
      </c>
      <c r="J448" s="17" t="str">
        <f t="shared" si="7"/>
        <v>uint8</v>
      </c>
      <c r="K448" s="17"/>
      <c r="L448" s="17"/>
      <c r="M448" s="100" t="str">
        <f>'[1]Can Matrix'!$R$2</f>
        <v>Unsigned</v>
      </c>
      <c r="N448" s="101" t="str">
        <f>IFERROR(IF(VLOOKUP(F448, '[1]Can Matrix'!$M:$X, 12, FALSE)=0, "", "TMS_Enum_" &amp; VLOOKUP(F448, '[1]Can Matrix'!$M:$X, 12, FALSE)), "")</f>
        <v>TMS_Enum_ExvHeatdReq</v>
      </c>
      <c r="O448" s="17"/>
      <c r="P448" s="17"/>
      <c r="Q448" s="17"/>
      <c r="R448" s="17"/>
      <c r="S448" s="17"/>
      <c r="T448" s="17"/>
      <c r="U448" s="17"/>
      <c r="V448" s="17"/>
      <c r="W448" s="17"/>
      <c r="X448" s="103"/>
      <c r="Y448" s="17"/>
      <c r="Z448" s="101" t="str">
        <f>IF(N448="", "", IF(ISNUMBER(MATCH(N448, TextTables!A:A, 0)), "Y", "N"))</f>
        <v>Y</v>
      </c>
      <c r="AA448" s="101" t="str">
        <f>IF(ISNUMBER(MATCH(F448, '[1]Can Matrix'!M:M, 0)), "Y", "N")</f>
        <v>Y</v>
      </c>
    </row>
    <row r="449" spans="1:27" ht="16.8">
      <c r="A449" s="17"/>
      <c r="B449" s="17"/>
      <c r="C449" s="17"/>
      <c r="D449" s="17" t="s">
        <v>143</v>
      </c>
      <c r="E449" s="17"/>
      <c r="F449" s="17" t="s">
        <v>6285</v>
      </c>
      <c r="G449" s="17" t="s">
        <v>6285</v>
      </c>
      <c r="H449" s="17"/>
      <c r="I449" s="97">
        <f>VLOOKUP(F449, '[1]Can Matrix'!$M:$X, 2, FALSE)</f>
        <v>1</v>
      </c>
      <c r="J449" s="17" t="str">
        <f t="shared" si="7"/>
        <v>uint8</v>
      </c>
      <c r="K449" s="17"/>
      <c r="L449" s="17"/>
      <c r="M449" s="100" t="str">
        <f>'[1]Can Matrix'!$R$2</f>
        <v>Unsigned</v>
      </c>
      <c r="N449" s="101" t="str">
        <f>IFERROR(IF(VLOOKUP(F449, '[1]Can Matrix'!$M:$X, 12, FALSE)=0, "", "TMS_Enum_" &amp; VLOOKUP(F449, '[1]Can Matrix'!$M:$X, 12, FALSE)), "")</f>
        <v>TMS_Enum_ExvMovEnable</v>
      </c>
      <c r="O449" s="17"/>
      <c r="P449" s="17"/>
      <c r="Q449" s="17"/>
      <c r="R449" s="17"/>
      <c r="S449" s="17"/>
      <c r="T449" s="17"/>
      <c r="U449" s="17"/>
      <c r="V449" s="17"/>
      <c r="W449" s="17"/>
      <c r="X449" s="103"/>
      <c r="Y449" s="17"/>
      <c r="Z449" s="101" t="str">
        <f>IF(N449="", "", IF(ISNUMBER(MATCH(N449, TextTables!A:A, 0)), "Y", "N"))</f>
        <v>Y</v>
      </c>
      <c r="AA449" s="101" t="str">
        <f>IF(ISNUMBER(MATCH(F449, '[1]Can Matrix'!M:M, 0)), "Y", "N")</f>
        <v>Y</v>
      </c>
    </row>
    <row r="450" spans="1:27" ht="16.8">
      <c r="A450" s="17"/>
      <c r="B450" s="17"/>
      <c r="C450" s="17"/>
      <c r="D450" s="17" t="s">
        <v>143</v>
      </c>
      <c r="E450" s="17"/>
      <c r="F450" s="17" t="s">
        <v>6286</v>
      </c>
      <c r="G450" s="17" t="s">
        <v>6286</v>
      </c>
      <c r="H450" s="17"/>
      <c r="I450" s="97">
        <f>VLOOKUP(F450, '[1]Can Matrix'!$M:$X, 2, FALSE)</f>
        <v>10</v>
      </c>
      <c r="J450" s="17" t="str">
        <f t="shared" si="7"/>
        <v>uint16</v>
      </c>
      <c r="K450" s="17"/>
      <c r="L450" s="17"/>
      <c r="M450" s="100" t="str">
        <f>'[1]Can Matrix'!$R$2</f>
        <v>Unsigned</v>
      </c>
      <c r="N450" s="101" t="str">
        <f>IFERROR(IF(VLOOKUP(F450, '[1]Can Matrix'!$M:$X, 12, FALSE)=0, "", "TMS_Enum_" &amp; VLOOKUP(F450, '[1]Can Matrix'!$M:$X, 12, FALSE)), "")</f>
        <v/>
      </c>
      <c r="O450" s="17"/>
      <c r="P450" s="17"/>
      <c r="Q450" s="17"/>
      <c r="R450" s="17"/>
      <c r="S450" s="17"/>
      <c r="T450" s="17"/>
      <c r="U450" s="17"/>
      <c r="V450" s="17"/>
      <c r="W450" s="17"/>
      <c r="X450" s="103"/>
      <c r="Y450" s="17"/>
      <c r="Z450" s="101" t="str">
        <f>IF(N450="", "", IF(ISNUMBER(MATCH(N450, TextTables!A:A, 0)), "Y", "N"))</f>
        <v/>
      </c>
      <c r="AA450" s="101" t="str">
        <f>IF(ISNUMBER(MATCH(F450, '[1]Can Matrix'!M:M, 0)), "Y", "N")</f>
        <v>Y</v>
      </c>
    </row>
    <row r="451" spans="1:27" ht="16.8">
      <c r="A451" s="17"/>
      <c r="B451" s="17"/>
      <c r="C451" s="17"/>
      <c r="D451" s="17" t="s">
        <v>143</v>
      </c>
      <c r="E451" s="17"/>
      <c r="F451" s="17" t="s">
        <v>6287</v>
      </c>
      <c r="G451" s="17" t="s">
        <v>6287</v>
      </c>
      <c r="H451" s="17"/>
      <c r="I451" s="97">
        <f>VLOOKUP(F451, '[1]Can Matrix'!$M:$X, 2, FALSE)</f>
        <v>10</v>
      </c>
      <c r="J451" s="17" t="str">
        <f t="shared" si="7"/>
        <v>uint16</v>
      </c>
      <c r="K451" s="17"/>
      <c r="L451" s="17"/>
      <c r="M451" s="100" t="str">
        <f>'[1]Can Matrix'!$R$2</f>
        <v>Unsigned</v>
      </c>
      <c r="N451" s="101" t="str">
        <f>IFERROR(IF(VLOOKUP(F451, '[1]Can Matrix'!$M:$X, 12, FALSE)=0, "", "TMS_Enum_" &amp; VLOOKUP(F451, '[1]Can Matrix'!$M:$X, 12, FALSE)), "")</f>
        <v/>
      </c>
      <c r="O451" s="17"/>
      <c r="P451" s="17"/>
      <c r="Q451" s="17"/>
      <c r="R451" s="17"/>
      <c r="S451" s="17"/>
      <c r="T451" s="17"/>
      <c r="U451" s="17"/>
      <c r="V451" s="17"/>
      <c r="W451" s="17"/>
      <c r="X451" s="103"/>
      <c r="Y451" s="17"/>
      <c r="Z451" s="101" t="str">
        <f>IF(N451="", "", IF(ISNUMBER(MATCH(N451, TextTables!A:A, 0)), "Y", "N"))</f>
        <v/>
      </c>
      <c r="AA451" s="101" t="str">
        <f>IF(ISNUMBER(MATCH(F451, '[1]Can Matrix'!M:M, 0)), "Y", "N")</f>
        <v>Y</v>
      </c>
    </row>
    <row r="452" spans="1:27" ht="16.8">
      <c r="A452" s="17"/>
      <c r="B452" s="17"/>
      <c r="C452" s="17"/>
      <c r="D452" s="17" t="s">
        <v>143</v>
      </c>
      <c r="E452" s="17"/>
      <c r="F452" s="17" t="s">
        <v>6288</v>
      </c>
      <c r="G452" s="17" t="s">
        <v>6288</v>
      </c>
      <c r="H452" s="17"/>
      <c r="I452" s="97">
        <f>VLOOKUP(F452, '[1]Can Matrix'!$M:$X, 2, FALSE)</f>
        <v>1</v>
      </c>
      <c r="J452" s="17" t="str">
        <f t="shared" si="7"/>
        <v>uint8</v>
      </c>
      <c r="K452" s="17"/>
      <c r="L452" s="17"/>
      <c r="M452" s="100" t="str">
        <f>'[1]Can Matrix'!$R$2</f>
        <v>Unsigned</v>
      </c>
      <c r="N452" s="101" t="str">
        <f>IFERROR(IF(VLOOKUP(F452, '[1]Can Matrix'!$M:$X, 12, FALSE)=0, "", "TMS_Enum_" &amp; VLOOKUP(F452, '[1]Can Matrix'!$M:$X, 12, FALSE)), "")</f>
        <v>TMS_Enum_Err1</v>
      </c>
      <c r="O452" s="17"/>
      <c r="P452" s="17"/>
      <c r="Q452" s="17"/>
      <c r="R452" s="17"/>
      <c r="S452" s="17"/>
      <c r="T452" s="17"/>
      <c r="U452" s="17"/>
      <c r="V452" s="17"/>
      <c r="W452" s="17"/>
      <c r="X452" s="103"/>
      <c r="Y452" s="17"/>
      <c r="Z452" s="101" t="str">
        <f>IF(N452="", "", IF(ISNUMBER(MATCH(N452, TextTables!A:A, 0)), "Y", "N"))</f>
        <v>Y</v>
      </c>
      <c r="AA452" s="101" t="str">
        <f>IF(ISNUMBER(MATCH(F452, '[1]Can Matrix'!M:M, 0)), "Y", "N")</f>
        <v>Y</v>
      </c>
    </row>
    <row r="453" spans="1:27" ht="16.8">
      <c r="A453" s="17"/>
      <c r="B453" s="17"/>
      <c r="C453" s="17"/>
      <c r="D453" s="17" t="s">
        <v>143</v>
      </c>
      <c r="E453" s="17"/>
      <c r="F453" s="17" t="s">
        <v>6289</v>
      </c>
      <c r="G453" s="17" t="s">
        <v>6289</v>
      </c>
      <c r="H453" s="17"/>
      <c r="I453" s="97">
        <f>VLOOKUP(F453, '[1]Can Matrix'!$M:$X, 2, FALSE)</f>
        <v>2</v>
      </c>
      <c r="J453" s="17" t="str">
        <f t="shared" si="7"/>
        <v>uint8</v>
      </c>
      <c r="K453" s="17"/>
      <c r="L453" s="17"/>
      <c r="M453" s="100" t="str">
        <f>'[1]Can Matrix'!$R$2</f>
        <v>Unsigned</v>
      </c>
      <c r="N453" s="101" t="str">
        <f>IFERROR(IF(VLOOKUP(F453, '[1]Can Matrix'!$M:$X, 12, FALSE)=0, "", "TMS_Enum_" &amp; VLOOKUP(F453, '[1]Can Matrix'!$M:$X, 12, FALSE)), "")</f>
        <v>TMS_Enum_ExvCalibSts</v>
      </c>
      <c r="O453" s="17"/>
      <c r="P453" s="17"/>
      <c r="Q453" s="17"/>
      <c r="R453" s="17"/>
      <c r="S453" s="17"/>
      <c r="T453" s="17"/>
      <c r="U453" s="17"/>
      <c r="V453" s="17"/>
      <c r="W453" s="17"/>
      <c r="X453" s="103"/>
      <c r="Y453" s="17"/>
      <c r="Z453" s="101" t="str">
        <f>IF(N453="", "", IF(ISNUMBER(MATCH(N453, TextTables!A:A, 0)), "Y", "N"))</f>
        <v>Y</v>
      </c>
      <c r="AA453" s="101" t="str">
        <f>IF(ISNUMBER(MATCH(F453, '[1]Can Matrix'!M:M, 0)), "Y", "N")</f>
        <v>Y</v>
      </c>
    </row>
    <row r="454" spans="1:27" ht="16.8">
      <c r="A454" s="17"/>
      <c r="B454" s="17"/>
      <c r="C454" s="17"/>
      <c r="D454" s="17" t="s">
        <v>143</v>
      </c>
      <c r="E454" s="17"/>
      <c r="F454" s="17" t="s">
        <v>6290</v>
      </c>
      <c r="G454" s="17" t="s">
        <v>6290</v>
      </c>
      <c r="H454" s="17"/>
      <c r="I454" s="97">
        <f>VLOOKUP(F454, '[1]Can Matrix'!$M:$X, 2, FALSE)</f>
        <v>3</v>
      </c>
      <c r="J454" s="17" t="str">
        <f t="shared" si="7"/>
        <v>uint8</v>
      </c>
      <c r="K454" s="17"/>
      <c r="L454" s="17"/>
      <c r="M454" s="100" t="str">
        <f>'[1]Can Matrix'!$R$2</f>
        <v>Unsigned</v>
      </c>
      <c r="N454" s="101" t="str">
        <f>IFERROR(IF(VLOOKUP(F454, '[1]Can Matrix'!$M:$X, 12, FALSE)=0, "", "TMS_Enum_" &amp; VLOOKUP(F454, '[1]Can Matrix'!$M:$X, 12, FALSE)), "")</f>
        <v>TMS_Enum_ExvElecStsErr</v>
      </c>
      <c r="O454" s="17"/>
      <c r="P454" s="17"/>
      <c r="Q454" s="17"/>
      <c r="R454" s="17"/>
      <c r="S454" s="17"/>
      <c r="T454" s="17"/>
      <c r="U454" s="17"/>
      <c r="V454" s="17"/>
      <c r="W454" s="17"/>
      <c r="X454" s="103"/>
      <c r="Y454" s="17"/>
      <c r="Z454" s="101" t="str">
        <f>IF(N454="", "", IF(ISNUMBER(MATCH(N454, TextTables!A:A, 0)), "Y", "N"))</f>
        <v>Y</v>
      </c>
      <c r="AA454" s="101" t="str">
        <f>IF(ISNUMBER(MATCH(F454, '[1]Can Matrix'!M:M, 0)), "Y", "N")</f>
        <v>Y</v>
      </c>
    </row>
    <row r="455" spans="1:27" ht="16.8">
      <c r="A455" s="17"/>
      <c r="B455" s="17"/>
      <c r="C455" s="17"/>
      <c r="D455" s="17" t="s">
        <v>143</v>
      </c>
      <c r="E455" s="17"/>
      <c r="F455" s="17" t="s">
        <v>6291</v>
      </c>
      <c r="G455" s="17" t="s">
        <v>6291</v>
      </c>
      <c r="H455" s="17"/>
      <c r="I455" s="97">
        <f>VLOOKUP(F455, '[1]Can Matrix'!$M:$X, 2, FALSE)</f>
        <v>1</v>
      </c>
      <c r="J455" s="17" t="str">
        <f t="shared" si="7"/>
        <v>uint8</v>
      </c>
      <c r="K455" s="17"/>
      <c r="L455" s="17"/>
      <c r="M455" s="100" t="str">
        <f>'[1]Can Matrix'!$R$2</f>
        <v>Unsigned</v>
      </c>
      <c r="N455" s="101" t="str">
        <f>IFERROR(IF(VLOOKUP(F455, '[1]Can Matrix'!$M:$X, 12, FALSE)=0, "", "TMS_Enum_" &amp; VLOOKUP(F455, '[1]Can Matrix'!$M:$X, 12, FALSE)), "")</f>
        <v>TMS_Enum_ExvMovSts</v>
      </c>
      <c r="O455" s="17"/>
      <c r="P455" s="17"/>
      <c r="Q455" s="17"/>
      <c r="R455" s="17"/>
      <c r="S455" s="17"/>
      <c r="T455" s="17"/>
      <c r="U455" s="17"/>
      <c r="V455" s="17"/>
      <c r="W455" s="17"/>
      <c r="X455" s="103"/>
      <c r="Y455" s="17"/>
      <c r="Z455" s="101" t="str">
        <f>IF(N455="", "", IF(ISNUMBER(MATCH(N455, TextTables!A:A, 0)), "Y", "N"))</f>
        <v>Y</v>
      </c>
      <c r="AA455" s="101" t="str">
        <f>IF(ISNUMBER(MATCH(F455, '[1]Can Matrix'!M:M, 0)), "Y", "N")</f>
        <v>Y</v>
      </c>
    </row>
    <row r="456" spans="1:27" ht="16.8">
      <c r="A456" s="17"/>
      <c r="B456" s="17"/>
      <c r="C456" s="17"/>
      <c r="D456" s="17" t="s">
        <v>143</v>
      </c>
      <c r="E456" s="17"/>
      <c r="F456" s="17" t="s">
        <v>6292</v>
      </c>
      <c r="G456" s="17" t="s">
        <v>6292</v>
      </c>
      <c r="H456" s="17"/>
      <c r="I456" s="97">
        <f>VLOOKUP(F456, '[1]Can Matrix'!$M:$X, 2, FALSE)</f>
        <v>1</v>
      </c>
      <c r="J456" s="17" t="str">
        <f t="shared" si="7"/>
        <v>uint8</v>
      </c>
      <c r="K456" s="17"/>
      <c r="L456" s="17"/>
      <c r="M456" s="100" t="str">
        <f>'[1]Can Matrix'!$R$2</f>
        <v>Unsigned</v>
      </c>
      <c r="N456" s="101" t="str">
        <f>IFERROR(IF(VLOOKUP(F456, '[1]Can Matrix'!$M:$X, 12, FALSE)=0, "", "TMS_Enum_" &amp; VLOOKUP(F456, '[1]Can Matrix'!$M:$X, 12, FALSE)), "")</f>
        <v>TMS_Enum_Err1</v>
      </c>
      <c r="O456" s="17"/>
      <c r="P456" s="17"/>
      <c r="Q456" s="17"/>
      <c r="R456" s="17"/>
      <c r="S456" s="17"/>
      <c r="T456" s="17"/>
      <c r="U456" s="17"/>
      <c r="V456" s="17"/>
      <c r="W456" s="17"/>
      <c r="X456" s="103"/>
      <c r="Y456" s="17"/>
      <c r="Z456" s="101" t="str">
        <f>IF(N456="", "", IF(ISNUMBER(MATCH(N456, TextTables!A:A, 0)), "Y", "N"))</f>
        <v>Y</v>
      </c>
      <c r="AA456" s="101" t="str">
        <f>IF(ISNUMBER(MATCH(F456, '[1]Can Matrix'!M:M, 0)), "Y", "N")</f>
        <v>Y</v>
      </c>
    </row>
    <row r="457" spans="1:27" ht="16.8">
      <c r="A457" s="17"/>
      <c r="B457" s="17"/>
      <c r="C457" s="17"/>
      <c r="D457" s="17" t="s">
        <v>143</v>
      </c>
      <c r="E457" s="17"/>
      <c r="F457" s="17" t="s">
        <v>6293</v>
      </c>
      <c r="G457" s="17" t="s">
        <v>6293</v>
      </c>
      <c r="H457" s="17"/>
      <c r="I457" s="97">
        <f>VLOOKUP(F457, '[1]Can Matrix'!$M:$X, 2, FALSE)</f>
        <v>1</v>
      </c>
      <c r="J457" s="17" t="str">
        <f t="shared" si="7"/>
        <v>uint8</v>
      </c>
      <c r="K457" s="17"/>
      <c r="L457" s="17"/>
      <c r="M457" s="100" t="str">
        <f>'[1]Can Matrix'!$R$2</f>
        <v>Unsigned</v>
      </c>
      <c r="N457" s="101" t="str">
        <f>IFERROR(IF(VLOOKUP(F457, '[1]Can Matrix'!$M:$X, 12, FALSE)=0, "", "TMS_Enum_" &amp; VLOOKUP(F457, '[1]Can Matrix'!$M:$X, 12, FALSE)), "")</f>
        <v>TMS_Enum_Err1</v>
      </c>
      <c r="O457" s="17"/>
      <c r="P457" s="17"/>
      <c r="Q457" s="17"/>
      <c r="R457" s="17"/>
      <c r="S457" s="17"/>
      <c r="T457" s="17"/>
      <c r="U457" s="17"/>
      <c r="V457" s="17"/>
      <c r="W457" s="17"/>
      <c r="X457" s="103"/>
      <c r="Y457" s="17"/>
      <c r="Z457" s="101" t="str">
        <f>IF(N457="", "", IF(ISNUMBER(MATCH(N457, TextTables!A:A, 0)), "Y", "N"))</f>
        <v>Y</v>
      </c>
      <c r="AA457" s="101" t="str">
        <f>IF(ISNUMBER(MATCH(F457, '[1]Can Matrix'!M:M, 0)), "Y", "N")</f>
        <v>Y</v>
      </c>
    </row>
    <row r="458" spans="1:27" ht="16.8">
      <c r="A458" s="17"/>
      <c r="B458" s="17"/>
      <c r="C458" s="17"/>
      <c r="D458" s="17" t="s">
        <v>143</v>
      </c>
      <c r="E458" s="17"/>
      <c r="F458" s="17" t="s">
        <v>6294</v>
      </c>
      <c r="G458" s="17" t="s">
        <v>6294</v>
      </c>
      <c r="H458" s="17"/>
      <c r="I458" s="97">
        <f>VLOOKUP(F458, '[1]Can Matrix'!$M:$X, 2, FALSE)</f>
        <v>1</v>
      </c>
      <c r="J458" s="17" t="str">
        <f t="shared" si="7"/>
        <v>uint8</v>
      </c>
      <c r="K458" s="17"/>
      <c r="L458" s="17"/>
      <c r="M458" s="100" t="str">
        <f>'[1]Can Matrix'!$R$2</f>
        <v>Unsigned</v>
      </c>
      <c r="N458" s="101" t="str">
        <f>IFERROR(IF(VLOOKUP(F458, '[1]Can Matrix'!$M:$X, 12, FALSE)=0, "", "TMS_Enum_" &amp; VLOOKUP(F458, '[1]Can Matrix'!$M:$X, 12, FALSE)), "")</f>
        <v>TMS_Enum_OnOff1</v>
      </c>
      <c r="O458" s="17"/>
      <c r="P458" s="17"/>
      <c r="Q458" s="17"/>
      <c r="R458" s="17"/>
      <c r="S458" s="17"/>
      <c r="T458" s="17"/>
      <c r="U458" s="17"/>
      <c r="V458" s="17"/>
      <c r="W458" s="17"/>
      <c r="X458" s="103"/>
      <c r="Y458" s="17"/>
      <c r="Z458" s="101" t="str">
        <f>IF(N458="", "", IF(ISNUMBER(MATCH(N458, TextTables!A:A, 0)), "Y", "N"))</f>
        <v>Y</v>
      </c>
      <c r="AA458" s="101" t="str">
        <f>IF(ISNUMBER(MATCH(F458, '[1]Can Matrix'!M:M, 0)), "Y", "N")</f>
        <v>Y</v>
      </c>
    </row>
    <row r="459" spans="1:27" ht="16.8">
      <c r="A459" s="17"/>
      <c r="B459" s="17"/>
      <c r="C459" s="17"/>
      <c r="D459" s="17" t="s">
        <v>143</v>
      </c>
      <c r="E459" s="17"/>
      <c r="F459" s="17" t="s">
        <v>6295</v>
      </c>
      <c r="G459" s="17" t="s">
        <v>6295</v>
      </c>
      <c r="H459" s="17"/>
      <c r="I459" s="97">
        <f>VLOOKUP(F459, '[1]Can Matrix'!$M:$X, 2, FALSE)</f>
        <v>2</v>
      </c>
      <c r="J459" s="17" t="str">
        <f t="shared" si="7"/>
        <v>uint8</v>
      </c>
      <c r="K459" s="17"/>
      <c r="L459" s="17"/>
      <c r="M459" s="100" t="str">
        <f>'[1]Can Matrix'!$R$2</f>
        <v>Unsigned</v>
      </c>
      <c r="N459" s="101" t="str">
        <f>IFERROR(IF(VLOOKUP(F459, '[1]Can Matrix'!$M:$X, 12, FALSE)=0, "", "TMS_Enum_" &amp; VLOOKUP(F459, '[1]Can Matrix'!$M:$X, 12, FALSE)), "")</f>
        <v>TMS_Enum_ExvVoltgRangErr</v>
      </c>
      <c r="O459" s="17"/>
      <c r="P459" s="17"/>
      <c r="Q459" s="17"/>
      <c r="R459" s="17"/>
      <c r="S459" s="17"/>
      <c r="T459" s="17"/>
      <c r="U459" s="17"/>
      <c r="V459" s="17"/>
      <c r="W459" s="17"/>
      <c r="X459" s="103"/>
      <c r="Y459" s="17"/>
      <c r="Z459" s="101" t="str">
        <f>IF(N459="", "", IF(ISNUMBER(MATCH(N459, TextTables!A:A, 0)), "Y", "N"))</f>
        <v>Y</v>
      </c>
      <c r="AA459" s="101" t="str">
        <f>IF(ISNUMBER(MATCH(F459, '[1]Can Matrix'!M:M, 0)), "Y", "N")</f>
        <v>Y</v>
      </c>
    </row>
    <row r="460" spans="1:27" ht="16.8">
      <c r="A460" s="17"/>
      <c r="B460" s="17"/>
      <c r="C460" s="17"/>
      <c r="D460" s="17" t="s">
        <v>143</v>
      </c>
      <c r="E460" s="17"/>
      <c r="F460" s="17" t="s">
        <v>6296</v>
      </c>
      <c r="G460" s="17" t="s">
        <v>6296</v>
      </c>
      <c r="H460" s="17"/>
      <c r="I460" s="97">
        <f>VLOOKUP(F460, '[1]Can Matrix'!$M:$X, 2, FALSE)</f>
        <v>1</v>
      </c>
      <c r="J460" s="17" t="str">
        <f t="shared" si="7"/>
        <v>uint8</v>
      </c>
      <c r="K460" s="17"/>
      <c r="L460" s="17"/>
      <c r="M460" s="100" t="str">
        <f>'[1]Can Matrix'!$R$2</f>
        <v>Unsigned</v>
      </c>
      <c r="N460" s="101" t="str">
        <f>IFERROR(IF(VLOOKUP(F460, '[1]Can Matrix'!$M:$X, 12, FALSE)=0, "", "TMS_Enum_" &amp; VLOOKUP(F460, '[1]Can Matrix'!$M:$X, 12, FALSE)), "")</f>
        <v>TMS_Enum_ExvCalibReq</v>
      </c>
      <c r="O460" s="17"/>
      <c r="P460" s="17"/>
      <c r="Q460" s="17"/>
      <c r="R460" s="17"/>
      <c r="S460" s="17"/>
      <c r="T460" s="17"/>
      <c r="U460" s="17"/>
      <c r="V460" s="17"/>
      <c r="W460" s="17"/>
      <c r="X460" s="103"/>
      <c r="Y460" s="17"/>
      <c r="Z460" s="101" t="str">
        <f>IF(N460="", "", IF(ISNUMBER(MATCH(N460, TextTables!A:A, 0)), "Y", "N"))</f>
        <v>Y</v>
      </c>
      <c r="AA460" s="101" t="str">
        <f>IF(ISNUMBER(MATCH(F460, '[1]Can Matrix'!M:M, 0)), "Y", "N")</f>
        <v>Y</v>
      </c>
    </row>
    <row r="461" spans="1:27" ht="16.8">
      <c r="A461" s="17"/>
      <c r="B461" s="17"/>
      <c r="C461" s="17"/>
      <c r="D461" s="17" t="s">
        <v>143</v>
      </c>
      <c r="E461" s="17"/>
      <c r="F461" s="17" t="s">
        <v>6297</v>
      </c>
      <c r="G461" s="17" t="s">
        <v>6297</v>
      </c>
      <c r="H461" s="17"/>
      <c r="I461" s="97">
        <f>VLOOKUP(F461, '[1]Can Matrix'!$M:$X, 2, FALSE)</f>
        <v>1</v>
      </c>
      <c r="J461" s="17" t="str">
        <f t="shared" si="7"/>
        <v>uint8</v>
      </c>
      <c r="K461" s="17"/>
      <c r="L461" s="17"/>
      <c r="M461" s="100" t="str">
        <f>'[1]Can Matrix'!$R$2</f>
        <v>Unsigned</v>
      </c>
      <c r="N461" s="101" t="str">
        <f>IFERROR(IF(VLOOKUP(F461, '[1]Can Matrix'!$M:$X, 12, FALSE)=0, "", "TMS_Enum_" &amp; VLOOKUP(F461, '[1]Can Matrix'!$M:$X, 12, FALSE)), "")</f>
        <v>TMS_Enum_ExvHeatdReq</v>
      </c>
      <c r="O461" s="17"/>
      <c r="P461" s="17"/>
      <c r="Q461" s="17"/>
      <c r="R461" s="17"/>
      <c r="S461" s="17"/>
      <c r="T461" s="17"/>
      <c r="U461" s="17"/>
      <c r="V461" s="17"/>
      <c r="W461" s="17"/>
      <c r="X461" s="103"/>
      <c r="Y461" s="17"/>
      <c r="Z461" s="101" t="str">
        <f>IF(N461="", "", IF(ISNUMBER(MATCH(N461, TextTables!A:A, 0)), "Y", "N"))</f>
        <v>Y</v>
      </c>
      <c r="AA461" s="101" t="str">
        <f>IF(ISNUMBER(MATCH(F461, '[1]Can Matrix'!M:M, 0)), "Y", "N")</f>
        <v>Y</v>
      </c>
    </row>
    <row r="462" spans="1:27" ht="16.8">
      <c r="A462" s="17"/>
      <c r="B462" s="17"/>
      <c r="C462" s="17"/>
      <c r="D462" s="17" t="s">
        <v>143</v>
      </c>
      <c r="E462" s="17"/>
      <c r="F462" s="17" t="s">
        <v>6298</v>
      </c>
      <c r="G462" s="17" t="s">
        <v>6298</v>
      </c>
      <c r="H462" s="17"/>
      <c r="I462" s="97">
        <f>VLOOKUP(F462, '[1]Can Matrix'!$M:$X, 2, FALSE)</f>
        <v>1</v>
      </c>
      <c r="J462" s="17" t="str">
        <f t="shared" si="7"/>
        <v>uint8</v>
      </c>
      <c r="K462" s="17"/>
      <c r="L462" s="17"/>
      <c r="M462" s="100" t="str">
        <f>'[1]Can Matrix'!$R$2</f>
        <v>Unsigned</v>
      </c>
      <c r="N462" s="101" t="str">
        <f>IFERROR(IF(VLOOKUP(F462, '[1]Can Matrix'!$M:$X, 12, FALSE)=0, "", "TMS_Enum_" &amp; VLOOKUP(F462, '[1]Can Matrix'!$M:$X, 12, FALSE)), "")</f>
        <v>TMS_Enum_ExvMovEnable</v>
      </c>
      <c r="O462" s="17"/>
      <c r="P462" s="17"/>
      <c r="Q462" s="17"/>
      <c r="R462" s="17"/>
      <c r="S462" s="17"/>
      <c r="T462" s="17"/>
      <c r="U462" s="17"/>
      <c r="V462" s="17"/>
      <c r="W462" s="17"/>
      <c r="X462" s="103"/>
      <c r="Y462" s="17"/>
      <c r="Z462" s="101" t="str">
        <f>IF(N462="", "", IF(ISNUMBER(MATCH(N462, TextTables!A:A, 0)), "Y", "N"))</f>
        <v>Y</v>
      </c>
      <c r="AA462" s="101" t="str">
        <f>IF(ISNUMBER(MATCH(F462, '[1]Can Matrix'!M:M, 0)), "Y", "N")</f>
        <v>Y</v>
      </c>
    </row>
    <row r="463" spans="1:27" ht="16.8">
      <c r="A463" s="17"/>
      <c r="B463" s="17"/>
      <c r="C463" s="17"/>
      <c r="D463" s="17" t="s">
        <v>143</v>
      </c>
      <c r="E463" s="17"/>
      <c r="F463" s="17" t="s">
        <v>6299</v>
      </c>
      <c r="G463" s="17" t="s">
        <v>6299</v>
      </c>
      <c r="H463" s="17"/>
      <c r="I463" s="97">
        <f>VLOOKUP(F463, '[1]Can Matrix'!$M:$X, 2, FALSE)</f>
        <v>10</v>
      </c>
      <c r="J463" s="17" t="str">
        <f t="shared" si="7"/>
        <v>uint16</v>
      </c>
      <c r="K463" s="17"/>
      <c r="L463" s="17"/>
      <c r="M463" s="100" t="str">
        <f>'[1]Can Matrix'!$R$2</f>
        <v>Unsigned</v>
      </c>
      <c r="N463" s="101" t="str">
        <f>IFERROR(IF(VLOOKUP(F463, '[1]Can Matrix'!$M:$X, 12, FALSE)=0, "", "TMS_Enum_" &amp; VLOOKUP(F463, '[1]Can Matrix'!$M:$X, 12, FALSE)), "")</f>
        <v/>
      </c>
      <c r="O463" s="17"/>
      <c r="P463" s="17"/>
      <c r="Q463" s="17"/>
      <c r="R463" s="17"/>
      <c r="S463" s="17"/>
      <c r="T463" s="17"/>
      <c r="U463" s="17"/>
      <c r="V463" s="17"/>
      <c r="W463" s="17"/>
      <c r="X463" s="103"/>
      <c r="Y463" s="17"/>
      <c r="Z463" s="101" t="str">
        <f>IF(N463="", "", IF(ISNUMBER(MATCH(N463, TextTables!A:A, 0)), "Y", "N"))</f>
        <v/>
      </c>
      <c r="AA463" s="101" t="str">
        <f>IF(ISNUMBER(MATCH(F463, '[1]Can Matrix'!M:M, 0)), "Y", "N")</f>
        <v>Y</v>
      </c>
    </row>
    <row r="464" spans="1:27" ht="16.8">
      <c r="A464" s="17"/>
      <c r="B464" s="17"/>
      <c r="C464" s="17"/>
      <c r="D464" s="17" t="s">
        <v>143</v>
      </c>
      <c r="E464" s="17"/>
      <c r="F464" s="17" t="s">
        <v>6300</v>
      </c>
      <c r="G464" s="17" t="s">
        <v>6300</v>
      </c>
      <c r="H464" s="17"/>
      <c r="I464" s="97">
        <f>VLOOKUP(F464, '[1]Can Matrix'!$M:$X, 2, FALSE)</f>
        <v>10</v>
      </c>
      <c r="J464" s="17" t="str">
        <f t="shared" si="7"/>
        <v>uint16</v>
      </c>
      <c r="K464" s="17"/>
      <c r="L464" s="17"/>
      <c r="M464" s="100" t="str">
        <f>'[1]Can Matrix'!$R$2</f>
        <v>Unsigned</v>
      </c>
      <c r="N464" s="101" t="str">
        <f>IFERROR(IF(VLOOKUP(F464, '[1]Can Matrix'!$M:$X, 12, FALSE)=0, "", "TMS_Enum_" &amp; VLOOKUP(F464, '[1]Can Matrix'!$M:$X, 12, FALSE)), "")</f>
        <v/>
      </c>
      <c r="O464" s="17"/>
      <c r="P464" s="17"/>
      <c r="Q464" s="17"/>
      <c r="R464" s="17"/>
      <c r="S464" s="17"/>
      <c r="T464" s="17"/>
      <c r="U464" s="17"/>
      <c r="V464" s="17"/>
      <c r="W464" s="17"/>
      <c r="X464" s="103"/>
      <c r="Y464" s="17"/>
      <c r="Z464" s="101" t="str">
        <f>IF(N464="", "", IF(ISNUMBER(MATCH(N464, TextTables!A:A, 0)), "Y", "N"))</f>
        <v/>
      </c>
      <c r="AA464" s="101" t="str">
        <f>IF(ISNUMBER(MATCH(F464, '[1]Can Matrix'!M:M, 0)), "Y", "N")</f>
        <v>Y</v>
      </c>
    </row>
    <row r="465" spans="1:27" ht="16.8">
      <c r="A465" s="17"/>
      <c r="B465" s="17"/>
      <c r="C465" s="17"/>
      <c r="D465" s="17" t="s">
        <v>143</v>
      </c>
      <c r="E465" s="17"/>
      <c r="F465" s="17" t="s">
        <v>6301</v>
      </c>
      <c r="G465" s="17" t="s">
        <v>6301</v>
      </c>
      <c r="H465" s="17"/>
      <c r="I465" s="97">
        <f>VLOOKUP(F465, '[1]Can Matrix'!$M:$X, 2, FALSE)</f>
        <v>1</v>
      </c>
      <c r="J465" s="17" t="str">
        <f t="shared" si="7"/>
        <v>uint8</v>
      </c>
      <c r="K465" s="17"/>
      <c r="L465" s="17"/>
      <c r="M465" s="100" t="str">
        <f>'[1]Can Matrix'!$R$2</f>
        <v>Unsigned</v>
      </c>
      <c r="N465" s="101" t="str">
        <f>IFERROR(IF(VLOOKUP(F465, '[1]Can Matrix'!$M:$X, 12, FALSE)=0, "", "TMS_Enum_" &amp; VLOOKUP(F465, '[1]Can Matrix'!$M:$X, 12, FALSE)), "")</f>
        <v>TMS_Enum_Err1</v>
      </c>
      <c r="O465" s="17"/>
      <c r="P465" s="17"/>
      <c r="Q465" s="17"/>
      <c r="R465" s="17"/>
      <c r="S465" s="17"/>
      <c r="T465" s="17"/>
      <c r="U465" s="17"/>
      <c r="V465" s="17"/>
      <c r="W465" s="17"/>
      <c r="X465" s="103"/>
      <c r="Y465" s="17"/>
      <c r="Z465" s="101" t="str">
        <f>IF(N465="", "", IF(ISNUMBER(MATCH(N465, TextTables!A:A, 0)), "Y", "N"))</f>
        <v>Y</v>
      </c>
      <c r="AA465" s="101" t="str">
        <f>IF(ISNUMBER(MATCH(F465, '[1]Can Matrix'!M:M, 0)), "Y", "N")</f>
        <v>Y</v>
      </c>
    </row>
    <row r="466" spans="1:27" ht="16.8">
      <c r="A466" s="17"/>
      <c r="B466" s="17"/>
      <c r="C466" s="17"/>
      <c r="D466" s="17" t="s">
        <v>143</v>
      </c>
      <c r="E466" s="17"/>
      <c r="F466" s="17" t="s">
        <v>6302</v>
      </c>
      <c r="G466" s="17" t="s">
        <v>6302</v>
      </c>
      <c r="H466" s="17"/>
      <c r="I466" s="97">
        <f>VLOOKUP(F466, '[1]Can Matrix'!$M:$X, 2, FALSE)</f>
        <v>2</v>
      </c>
      <c r="J466" s="17" t="str">
        <f t="shared" si="7"/>
        <v>uint8</v>
      </c>
      <c r="K466" s="17"/>
      <c r="L466" s="17"/>
      <c r="M466" s="100" t="str">
        <f>'[1]Can Matrix'!$R$2</f>
        <v>Unsigned</v>
      </c>
      <c r="N466" s="101" t="str">
        <f>IFERROR(IF(VLOOKUP(F466, '[1]Can Matrix'!$M:$X, 12, FALSE)=0, "", "TMS_Enum_" &amp; VLOOKUP(F466, '[1]Can Matrix'!$M:$X, 12, FALSE)), "")</f>
        <v>TMS_Enum_ExvCalibSts</v>
      </c>
      <c r="O466" s="17"/>
      <c r="P466" s="17"/>
      <c r="Q466" s="17"/>
      <c r="R466" s="17"/>
      <c r="S466" s="17"/>
      <c r="T466" s="17"/>
      <c r="U466" s="17"/>
      <c r="V466" s="17"/>
      <c r="W466" s="17"/>
      <c r="X466" s="103"/>
      <c r="Y466" s="17"/>
      <c r="Z466" s="101" t="str">
        <f>IF(N466="", "", IF(ISNUMBER(MATCH(N466, TextTables!A:A, 0)), "Y", "N"))</f>
        <v>Y</v>
      </c>
      <c r="AA466" s="101" t="str">
        <f>IF(ISNUMBER(MATCH(F466, '[1]Can Matrix'!M:M, 0)), "Y", "N")</f>
        <v>Y</v>
      </c>
    </row>
    <row r="467" spans="1:27" ht="16.8">
      <c r="A467" s="17"/>
      <c r="B467" s="17"/>
      <c r="C467" s="17"/>
      <c r="D467" s="17" t="s">
        <v>143</v>
      </c>
      <c r="E467" s="17"/>
      <c r="F467" s="17" t="s">
        <v>6303</v>
      </c>
      <c r="G467" s="17" t="s">
        <v>6303</v>
      </c>
      <c r="H467" s="17"/>
      <c r="I467" s="97">
        <f>VLOOKUP(F467, '[1]Can Matrix'!$M:$X, 2, FALSE)</f>
        <v>3</v>
      </c>
      <c r="J467" s="17" t="str">
        <f t="shared" si="7"/>
        <v>uint8</v>
      </c>
      <c r="K467" s="17"/>
      <c r="L467" s="17"/>
      <c r="M467" s="100" t="str">
        <f>'[1]Can Matrix'!$R$2</f>
        <v>Unsigned</v>
      </c>
      <c r="N467" s="101" t="str">
        <f>IFERROR(IF(VLOOKUP(F467, '[1]Can Matrix'!$M:$X, 12, FALSE)=0, "", "TMS_Enum_" &amp; VLOOKUP(F467, '[1]Can Matrix'!$M:$X, 12, FALSE)), "")</f>
        <v>TMS_Enum_ExvElecStsErr</v>
      </c>
      <c r="O467" s="17"/>
      <c r="P467" s="17"/>
      <c r="Q467" s="17"/>
      <c r="R467" s="17"/>
      <c r="S467" s="17"/>
      <c r="T467" s="17"/>
      <c r="U467" s="17"/>
      <c r="V467" s="17"/>
      <c r="W467" s="17"/>
      <c r="X467" s="103"/>
      <c r="Y467" s="17"/>
      <c r="Z467" s="101" t="str">
        <f>IF(N467="", "", IF(ISNUMBER(MATCH(N467, TextTables!A:A, 0)), "Y", "N"))</f>
        <v>Y</v>
      </c>
      <c r="AA467" s="101" t="str">
        <f>IF(ISNUMBER(MATCH(F467, '[1]Can Matrix'!M:M, 0)), "Y", "N")</f>
        <v>Y</v>
      </c>
    </row>
    <row r="468" spans="1:27" ht="16.8">
      <c r="A468" s="17"/>
      <c r="B468" s="17"/>
      <c r="C468" s="17"/>
      <c r="D468" s="17" t="s">
        <v>143</v>
      </c>
      <c r="E468" s="17"/>
      <c r="F468" s="17" t="s">
        <v>6304</v>
      </c>
      <c r="G468" s="17" t="s">
        <v>6304</v>
      </c>
      <c r="H468" s="17"/>
      <c r="I468" s="97">
        <f>VLOOKUP(F468, '[1]Can Matrix'!$M:$X, 2, FALSE)</f>
        <v>1</v>
      </c>
      <c r="J468" s="17" t="str">
        <f t="shared" si="7"/>
        <v>uint8</v>
      </c>
      <c r="K468" s="17"/>
      <c r="L468" s="17"/>
      <c r="M468" s="100" t="str">
        <f>'[1]Can Matrix'!$R$2</f>
        <v>Unsigned</v>
      </c>
      <c r="N468" s="101" t="str">
        <f>IFERROR(IF(VLOOKUP(F468, '[1]Can Matrix'!$M:$X, 12, FALSE)=0, "", "TMS_Enum_" &amp; VLOOKUP(F468, '[1]Can Matrix'!$M:$X, 12, FALSE)), "")</f>
        <v>TMS_Enum_ExvMovSts</v>
      </c>
      <c r="O468" s="17"/>
      <c r="P468" s="17"/>
      <c r="Q468" s="17"/>
      <c r="R468" s="17"/>
      <c r="S468" s="17"/>
      <c r="T468" s="17"/>
      <c r="U468" s="17"/>
      <c r="V468" s="17"/>
      <c r="W468" s="17"/>
      <c r="X468" s="103"/>
      <c r="Y468" s="17"/>
      <c r="Z468" s="101" t="str">
        <f>IF(N468="", "", IF(ISNUMBER(MATCH(N468, TextTables!A:A, 0)), "Y", "N"))</f>
        <v>Y</v>
      </c>
      <c r="AA468" s="101" t="str">
        <f>IF(ISNUMBER(MATCH(F468, '[1]Can Matrix'!M:M, 0)), "Y", "N")</f>
        <v>Y</v>
      </c>
    </row>
    <row r="469" spans="1:27" ht="16.8">
      <c r="A469" s="17"/>
      <c r="B469" s="17"/>
      <c r="C469" s="17"/>
      <c r="D469" s="17" t="s">
        <v>143</v>
      </c>
      <c r="E469" s="17"/>
      <c r="F469" s="17" t="s">
        <v>6305</v>
      </c>
      <c r="G469" s="17" t="s">
        <v>6305</v>
      </c>
      <c r="H469" s="17"/>
      <c r="I469" s="97">
        <f>VLOOKUP(F469, '[1]Can Matrix'!$M:$X, 2, FALSE)</f>
        <v>1</v>
      </c>
      <c r="J469" s="17" t="str">
        <f t="shared" si="7"/>
        <v>uint8</v>
      </c>
      <c r="K469" s="17"/>
      <c r="L469" s="17"/>
      <c r="M469" s="100" t="str">
        <f>'[1]Can Matrix'!$R$2</f>
        <v>Unsigned</v>
      </c>
      <c r="N469" s="101" t="str">
        <f>IFERROR(IF(VLOOKUP(F469, '[1]Can Matrix'!$M:$X, 12, FALSE)=0, "", "TMS_Enum_" &amp; VLOOKUP(F469, '[1]Can Matrix'!$M:$X, 12, FALSE)), "")</f>
        <v>TMS_Enum_Err1</v>
      </c>
      <c r="O469" s="17"/>
      <c r="P469" s="17"/>
      <c r="Q469" s="17"/>
      <c r="R469" s="17"/>
      <c r="S469" s="17"/>
      <c r="T469" s="17"/>
      <c r="U469" s="17"/>
      <c r="V469" s="17"/>
      <c r="W469" s="17"/>
      <c r="X469" s="103"/>
      <c r="Y469" s="17"/>
      <c r="Z469" s="101" t="str">
        <f>IF(N469="", "", IF(ISNUMBER(MATCH(N469, TextTables!A:A, 0)), "Y", "N"))</f>
        <v>Y</v>
      </c>
      <c r="AA469" s="101" t="str">
        <f>IF(ISNUMBER(MATCH(F469, '[1]Can Matrix'!M:M, 0)), "Y", "N")</f>
        <v>Y</v>
      </c>
    </row>
    <row r="470" spans="1:27" ht="16.8">
      <c r="A470" s="17"/>
      <c r="B470" s="17"/>
      <c r="C470" s="17"/>
      <c r="D470" s="17" t="s">
        <v>143</v>
      </c>
      <c r="E470" s="17"/>
      <c r="F470" s="17" t="s">
        <v>6306</v>
      </c>
      <c r="G470" s="17" t="s">
        <v>6306</v>
      </c>
      <c r="H470" s="17"/>
      <c r="I470" s="97">
        <f>VLOOKUP(F470, '[1]Can Matrix'!$M:$X, 2, FALSE)</f>
        <v>1</v>
      </c>
      <c r="J470" s="17" t="str">
        <f t="shared" si="7"/>
        <v>uint8</v>
      </c>
      <c r="K470" s="17"/>
      <c r="L470" s="17"/>
      <c r="M470" s="100" t="str">
        <f>'[1]Can Matrix'!$R$2</f>
        <v>Unsigned</v>
      </c>
      <c r="N470" s="101" t="str">
        <f>IFERROR(IF(VLOOKUP(F470, '[1]Can Matrix'!$M:$X, 12, FALSE)=0, "", "TMS_Enum_" &amp; VLOOKUP(F470, '[1]Can Matrix'!$M:$X, 12, FALSE)), "")</f>
        <v>TMS_Enum_Err1</v>
      </c>
      <c r="O470" s="17"/>
      <c r="P470" s="17"/>
      <c r="Q470" s="17"/>
      <c r="R470" s="17"/>
      <c r="S470" s="17"/>
      <c r="T470" s="17"/>
      <c r="U470" s="17"/>
      <c r="V470" s="17"/>
      <c r="W470" s="17"/>
      <c r="X470" s="103"/>
      <c r="Y470" s="17"/>
      <c r="Z470" s="101" t="str">
        <f>IF(N470="", "", IF(ISNUMBER(MATCH(N470, TextTables!A:A, 0)), "Y", "N"))</f>
        <v>Y</v>
      </c>
      <c r="AA470" s="101" t="str">
        <f>IF(ISNUMBER(MATCH(F470, '[1]Can Matrix'!M:M, 0)), "Y", "N")</f>
        <v>Y</v>
      </c>
    </row>
    <row r="471" spans="1:27" ht="16.8">
      <c r="A471" s="17"/>
      <c r="B471" s="17"/>
      <c r="C471" s="17"/>
      <c r="D471" s="17" t="s">
        <v>143</v>
      </c>
      <c r="E471" s="17"/>
      <c r="F471" s="17" t="s">
        <v>6307</v>
      </c>
      <c r="G471" s="17" t="s">
        <v>6307</v>
      </c>
      <c r="H471" s="17"/>
      <c r="I471" s="97">
        <f>VLOOKUP(F471, '[1]Can Matrix'!$M:$X, 2, FALSE)</f>
        <v>1</v>
      </c>
      <c r="J471" s="17" t="str">
        <f t="shared" si="7"/>
        <v>uint8</v>
      </c>
      <c r="K471" s="17"/>
      <c r="L471" s="17"/>
      <c r="M471" s="100" t="str">
        <f>'[1]Can Matrix'!$R$2</f>
        <v>Unsigned</v>
      </c>
      <c r="N471" s="101" t="str">
        <f>IFERROR(IF(VLOOKUP(F471, '[1]Can Matrix'!$M:$X, 12, FALSE)=0, "", "TMS_Enum_" &amp; VLOOKUP(F471, '[1]Can Matrix'!$M:$X, 12, FALSE)), "")</f>
        <v>TMS_Enum_OnOff1</v>
      </c>
      <c r="O471" s="17"/>
      <c r="P471" s="17"/>
      <c r="Q471" s="17"/>
      <c r="R471" s="17"/>
      <c r="S471" s="17"/>
      <c r="T471" s="17"/>
      <c r="U471" s="17"/>
      <c r="V471" s="17"/>
      <c r="W471" s="17"/>
      <c r="X471" s="103"/>
      <c r="Y471" s="17"/>
      <c r="Z471" s="101" t="str">
        <f>IF(N471="", "", IF(ISNUMBER(MATCH(N471, TextTables!A:A, 0)), "Y", "N"))</f>
        <v>Y</v>
      </c>
      <c r="AA471" s="101" t="str">
        <f>IF(ISNUMBER(MATCH(F471, '[1]Can Matrix'!M:M, 0)), "Y", "N")</f>
        <v>Y</v>
      </c>
    </row>
    <row r="472" spans="1:27" ht="16.8">
      <c r="A472" s="17"/>
      <c r="B472" s="17"/>
      <c r="C472" s="17"/>
      <c r="D472" s="17" t="s">
        <v>143</v>
      </c>
      <c r="E472" s="17"/>
      <c r="F472" s="17" t="s">
        <v>6308</v>
      </c>
      <c r="G472" s="17" t="s">
        <v>6308</v>
      </c>
      <c r="H472" s="17"/>
      <c r="I472" s="97">
        <f>VLOOKUP(F472, '[1]Can Matrix'!$M:$X, 2, FALSE)</f>
        <v>2</v>
      </c>
      <c r="J472" s="17" t="str">
        <f t="shared" si="7"/>
        <v>uint8</v>
      </c>
      <c r="K472" s="17"/>
      <c r="L472" s="17"/>
      <c r="M472" s="100" t="str">
        <f>'[1]Can Matrix'!$R$2</f>
        <v>Unsigned</v>
      </c>
      <c r="N472" s="101" t="str">
        <f>IFERROR(IF(VLOOKUP(F472, '[1]Can Matrix'!$M:$X, 12, FALSE)=0, "", "TMS_Enum_" &amp; VLOOKUP(F472, '[1]Can Matrix'!$M:$X, 12, FALSE)), "")</f>
        <v>TMS_Enum_ExvVoltgRangErr</v>
      </c>
      <c r="O472" s="17"/>
      <c r="P472" s="17"/>
      <c r="Q472" s="17"/>
      <c r="R472" s="17"/>
      <c r="S472" s="17"/>
      <c r="T472" s="17"/>
      <c r="U472" s="17"/>
      <c r="V472" s="17"/>
      <c r="W472" s="17"/>
      <c r="X472" s="103"/>
      <c r="Y472" s="17"/>
      <c r="Z472" s="101" t="str">
        <f>IF(N472="", "", IF(ISNUMBER(MATCH(N472, TextTables!A:A, 0)), "Y", "N"))</f>
        <v>Y</v>
      </c>
      <c r="AA472" s="101" t="str">
        <f>IF(ISNUMBER(MATCH(F472, '[1]Can Matrix'!M:M, 0)), "Y", "N")</f>
        <v>Y</v>
      </c>
    </row>
    <row r="473" spans="1:27" ht="16.8">
      <c r="A473" s="17"/>
      <c r="B473" s="17"/>
      <c r="C473" s="17"/>
      <c r="D473" s="17" t="s">
        <v>143</v>
      </c>
      <c r="E473" s="17"/>
      <c r="F473" s="17" t="s">
        <v>6309</v>
      </c>
      <c r="G473" s="17" t="s">
        <v>6309</v>
      </c>
      <c r="H473" s="17"/>
      <c r="I473" s="97">
        <f>VLOOKUP(F473, '[1]Can Matrix'!$M:$X, 2, FALSE)</f>
        <v>1</v>
      </c>
      <c r="J473" s="17" t="str">
        <f t="shared" si="7"/>
        <v>uint8</v>
      </c>
      <c r="K473" s="17"/>
      <c r="L473" s="17"/>
      <c r="M473" s="100" t="str">
        <f>'[1]Can Matrix'!$R$2</f>
        <v>Unsigned</v>
      </c>
      <c r="N473" s="101" t="str">
        <f>IFERROR(IF(VLOOKUP(F473, '[1]Can Matrix'!$M:$X, 12, FALSE)=0, "", "TMS_Enum_" &amp; VLOOKUP(F473, '[1]Can Matrix'!$M:$X, 12, FALSE)), "")</f>
        <v>TMS_Enum_Flt</v>
      </c>
      <c r="O473" s="17"/>
      <c r="P473" s="17"/>
      <c r="Q473" s="17"/>
      <c r="R473" s="17"/>
      <c r="S473" s="17"/>
      <c r="T473" s="17"/>
      <c r="U473" s="17"/>
      <c r="V473" s="17"/>
      <c r="W473" s="17"/>
      <c r="X473" s="103"/>
      <c r="Y473" s="17"/>
      <c r="Z473" s="101" t="str">
        <f>IF(N473="", "", IF(ISNUMBER(MATCH(N473, TextTables!A:A, 0)), "Y", "N"))</f>
        <v>Y</v>
      </c>
      <c r="AA473" s="101" t="str">
        <f>IF(ISNUMBER(MATCH(F473, '[1]Can Matrix'!M:M, 0)), "Y", "N")</f>
        <v>Y</v>
      </c>
    </row>
    <row r="474" spans="1:27" ht="16.8">
      <c r="A474" s="17"/>
      <c r="B474" s="17"/>
      <c r="C474" s="17"/>
      <c r="D474" s="17" t="s">
        <v>143</v>
      </c>
      <c r="E474" s="17"/>
      <c r="F474" s="17" t="s">
        <v>6310</v>
      </c>
      <c r="G474" s="17" t="s">
        <v>6310</v>
      </c>
      <c r="H474" s="17"/>
      <c r="I474" s="97">
        <f>VLOOKUP(F474, '[1]Can Matrix'!$M:$X, 2, FALSE)</f>
        <v>4</v>
      </c>
      <c r="J474" s="17" t="str">
        <f t="shared" si="7"/>
        <v>uint8</v>
      </c>
      <c r="K474" s="17"/>
      <c r="L474" s="17"/>
      <c r="M474" s="100" t="str">
        <f>'[1]Can Matrix'!$R$2</f>
        <v>Unsigned</v>
      </c>
      <c r="N474" s="101" t="str">
        <f>IFERROR(IF(VLOOKUP(F474, '[1]Can Matrix'!$M:$X, 12, FALSE)=0, "", "TMS_Enum_" &amp; VLOOKUP(F474, '[1]Can Matrix'!$M:$X, 12, FALSE)), "")</f>
        <v>TMS_Enum_TorqueBoost</v>
      </c>
      <c r="O474" s="17"/>
      <c r="P474" s="17"/>
      <c r="Q474" s="17"/>
      <c r="R474" s="17"/>
      <c r="S474" s="17"/>
      <c r="T474" s="17"/>
      <c r="U474" s="17"/>
      <c r="V474" s="17"/>
      <c r="W474" s="17"/>
      <c r="X474" s="103"/>
      <c r="Y474" s="17"/>
      <c r="Z474" s="101" t="str">
        <f>IF(N474="", "", IF(ISNUMBER(MATCH(N474, TextTables!A:A, 0)), "Y", "N"))</f>
        <v>Y</v>
      </c>
      <c r="AA474" s="101" t="str">
        <f>IF(ISNUMBER(MATCH(F474, '[1]Can Matrix'!M:M, 0)), "Y", "N")</f>
        <v>Y</v>
      </c>
    </row>
    <row r="475" spans="1:27" ht="16.8">
      <c r="A475" s="17"/>
      <c r="B475" s="17"/>
      <c r="C475" s="17"/>
      <c r="D475" s="17" t="s">
        <v>143</v>
      </c>
      <c r="E475" s="17"/>
      <c r="F475" s="17" t="s">
        <v>6311</v>
      </c>
      <c r="G475" s="17" t="s">
        <v>6311</v>
      </c>
      <c r="H475" s="17"/>
      <c r="I475" s="97">
        <f>VLOOKUP(F475, '[1]Can Matrix'!$M:$X, 2, FALSE)</f>
        <v>1</v>
      </c>
      <c r="J475" s="17" t="str">
        <f t="shared" si="7"/>
        <v>uint8</v>
      </c>
      <c r="K475" s="17"/>
      <c r="L475" s="17"/>
      <c r="M475" s="100" t="str">
        <f>'[1]Can Matrix'!$R$2</f>
        <v>Unsigned</v>
      </c>
      <c r="N475" s="101" t="str">
        <f>IFERROR(IF(VLOOKUP(F475, '[1]Can Matrix'!$M:$X, 12, FALSE)=0, "", "TMS_Enum_" &amp; VLOOKUP(F475, '[1]Can Matrix'!$M:$X, 12, FALSE)), "")</f>
        <v>TMS_Enum_Boolean</v>
      </c>
      <c r="O475" s="17"/>
      <c r="P475" s="17"/>
      <c r="Q475" s="17"/>
      <c r="R475" s="17"/>
      <c r="S475" s="17"/>
      <c r="T475" s="17"/>
      <c r="U475" s="17"/>
      <c r="V475" s="17"/>
      <c r="W475" s="17"/>
      <c r="X475" s="103"/>
      <c r="Y475" s="17"/>
      <c r="Z475" s="101" t="str">
        <f>IF(N475="", "", IF(ISNUMBER(MATCH(N475, TextTables!A:A, 0)), "Y", "N"))</f>
        <v>Y</v>
      </c>
      <c r="AA475" s="101" t="str">
        <f>IF(ISNUMBER(MATCH(F475, '[1]Can Matrix'!M:M, 0)), "Y", "N")</f>
        <v>Y</v>
      </c>
    </row>
    <row r="476" spans="1:27" ht="16.8">
      <c r="A476" s="17"/>
      <c r="B476" s="17"/>
      <c r="C476" s="17"/>
      <c r="D476" s="17" t="s">
        <v>143</v>
      </c>
      <c r="E476" s="17"/>
      <c r="F476" s="17" t="s">
        <v>6312</v>
      </c>
      <c r="G476" s="17" t="s">
        <v>6312</v>
      </c>
      <c r="H476" s="17"/>
      <c r="I476" s="97">
        <f>VLOOKUP(F476, '[1]Can Matrix'!$M:$X, 2, FALSE)</f>
        <v>1</v>
      </c>
      <c r="J476" s="17" t="str">
        <f t="shared" si="7"/>
        <v>uint8</v>
      </c>
      <c r="K476" s="17"/>
      <c r="L476" s="17"/>
      <c r="M476" s="100" t="str">
        <f>'[1]Can Matrix'!$R$2</f>
        <v>Unsigned</v>
      </c>
      <c r="N476" s="101" t="str">
        <f>IFERROR(IF(VLOOKUP(F476, '[1]Can Matrix'!$M:$X, 12, FALSE)=0, "", "TMS_Enum_" &amp; VLOOKUP(F476, '[1]Can Matrix'!$M:$X, 12, FALSE)), "")</f>
        <v>TMS_Enum_Boolean</v>
      </c>
      <c r="O476" s="17"/>
      <c r="P476" s="17"/>
      <c r="Q476" s="17"/>
      <c r="R476" s="17"/>
      <c r="S476" s="17"/>
      <c r="T476" s="17"/>
      <c r="U476" s="17"/>
      <c r="V476" s="17"/>
      <c r="W476" s="17"/>
      <c r="X476" s="103"/>
      <c r="Y476" s="17"/>
      <c r="Z476" s="101" t="str">
        <f>IF(N476="", "", IF(ISNUMBER(MATCH(N476, TextTables!A:A, 0)), "Y", "N"))</f>
        <v>Y</v>
      </c>
      <c r="AA476" s="101" t="str">
        <f>IF(ISNUMBER(MATCH(F476, '[1]Can Matrix'!M:M, 0)), "Y", "N")</f>
        <v>Y</v>
      </c>
    </row>
    <row r="477" spans="1:27" ht="16.8">
      <c r="A477" s="17"/>
      <c r="B477" s="17"/>
      <c r="C477" s="17"/>
      <c r="D477" s="17" t="s">
        <v>143</v>
      </c>
      <c r="E477" s="17"/>
      <c r="F477" s="17" t="s">
        <v>6313</v>
      </c>
      <c r="G477" s="17" t="s">
        <v>6313</v>
      </c>
      <c r="H477" s="17"/>
      <c r="I477" s="97">
        <f>VLOOKUP(F477, '[1]Can Matrix'!$M:$X, 2, FALSE)</f>
        <v>1</v>
      </c>
      <c r="J477" s="17" t="str">
        <f t="shared" si="7"/>
        <v>uint8</v>
      </c>
      <c r="K477" s="17"/>
      <c r="L477" s="17"/>
      <c r="M477" s="100" t="str">
        <f>'[1]Can Matrix'!$R$2</f>
        <v>Unsigned</v>
      </c>
      <c r="N477" s="101" t="str">
        <f>IFERROR(IF(VLOOKUP(F477, '[1]Can Matrix'!$M:$X, 12, FALSE)=0, "", "TMS_Enum_" &amp; VLOOKUP(F477, '[1]Can Matrix'!$M:$X, 12, FALSE)), "")</f>
        <v>TMS_Enum_VlvRunSts</v>
      </c>
      <c r="O477" s="17"/>
      <c r="P477" s="17"/>
      <c r="Q477" s="17"/>
      <c r="R477" s="17"/>
      <c r="S477" s="17"/>
      <c r="T477" s="17"/>
      <c r="U477" s="17"/>
      <c r="V477" s="17"/>
      <c r="W477" s="17"/>
      <c r="X477" s="103"/>
      <c r="Y477" s="17"/>
      <c r="Z477" s="101" t="str">
        <f>IF(N477="", "", IF(ISNUMBER(MATCH(N477, TextTables!A:A, 0)), "Y", "N"))</f>
        <v>Y</v>
      </c>
      <c r="AA477" s="101" t="str">
        <f>IF(ISNUMBER(MATCH(F477, '[1]Can Matrix'!M:M, 0)), "Y", "N")</f>
        <v>Y</v>
      </c>
    </row>
    <row r="478" spans="1:27" ht="16.8">
      <c r="A478" s="17"/>
      <c r="B478" s="17"/>
      <c r="C478" s="17"/>
      <c r="D478" s="17" t="s">
        <v>143</v>
      </c>
      <c r="E478" s="17"/>
      <c r="F478" s="17" t="s">
        <v>6314</v>
      </c>
      <c r="G478" s="17" t="s">
        <v>6314</v>
      </c>
      <c r="H478" s="17"/>
      <c r="I478" s="97">
        <f>VLOOKUP(F478, '[1]Can Matrix'!$M:$X, 2, FALSE)</f>
        <v>1</v>
      </c>
      <c r="J478" s="17" t="str">
        <f t="shared" ref="J478:J541" si="8">IF(I478&lt;=8,"uint8",IF(I478&lt;=16,"uint16","uint32"))</f>
        <v>uint8</v>
      </c>
      <c r="K478" s="17"/>
      <c r="L478" s="17"/>
      <c r="M478" s="100" t="str">
        <f>'[1]Can Matrix'!$R$2</f>
        <v>Unsigned</v>
      </c>
      <c r="N478" s="101" t="str">
        <f>IFERROR(IF(VLOOKUP(F478, '[1]Can Matrix'!$M:$X, 12, FALSE)=0, "", "TMS_Enum_" &amp; VLOOKUP(F478, '[1]Can Matrix'!$M:$X, 12, FALSE)), "")</f>
        <v>TMS_Enum_Flt</v>
      </c>
      <c r="O478" s="17"/>
      <c r="P478" s="17"/>
      <c r="Q478" s="17"/>
      <c r="R478" s="17"/>
      <c r="S478" s="17"/>
      <c r="T478" s="17"/>
      <c r="U478" s="17"/>
      <c r="V478" s="17"/>
      <c r="W478" s="17"/>
      <c r="X478" s="103"/>
      <c r="Y478" s="17"/>
      <c r="Z478" s="101" t="str">
        <f>IF(N478="", "", IF(ISNUMBER(MATCH(N478, TextTables!A:A, 0)), "Y", "N"))</f>
        <v>Y</v>
      </c>
      <c r="AA478" s="101" t="str">
        <f>IF(ISNUMBER(MATCH(F478, '[1]Can Matrix'!M:M, 0)), "Y", "N")</f>
        <v>Y</v>
      </c>
    </row>
    <row r="479" spans="1:27" ht="16.8">
      <c r="A479" s="17"/>
      <c r="B479" s="17"/>
      <c r="C479" s="17"/>
      <c r="D479" s="17" t="s">
        <v>143</v>
      </c>
      <c r="E479" s="17"/>
      <c r="F479" s="17" t="s">
        <v>6315</v>
      </c>
      <c r="G479" s="17" t="s">
        <v>6315</v>
      </c>
      <c r="H479" s="17"/>
      <c r="I479" s="97">
        <f>VLOOKUP(F479, '[1]Can Matrix'!$M:$X, 2, FALSE)</f>
        <v>1</v>
      </c>
      <c r="J479" s="17" t="str">
        <f t="shared" si="8"/>
        <v>uint8</v>
      </c>
      <c r="K479" s="17"/>
      <c r="L479" s="17"/>
      <c r="M479" s="100" t="str">
        <f>'[1]Can Matrix'!$R$2</f>
        <v>Unsigned</v>
      </c>
      <c r="N479" s="101" t="str">
        <f>IFERROR(IF(VLOOKUP(F479, '[1]Can Matrix'!$M:$X, 12, FALSE)=0, "", "TMS_Enum_" &amp; VLOOKUP(F479, '[1]Can Matrix'!$M:$X, 12, FALSE)), "")</f>
        <v>TMS_Enum_Flt</v>
      </c>
      <c r="O479" s="17"/>
      <c r="P479" s="17"/>
      <c r="Q479" s="17"/>
      <c r="R479" s="17"/>
      <c r="S479" s="17"/>
      <c r="T479" s="17"/>
      <c r="U479" s="17"/>
      <c r="V479" s="17"/>
      <c r="W479" s="17"/>
      <c r="X479" s="103"/>
      <c r="Y479" s="17"/>
      <c r="Z479" s="101" t="str">
        <f>IF(N479="", "", IF(ISNUMBER(MATCH(N479, TextTables!A:A, 0)), "Y", "N"))</f>
        <v>Y</v>
      </c>
      <c r="AA479" s="101" t="str">
        <f>IF(ISNUMBER(MATCH(F479, '[1]Can Matrix'!M:M, 0)), "Y", "N")</f>
        <v>Y</v>
      </c>
    </row>
    <row r="480" spans="1:27" ht="16.8">
      <c r="A480" s="17"/>
      <c r="B480" s="17"/>
      <c r="C480" s="17"/>
      <c r="D480" s="17" t="s">
        <v>143</v>
      </c>
      <c r="E480" s="17"/>
      <c r="F480" s="17" t="s">
        <v>6316</v>
      </c>
      <c r="G480" s="17" t="s">
        <v>6316</v>
      </c>
      <c r="H480" s="17"/>
      <c r="I480" s="97">
        <f>VLOOKUP(F480, '[1]Can Matrix'!$M:$X, 2, FALSE)</f>
        <v>4</v>
      </c>
      <c r="J480" s="17" t="str">
        <f t="shared" si="8"/>
        <v>uint8</v>
      </c>
      <c r="K480" s="17"/>
      <c r="L480" s="17"/>
      <c r="M480" s="100" t="str">
        <f>'[1]Can Matrix'!$R$2</f>
        <v>Unsigned</v>
      </c>
      <c r="N480" s="101" t="str">
        <f>IFERROR(IF(VLOOKUP(F480, '[1]Can Matrix'!$M:$X, 12, FALSE)=0, "", "TMS_Enum_" &amp; VLOOKUP(F480, '[1]Can Matrix'!$M:$X, 12, FALSE)), "")</f>
        <v>TMS_Enum_TorqueBoost</v>
      </c>
      <c r="O480" s="17"/>
      <c r="P480" s="17"/>
      <c r="Q480" s="17"/>
      <c r="R480" s="17"/>
      <c r="S480" s="17"/>
      <c r="T480" s="17"/>
      <c r="U480" s="17"/>
      <c r="V480" s="17"/>
      <c r="W480" s="17"/>
      <c r="X480" s="103"/>
      <c r="Y480" s="17"/>
      <c r="Z480" s="101" t="str">
        <f>IF(N480="", "", IF(ISNUMBER(MATCH(N480, TextTables!A:A, 0)), "Y", "N"))</f>
        <v>Y</v>
      </c>
      <c r="AA480" s="101" t="str">
        <f>IF(ISNUMBER(MATCH(F480, '[1]Can Matrix'!M:M, 0)), "Y", "N")</f>
        <v>Y</v>
      </c>
    </row>
    <row r="481" spans="1:27" ht="16.8">
      <c r="A481" s="17"/>
      <c r="B481" s="17"/>
      <c r="C481" s="17"/>
      <c r="D481" s="17" t="s">
        <v>143</v>
      </c>
      <c r="E481" s="17"/>
      <c r="F481" s="17" t="s">
        <v>6317</v>
      </c>
      <c r="G481" s="17" t="s">
        <v>6317</v>
      </c>
      <c r="H481" s="17"/>
      <c r="I481" s="97">
        <f>VLOOKUP(F481, '[1]Can Matrix'!$M:$X, 2, FALSE)</f>
        <v>1</v>
      </c>
      <c r="J481" s="17" t="str">
        <f t="shared" si="8"/>
        <v>uint8</v>
      </c>
      <c r="K481" s="17"/>
      <c r="L481" s="17"/>
      <c r="M481" s="100" t="str">
        <f>'[1]Can Matrix'!$R$2</f>
        <v>Unsigned</v>
      </c>
      <c r="N481" s="101" t="str">
        <f>IFERROR(IF(VLOOKUP(F481, '[1]Can Matrix'!$M:$X, 12, FALSE)=0, "", "TMS_Enum_" &amp; VLOOKUP(F481, '[1]Can Matrix'!$M:$X, 12, FALSE)), "")</f>
        <v>TMS_Enum_ShttrCalEna</v>
      </c>
      <c r="O481" s="17"/>
      <c r="P481" s="17"/>
      <c r="Q481" s="17"/>
      <c r="R481" s="17"/>
      <c r="S481" s="17"/>
      <c r="T481" s="17"/>
      <c r="U481" s="17"/>
      <c r="V481" s="17"/>
      <c r="W481" s="17"/>
      <c r="X481" s="103"/>
      <c r="Y481" s="17"/>
      <c r="Z481" s="101" t="str">
        <f>IF(N481="", "", IF(ISNUMBER(MATCH(N481, TextTables!A:A, 0)), "Y", "N"))</f>
        <v>Y</v>
      </c>
      <c r="AA481" s="101" t="str">
        <f>IF(ISNUMBER(MATCH(F481, '[1]Can Matrix'!M:M, 0)), "Y", "N")</f>
        <v>Y</v>
      </c>
    </row>
    <row r="482" spans="1:27" ht="16.8">
      <c r="A482" s="17"/>
      <c r="B482" s="17"/>
      <c r="C482" s="17"/>
      <c r="D482" s="17" t="s">
        <v>143</v>
      </c>
      <c r="E482" s="17"/>
      <c r="F482" s="17" t="s">
        <v>6318</v>
      </c>
      <c r="G482" s="17" t="s">
        <v>6318</v>
      </c>
      <c r="H482" s="17"/>
      <c r="I482" s="97">
        <f>VLOOKUP(F482, '[1]Can Matrix'!$M:$X, 2, FALSE)</f>
        <v>8</v>
      </c>
      <c r="J482" s="17" t="str">
        <f t="shared" si="8"/>
        <v>uint8</v>
      </c>
      <c r="K482" s="17"/>
      <c r="L482" s="17"/>
      <c r="M482" s="100" t="str">
        <f>'[1]Can Matrix'!$R$2</f>
        <v>Unsigned</v>
      </c>
      <c r="N482" s="101" t="str">
        <f>IFERROR(IF(VLOOKUP(F482, '[1]Can Matrix'!$M:$X, 12, FALSE)=0, "", "TMS_Enum_" &amp; VLOOKUP(F482, '[1]Can Matrix'!$M:$X, 12, FALSE)), "")</f>
        <v/>
      </c>
      <c r="O482" s="17"/>
      <c r="P482" s="17"/>
      <c r="Q482" s="17"/>
      <c r="R482" s="17"/>
      <c r="S482" s="17"/>
      <c r="T482" s="17"/>
      <c r="U482" s="17"/>
      <c r="V482" s="17"/>
      <c r="W482" s="17"/>
      <c r="X482" s="103"/>
      <c r="Y482" s="17"/>
      <c r="Z482" s="101" t="str">
        <f>IF(N482="", "", IF(ISNUMBER(MATCH(N482, TextTables!A:A, 0)), "Y", "N"))</f>
        <v/>
      </c>
      <c r="AA482" s="101" t="str">
        <f>IF(ISNUMBER(MATCH(F482, '[1]Can Matrix'!M:M, 0)), "Y", "N")</f>
        <v>Y</v>
      </c>
    </row>
    <row r="483" spans="1:27" ht="16.8">
      <c r="A483" s="17"/>
      <c r="B483" s="17"/>
      <c r="C483" s="17"/>
      <c r="D483" s="17" t="s">
        <v>143</v>
      </c>
      <c r="E483" s="17"/>
      <c r="F483" s="17" t="s">
        <v>6319</v>
      </c>
      <c r="G483" s="17" t="s">
        <v>6319</v>
      </c>
      <c r="H483" s="17"/>
      <c r="I483" s="97">
        <f>VLOOKUP(F483, '[1]Can Matrix'!$M:$X, 2, FALSE)</f>
        <v>1</v>
      </c>
      <c r="J483" s="17" t="str">
        <f t="shared" si="8"/>
        <v>uint8</v>
      </c>
      <c r="K483" s="17"/>
      <c r="L483" s="17"/>
      <c r="M483" s="100" t="str">
        <f>'[1]Can Matrix'!$R$2</f>
        <v>Unsigned</v>
      </c>
      <c r="N483" s="101" t="str">
        <f>IFERROR(IF(VLOOKUP(F483, '[1]Can Matrix'!$M:$X, 12, FALSE)=0, "", "TMS_Enum_" &amp; VLOOKUP(F483, '[1]Can Matrix'!$M:$X, 12, FALSE)), "")</f>
        <v>TMS_Enum_ShttrActrFlt</v>
      </c>
      <c r="O483" s="17"/>
      <c r="P483" s="17"/>
      <c r="Q483" s="17"/>
      <c r="R483" s="17"/>
      <c r="S483" s="17"/>
      <c r="T483" s="17"/>
      <c r="U483" s="17"/>
      <c r="V483" s="17"/>
      <c r="W483" s="17"/>
      <c r="X483" s="103"/>
      <c r="Y483" s="17"/>
      <c r="Z483" s="101" t="str">
        <f>IF(N483="", "", IF(ISNUMBER(MATCH(N483, TextTables!A:A, 0)), "Y", "N"))</f>
        <v>Y</v>
      </c>
      <c r="AA483" s="101" t="str">
        <f>IF(ISNUMBER(MATCH(F483, '[1]Can Matrix'!M:M, 0)), "Y", "N")</f>
        <v>Y</v>
      </c>
    </row>
    <row r="484" spans="1:27" ht="16.8">
      <c r="A484" s="17"/>
      <c r="B484" s="17"/>
      <c r="C484" s="17"/>
      <c r="D484" s="17" t="s">
        <v>143</v>
      </c>
      <c r="E484" s="17"/>
      <c r="F484" s="17" t="s">
        <v>6320</v>
      </c>
      <c r="G484" s="17" t="s">
        <v>6320</v>
      </c>
      <c r="H484" s="17"/>
      <c r="I484" s="97">
        <f>VLOOKUP(F484, '[1]Can Matrix'!$M:$X, 2, FALSE)</f>
        <v>1</v>
      </c>
      <c r="J484" s="17" t="str">
        <f t="shared" si="8"/>
        <v>uint8</v>
      </c>
      <c r="K484" s="17"/>
      <c r="L484" s="17"/>
      <c r="M484" s="100" t="str">
        <f>'[1]Can Matrix'!$R$2</f>
        <v>Unsigned</v>
      </c>
      <c r="N484" s="101" t="str">
        <f>IFERROR(IF(VLOOKUP(F484, '[1]Can Matrix'!$M:$X, 12, FALSE)=0, "", "TMS_Enum_" &amp; VLOOKUP(F484, '[1]Can Matrix'!$M:$X, 12, FALSE)), "")</f>
        <v>TMS_Enum_ShttrBlkd</v>
      </c>
      <c r="O484" s="17"/>
      <c r="P484" s="17"/>
      <c r="Q484" s="17"/>
      <c r="R484" s="17"/>
      <c r="S484" s="17"/>
      <c r="T484" s="17"/>
      <c r="U484" s="17"/>
      <c r="V484" s="17"/>
      <c r="W484" s="17"/>
      <c r="X484" s="103"/>
      <c r="Y484" s="17"/>
      <c r="Z484" s="101" t="str">
        <f>IF(N484="", "", IF(ISNUMBER(MATCH(N484, TextTables!A:A, 0)), "Y", "N"))</f>
        <v>Y</v>
      </c>
      <c r="AA484" s="101" t="str">
        <f>IF(ISNUMBER(MATCH(F484, '[1]Can Matrix'!M:M, 0)), "Y", "N")</f>
        <v>Y</v>
      </c>
    </row>
    <row r="485" spans="1:27" ht="16.8">
      <c r="A485" s="17"/>
      <c r="B485" s="17"/>
      <c r="C485" s="17"/>
      <c r="D485" s="17" t="s">
        <v>143</v>
      </c>
      <c r="E485" s="17"/>
      <c r="F485" s="17" t="s">
        <v>6321</v>
      </c>
      <c r="G485" s="17" t="s">
        <v>6321</v>
      </c>
      <c r="H485" s="17"/>
      <c r="I485" s="97">
        <f>VLOOKUP(F485, '[1]Can Matrix'!$M:$X, 2, FALSE)</f>
        <v>1</v>
      </c>
      <c r="J485" s="17" t="str">
        <f t="shared" si="8"/>
        <v>uint8</v>
      </c>
      <c r="K485" s="17"/>
      <c r="L485" s="17"/>
      <c r="M485" s="100" t="str">
        <f>'[1]Can Matrix'!$R$2</f>
        <v>Unsigned</v>
      </c>
      <c r="N485" s="101" t="str">
        <f>IFERROR(IF(VLOOKUP(F485, '[1]Can Matrix'!$M:$X, 12, FALSE)=0, "", "TMS_Enum_" &amp; VLOOKUP(F485, '[1]Can Matrix'!$M:$X, 12, FALSE)), "")</f>
        <v>TMS_Enum_ShttrCalActv</v>
      </c>
      <c r="O485" s="17"/>
      <c r="P485" s="17"/>
      <c r="Q485" s="17"/>
      <c r="R485" s="17"/>
      <c r="S485" s="17"/>
      <c r="T485" s="17"/>
      <c r="U485" s="17"/>
      <c r="V485" s="17"/>
      <c r="W485" s="17"/>
      <c r="X485" s="103"/>
      <c r="Y485" s="17"/>
      <c r="Z485" s="101" t="str">
        <f>IF(N485="", "", IF(ISNUMBER(MATCH(N485, TextTables!A:A, 0)), "Y", "N"))</f>
        <v>Y</v>
      </c>
      <c r="AA485" s="101" t="str">
        <f>IF(ISNUMBER(MATCH(F485, '[1]Can Matrix'!M:M, 0)), "Y", "N")</f>
        <v>Y</v>
      </c>
    </row>
    <row r="486" spans="1:27" ht="16.8">
      <c r="A486" s="17"/>
      <c r="B486" s="17"/>
      <c r="C486" s="17"/>
      <c r="D486" s="17" t="s">
        <v>143</v>
      </c>
      <c r="E486" s="17"/>
      <c r="F486" s="17" t="s">
        <v>6322</v>
      </c>
      <c r="G486" s="17" t="s">
        <v>6322</v>
      </c>
      <c r="H486" s="17"/>
      <c r="I486" s="97">
        <f>VLOOKUP(F486, '[1]Can Matrix'!$M:$X, 2, FALSE)</f>
        <v>1</v>
      </c>
      <c r="J486" s="17" t="str">
        <f t="shared" si="8"/>
        <v>uint8</v>
      </c>
      <c r="K486" s="17"/>
      <c r="L486" s="17"/>
      <c r="M486" s="100" t="str">
        <f>'[1]Can Matrix'!$R$2</f>
        <v>Unsigned</v>
      </c>
      <c r="N486" s="101" t="str">
        <f>IFERROR(IF(VLOOKUP(F486, '[1]Can Matrix'!$M:$X, 12, FALSE)=0, "", "TMS_Enum_" &amp; VLOOKUP(F486, '[1]Can Matrix'!$M:$X, 12, FALSE)), "")</f>
        <v>TMS_Enum_ShttrCalIndcd</v>
      </c>
      <c r="O486" s="17"/>
      <c r="P486" s="17"/>
      <c r="Q486" s="17"/>
      <c r="R486" s="17"/>
      <c r="S486" s="17"/>
      <c r="T486" s="17"/>
      <c r="U486" s="17"/>
      <c r="V486" s="17"/>
      <c r="W486" s="17"/>
      <c r="X486" s="103"/>
      <c r="Y486" s="17"/>
      <c r="Z486" s="101" t="str">
        <f>IF(N486="", "", IF(ISNUMBER(MATCH(N486, TextTables!A:A, 0)), "Y", "N"))</f>
        <v>Y</v>
      </c>
      <c r="AA486" s="101" t="str">
        <f>IF(ISNUMBER(MATCH(F486, '[1]Can Matrix'!M:M, 0)), "Y", "N")</f>
        <v>Y</v>
      </c>
    </row>
    <row r="487" spans="1:27" ht="16.8">
      <c r="A487" s="17"/>
      <c r="B487" s="17"/>
      <c r="C487" s="17"/>
      <c r="D487" s="17" t="s">
        <v>143</v>
      </c>
      <c r="E487" s="17"/>
      <c r="F487" s="17" t="s">
        <v>6323</v>
      </c>
      <c r="G487" s="17" t="s">
        <v>6323</v>
      </c>
      <c r="H487" s="17"/>
      <c r="I487" s="97">
        <f>VLOOKUP(F487, '[1]Can Matrix'!$M:$X, 2, FALSE)</f>
        <v>1</v>
      </c>
      <c r="J487" s="17" t="str">
        <f t="shared" si="8"/>
        <v>uint8</v>
      </c>
      <c r="K487" s="17"/>
      <c r="L487" s="17"/>
      <c r="M487" s="100" t="str">
        <f>'[1]Can Matrix'!$R$2</f>
        <v>Unsigned</v>
      </c>
      <c r="N487" s="101" t="str">
        <f>IFERROR(IF(VLOOKUP(F487, '[1]Can Matrix'!$M:$X, 12, FALSE)=0, "", "TMS_Enum_" &amp; VLOOKUP(F487, '[1]Can Matrix'!$M:$X, 12, FALSE)), "")</f>
        <v>TMS_Enum_ShttrElecErr</v>
      </c>
      <c r="O487" s="17"/>
      <c r="P487" s="17"/>
      <c r="Q487" s="17"/>
      <c r="R487" s="17"/>
      <c r="S487" s="17"/>
      <c r="T487" s="17"/>
      <c r="U487" s="17"/>
      <c r="V487" s="17"/>
      <c r="W487" s="17"/>
      <c r="X487" s="103"/>
      <c r="Y487" s="17"/>
      <c r="Z487" s="101" t="str">
        <f>IF(N487="", "", IF(ISNUMBER(MATCH(N487, TextTables!A:A, 0)), "Y", "N"))</f>
        <v>Y</v>
      </c>
      <c r="AA487" s="101" t="str">
        <f>IF(ISNUMBER(MATCH(F487, '[1]Can Matrix'!M:M, 0)), "Y", "N")</f>
        <v>Y</v>
      </c>
    </row>
    <row r="488" spans="1:27" ht="16.8">
      <c r="A488" s="17"/>
      <c r="B488" s="17"/>
      <c r="C488" s="17"/>
      <c r="D488" s="17" t="s">
        <v>143</v>
      </c>
      <c r="E488" s="17"/>
      <c r="F488" s="17" t="s">
        <v>6324</v>
      </c>
      <c r="G488" s="17" t="s">
        <v>6324</v>
      </c>
      <c r="H488" s="17"/>
      <c r="I488" s="97">
        <f>VLOOKUP(F488, '[1]Can Matrix'!$M:$X, 2, FALSE)</f>
        <v>8</v>
      </c>
      <c r="J488" s="17" t="str">
        <f t="shared" si="8"/>
        <v>uint8</v>
      </c>
      <c r="K488" s="17"/>
      <c r="L488" s="17"/>
      <c r="M488" s="100" t="str">
        <f>'[1]Can Matrix'!$R$2</f>
        <v>Unsigned</v>
      </c>
      <c r="N488" s="101" t="str">
        <f>IFERROR(IF(VLOOKUP(F488, '[1]Can Matrix'!$M:$X, 12, FALSE)=0, "", "TMS_Enum_" &amp; VLOOKUP(F488, '[1]Can Matrix'!$M:$X, 12, FALSE)), "")</f>
        <v/>
      </c>
      <c r="O488" s="17"/>
      <c r="P488" s="17"/>
      <c r="Q488" s="17"/>
      <c r="R488" s="17"/>
      <c r="S488" s="17"/>
      <c r="T488" s="17"/>
      <c r="U488" s="17"/>
      <c r="V488" s="17"/>
      <c r="W488" s="17"/>
      <c r="X488" s="103"/>
      <c r="Y488" s="17"/>
      <c r="Z488" s="101" t="str">
        <f>IF(N488="", "", IF(ISNUMBER(MATCH(N488, TextTables!A:A, 0)), "Y", "N"))</f>
        <v/>
      </c>
      <c r="AA488" s="101" t="str">
        <f>IF(ISNUMBER(MATCH(F488, '[1]Can Matrix'!M:M, 0)), "Y", "N")</f>
        <v>Y</v>
      </c>
    </row>
    <row r="489" spans="1:27" ht="16.8">
      <c r="A489" s="17"/>
      <c r="B489" s="17"/>
      <c r="C489" s="17"/>
      <c r="D489" s="17" t="s">
        <v>143</v>
      </c>
      <c r="E489" s="17"/>
      <c r="F489" s="17" t="s">
        <v>6325</v>
      </c>
      <c r="G489" s="17" t="s">
        <v>6325</v>
      </c>
      <c r="H489" s="17"/>
      <c r="I489" s="97">
        <f>VLOOKUP(F489, '[1]Can Matrix'!$M:$X, 2, FALSE)</f>
        <v>1</v>
      </c>
      <c r="J489" s="17" t="str">
        <f t="shared" si="8"/>
        <v>uint8</v>
      </c>
      <c r="K489" s="17"/>
      <c r="L489" s="17"/>
      <c r="M489" s="100" t="str">
        <f>'[1]Can Matrix'!$R$2</f>
        <v>Unsigned</v>
      </c>
      <c r="N489" s="101" t="str">
        <f>IFERROR(IF(VLOOKUP(F489, '[1]Can Matrix'!$M:$X, 12, FALSE)=0, "", "TMS_Enum_" &amp; VLOOKUP(F489, '[1]Can Matrix'!$M:$X, 12, FALSE)), "")</f>
        <v>TMS_Enum_ShttrSnsrFlt</v>
      </c>
      <c r="O489" s="17"/>
      <c r="P489" s="17"/>
      <c r="Q489" s="17"/>
      <c r="R489" s="17"/>
      <c r="S489" s="17"/>
      <c r="T489" s="17"/>
      <c r="U489" s="17"/>
      <c r="V489" s="17"/>
      <c r="W489" s="17"/>
      <c r="X489" s="103"/>
      <c r="Y489" s="17"/>
      <c r="Z489" s="101" t="str">
        <f>IF(N489="", "", IF(ISNUMBER(MATCH(N489, TextTables!A:A, 0)), "Y", "N"))</f>
        <v>Y</v>
      </c>
      <c r="AA489" s="101" t="str">
        <f>IF(ISNUMBER(MATCH(F489, '[1]Can Matrix'!M:M, 0)), "Y", "N")</f>
        <v>Y</v>
      </c>
    </row>
    <row r="490" spans="1:27" ht="16.8">
      <c r="A490" s="17"/>
      <c r="B490" s="17"/>
      <c r="C490" s="17"/>
      <c r="D490" s="17" t="s">
        <v>143</v>
      </c>
      <c r="E490" s="17"/>
      <c r="F490" s="17" t="s">
        <v>6326</v>
      </c>
      <c r="G490" s="17" t="s">
        <v>6326</v>
      </c>
      <c r="H490" s="17"/>
      <c r="I490" s="97">
        <f>VLOOKUP(F490, '[1]Can Matrix'!$M:$X, 2, FALSE)</f>
        <v>1</v>
      </c>
      <c r="J490" s="17" t="str">
        <f t="shared" si="8"/>
        <v>uint8</v>
      </c>
      <c r="K490" s="17"/>
      <c r="L490" s="17"/>
      <c r="M490" s="100" t="str">
        <f>'[1]Can Matrix'!$R$2</f>
        <v>Unsigned</v>
      </c>
      <c r="N490" s="101" t="str">
        <f>IFERROR(IF(VLOOKUP(F490, '[1]Can Matrix'!$M:$X, 12, FALSE)=0, "", "TMS_Enum_" &amp; VLOOKUP(F490, '[1]Can Matrix'!$M:$X, 12, FALSE)), "")</f>
        <v>TMS_Enum_ShttrTErr</v>
      </c>
      <c r="O490" s="17"/>
      <c r="P490" s="17"/>
      <c r="Q490" s="17"/>
      <c r="R490" s="17"/>
      <c r="S490" s="17"/>
      <c r="T490" s="17"/>
      <c r="U490" s="17"/>
      <c r="V490" s="17"/>
      <c r="W490" s="17"/>
      <c r="X490" s="103"/>
      <c r="Y490" s="17"/>
      <c r="Z490" s="101" t="str">
        <f>IF(N490="", "", IF(ISNUMBER(MATCH(N490, TextTables!A:A, 0)), "Y", "N"))</f>
        <v>Y</v>
      </c>
      <c r="AA490" s="101" t="str">
        <f>IF(ISNUMBER(MATCH(F490, '[1]Can Matrix'!M:M, 0)), "Y", "N")</f>
        <v>Y</v>
      </c>
    </row>
    <row r="491" spans="1:27" ht="16.8">
      <c r="A491" s="17"/>
      <c r="B491" s="17"/>
      <c r="C491" s="17"/>
      <c r="D491" s="17" t="s">
        <v>143</v>
      </c>
      <c r="E491" s="17"/>
      <c r="F491" s="17" t="s">
        <v>6327</v>
      </c>
      <c r="G491" s="17" t="s">
        <v>6327</v>
      </c>
      <c r="H491" s="17"/>
      <c r="I491" s="97">
        <f>VLOOKUP(F491, '[1]Can Matrix'!$M:$X, 2, FALSE)</f>
        <v>1</v>
      </c>
      <c r="J491" s="17" t="str">
        <f t="shared" si="8"/>
        <v>uint8</v>
      </c>
      <c r="K491" s="17"/>
      <c r="L491" s="17"/>
      <c r="M491" s="100" t="str">
        <f>'[1]Can Matrix'!$R$2</f>
        <v>Unsigned</v>
      </c>
      <c r="N491" s="101" t="str">
        <f>IFERROR(IF(VLOOKUP(F491, '[1]Can Matrix'!$M:$X, 12, FALSE)=0, "", "TMS_Enum_" &amp; VLOOKUP(F491, '[1]Can Matrix'!$M:$X, 12, FALSE)), "")</f>
        <v>TMS_Enum_ShttrULoErr</v>
      </c>
      <c r="O491" s="17"/>
      <c r="P491" s="17"/>
      <c r="Q491" s="17"/>
      <c r="R491" s="17"/>
      <c r="S491" s="17"/>
      <c r="T491" s="17"/>
      <c r="U491" s="17"/>
      <c r="V491" s="17"/>
      <c r="W491" s="17"/>
      <c r="X491" s="103"/>
      <c r="Y491" s="17"/>
      <c r="Z491" s="101" t="str">
        <f>IF(N491="", "", IF(ISNUMBER(MATCH(N491, TextTables!A:A, 0)), "Y", "N"))</f>
        <v>Y</v>
      </c>
      <c r="AA491" s="101" t="str">
        <f>IF(ISNUMBER(MATCH(F491, '[1]Can Matrix'!M:M, 0)), "Y", "N")</f>
        <v>Y</v>
      </c>
    </row>
    <row r="492" spans="1:27" ht="16.8">
      <c r="A492" s="17"/>
      <c r="B492" s="17"/>
      <c r="C492" s="17"/>
      <c r="D492" s="17" t="s">
        <v>143</v>
      </c>
      <c r="E492" s="17"/>
      <c r="F492" s="17" t="s">
        <v>6328</v>
      </c>
      <c r="G492" s="17" t="s">
        <v>6328</v>
      </c>
      <c r="H492" s="17"/>
      <c r="I492" s="97">
        <f>VLOOKUP(F492, '[1]Can Matrix'!$M:$X, 2, FALSE)</f>
        <v>1</v>
      </c>
      <c r="J492" s="17" t="str">
        <f t="shared" si="8"/>
        <v>uint8</v>
      </c>
      <c r="K492" s="17"/>
      <c r="L492" s="17"/>
      <c r="M492" s="100" t="str">
        <f>'[1]Can Matrix'!$R$2</f>
        <v>Unsigned</v>
      </c>
      <c r="N492" s="101" t="str">
        <f>IFERROR(IF(VLOOKUP(F492, '[1]Can Matrix'!$M:$X, 12, FALSE)=0, "", "TMS_Enum_" &amp; VLOOKUP(F492, '[1]Can Matrix'!$M:$X, 12, FALSE)), "")</f>
        <v>TMS_Enum_OnOff1</v>
      </c>
      <c r="O492" s="17"/>
      <c r="P492" s="17"/>
      <c r="Q492" s="17"/>
      <c r="R492" s="17"/>
      <c r="S492" s="17"/>
      <c r="T492" s="17"/>
      <c r="U492" s="17"/>
      <c r="V492" s="17"/>
      <c r="W492" s="17"/>
      <c r="X492" s="103"/>
      <c r="Y492" s="17"/>
      <c r="Z492" s="101" t="str">
        <f>IF(N492="", "", IF(ISNUMBER(MATCH(N492, TextTables!A:A, 0)), "Y", "N"))</f>
        <v>Y</v>
      </c>
      <c r="AA492" s="101" t="str">
        <f>IF(ISNUMBER(MATCH(F492, '[1]Can Matrix'!M:M, 0)), "Y", "N")</f>
        <v>Y</v>
      </c>
    </row>
    <row r="493" spans="1:27" ht="16.8">
      <c r="A493" s="17"/>
      <c r="B493" s="17"/>
      <c r="C493" s="17"/>
      <c r="D493" s="17" t="s">
        <v>143</v>
      </c>
      <c r="E493" s="17"/>
      <c r="F493" s="17" t="s">
        <v>6329</v>
      </c>
      <c r="G493" s="17" t="s">
        <v>6329</v>
      </c>
      <c r="H493" s="17"/>
      <c r="I493" s="97">
        <f>VLOOKUP(F493, '[1]Can Matrix'!$M:$X, 2, FALSE)</f>
        <v>1</v>
      </c>
      <c r="J493" s="17" t="str">
        <f t="shared" si="8"/>
        <v>uint8</v>
      </c>
      <c r="K493" s="17"/>
      <c r="L493" s="17"/>
      <c r="M493" s="100" t="str">
        <f>'[1]Can Matrix'!$R$2</f>
        <v>Unsigned</v>
      </c>
      <c r="N493" s="101" t="str">
        <f>IFERROR(IF(VLOOKUP(F493, '[1]Can Matrix'!$M:$X, 12, FALSE)=0, "", "TMS_Enum_" &amp; VLOOKUP(F493, '[1]Can Matrix'!$M:$X, 12, FALSE)), "")</f>
        <v>TMS_Enum_OnOff1</v>
      </c>
      <c r="O493" s="17"/>
      <c r="P493" s="17"/>
      <c r="Q493" s="17"/>
      <c r="R493" s="17"/>
      <c r="S493" s="17"/>
      <c r="T493" s="17"/>
      <c r="U493" s="17"/>
      <c r="V493" s="17"/>
      <c r="W493" s="17"/>
      <c r="X493" s="103"/>
      <c r="Y493" s="17"/>
      <c r="Z493" s="101" t="str">
        <f>IF(N493="", "", IF(ISNUMBER(MATCH(N493, TextTables!A:A, 0)), "Y", "N"))</f>
        <v>Y</v>
      </c>
      <c r="AA493" s="101" t="str">
        <f>IF(ISNUMBER(MATCH(F493, '[1]Can Matrix'!M:M, 0)), "Y", "N")</f>
        <v>Y</v>
      </c>
    </row>
    <row r="494" spans="1:27" ht="16.8">
      <c r="A494" s="17"/>
      <c r="B494" s="17"/>
      <c r="C494" s="17"/>
      <c r="D494" s="17" t="s">
        <v>143</v>
      </c>
      <c r="E494" s="17"/>
      <c r="F494" s="17" t="s">
        <v>6330</v>
      </c>
      <c r="G494" s="17" t="s">
        <v>6330</v>
      </c>
      <c r="H494" s="17"/>
      <c r="I494" s="97">
        <f>VLOOKUP(F494, '[1]Can Matrix'!$M:$X, 2, FALSE)</f>
        <v>1</v>
      </c>
      <c r="J494" s="17" t="str">
        <f t="shared" si="8"/>
        <v>uint8</v>
      </c>
      <c r="K494" s="17"/>
      <c r="L494" s="17"/>
      <c r="M494" s="100" t="str">
        <f>'[1]Can Matrix'!$R$2</f>
        <v>Unsigned</v>
      </c>
      <c r="N494" s="101" t="str">
        <f>IFERROR(IF(VLOOKUP(F494, '[1]Can Matrix'!$M:$X, 12, FALSE)=0, "", "TMS_Enum_" &amp; VLOOKUP(F494, '[1]Can Matrix'!$M:$X, 12, FALSE)), "")</f>
        <v>TMS_Enum_OnOff1</v>
      </c>
      <c r="O494" s="17"/>
      <c r="P494" s="17"/>
      <c r="Q494" s="17"/>
      <c r="R494" s="17"/>
      <c r="S494" s="17"/>
      <c r="T494" s="17"/>
      <c r="U494" s="17"/>
      <c r="V494" s="17"/>
      <c r="W494" s="17"/>
      <c r="X494" s="103"/>
      <c r="Y494" s="17"/>
      <c r="Z494" s="101" t="str">
        <f>IF(N494="", "", IF(ISNUMBER(MATCH(N494, TextTables!A:A, 0)), "Y", "N"))</f>
        <v>Y</v>
      </c>
      <c r="AA494" s="101" t="str">
        <f>IF(ISNUMBER(MATCH(F494, '[1]Can Matrix'!M:M, 0)), "Y", "N")</f>
        <v>Y</v>
      </c>
    </row>
    <row r="495" spans="1:27" ht="16.8">
      <c r="A495" s="17"/>
      <c r="B495" s="17"/>
      <c r="C495" s="17"/>
      <c r="D495" s="17" t="s">
        <v>143</v>
      </c>
      <c r="E495" s="17"/>
      <c r="F495" s="17" t="s">
        <v>6331</v>
      </c>
      <c r="G495" s="17" t="s">
        <v>6331</v>
      </c>
      <c r="H495" s="17"/>
      <c r="I495" s="97">
        <f>VLOOKUP(F495, '[1]Can Matrix'!$M:$X, 2, FALSE)</f>
        <v>9</v>
      </c>
      <c r="J495" s="17" t="str">
        <f t="shared" si="8"/>
        <v>uint16</v>
      </c>
      <c r="K495" s="17"/>
      <c r="L495" s="17"/>
      <c r="M495" s="100" t="str">
        <f>'[1]Can Matrix'!$R$2</f>
        <v>Unsigned</v>
      </c>
      <c r="N495" s="101" t="str">
        <f>IFERROR(IF(VLOOKUP(F495, '[1]Can Matrix'!$M:$X, 12, FALSE)=0, "", "TMS_Enum_" &amp; VLOOKUP(F495, '[1]Can Matrix'!$M:$X, 12, FALSE)), "")</f>
        <v/>
      </c>
      <c r="O495" s="17"/>
      <c r="P495" s="17"/>
      <c r="Q495" s="17"/>
      <c r="R495" s="17"/>
      <c r="S495" s="17"/>
      <c r="T495" s="17"/>
      <c r="U495" s="17"/>
      <c r="V495" s="17"/>
      <c r="W495" s="17"/>
      <c r="X495" s="103"/>
      <c r="Y495" s="17"/>
      <c r="Z495" s="101" t="str">
        <f>IF(N495="", "", IF(ISNUMBER(MATCH(N495, TextTables!A:A, 0)), "Y", "N"))</f>
        <v/>
      </c>
      <c r="AA495" s="101" t="str">
        <f>IF(ISNUMBER(MATCH(F495, '[1]Can Matrix'!M:M, 0)), "Y", "N")</f>
        <v>Y</v>
      </c>
    </row>
    <row r="496" spans="1:27" ht="16.8">
      <c r="A496" s="17"/>
      <c r="B496" s="17"/>
      <c r="C496" s="17"/>
      <c r="D496" s="17" t="s">
        <v>143</v>
      </c>
      <c r="E496" s="17"/>
      <c r="F496" s="17" t="s">
        <v>6332</v>
      </c>
      <c r="G496" s="17" t="s">
        <v>6332</v>
      </c>
      <c r="H496" s="17"/>
      <c r="I496" s="97">
        <f>VLOOKUP(F496, '[1]Can Matrix'!$M:$X, 2, FALSE)</f>
        <v>1</v>
      </c>
      <c r="J496" s="17" t="str">
        <f t="shared" si="8"/>
        <v>uint8</v>
      </c>
      <c r="K496" s="17"/>
      <c r="L496" s="17"/>
      <c r="M496" s="100" t="str">
        <f>'[1]Can Matrix'!$R$2</f>
        <v>Unsigned</v>
      </c>
      <c r="N496" s="101" t="str">
        <f>IFERROR(IF(VLOOKUP(F496, '[1]Can Matrix'!$M:$X, 12, FALSE)=0, "", "TMS_Enum_" &amp; VLOOKUP(F496, '[1]Can Matrix'!$M:$X, 12, FALSE)), "")</f>
        <v>TMS_Enum_OnOff1</v>
      </c>
      <c r="O496" s="17"/>
      <c r="P496" s="17"/>
      <c r="Q496" s="17"/>
      <c r="R496" s="17"/>
      <c r="S496" s="17"/>
      <c r="T496" s="17"/>
      <c r="U496" s="17"/>
      <c r="V496" s="17"/>
      <c r="W496" s="17"/>
      <c r="X496" s="103"/>
      <c r="Y496" s="17"/>
      <c r="Z496" s="101" t="str">
        <f>IF(N496="", "", IF(ISNUMBER(MATCH(N496, TextTables!A:A, 0)), "Y", "N"))</f>
        <v>Y</v>
      </c>
      <c r="AA496" s="101" t="str">
        <f>IF(ISNUMBER(MATCH(F496, '[1]Can Matrix'!M:M, 0)), "Y", "N")</f>
        <v>Y</v>
      </c>
    </row>
    <row r="497" spans="1:27" ht="16.8">
      <c r="A497" s="17"/>
      <c r="B497" s="17"/>
      <c r="C497" s="17"/>
      <c r="D497" s="17" t="s">
        <v>143</v>
      </c>
      <c r="E497" s="17"/>
      <c r="F497" s="17" t="s">
        <v>6333</v>
      </c>
      <c r="G497" s="17" t="s">
        <v>6333</v>
      </c>
      <c r="H497" s="17"/>
      <c r="I497" s="97">
        <f>VLOOKUP(F497, '[1]Can Matrix'!$M:$X, 2, FALSE)</f>
        <v>8</v>
      </c>
      <c r="J497" s="17" t="str">
        <f t="shared" si="8"/>
        <v>uint8</v>
      </c>
      <c r="K497" s="17"/>
      <c r="L497" s="17"/>
      <c r="M497" s="100" t="str">
        <f>'[1]Can Matrix'!$R$2</f>
        <v>Unsigned</v>
      </c>
      <c r="N497" s="101" t="str">
        <f>IFERROR(IF(VLOOKUP(F497, '[1]Can Matrix'!$M:$X, 12, FALSE)=0, "", "TMS_Enum_" &amp; VLOOKUP(F497, '[1]Can Matrix'!$M:$X, 12, FALSE)), "")</f>
        <v/>
      </c>
      <c r="O497" s="17"/>
      <c r="P497" s="17"/>
      <c r="Q497" s="17"/>
      <c r="R497" s="17"/>
      <c r="S497" s="17"/>
      <c r="T497" s="17"/>
      <c r="U497" s="17"/>
      <c r="V497" s="17"/>
      <c r="W497" s="17"/>
      <c r="X497" s="103"/>
      <c r="Y497" s="17"/>
      <c r="Z497" s="101" t="str">
        <f>IF(N497="", "", IF(ISNUMBER(MATCH(N497, TextTables!A:A, 0)), "Y", "N"))</f>
        <v/>
      </c>
      <c r="AA497" s="101" t="str">
        <f>IF(ISNUMBER(MATCH(F497, '[1]Can Matrix'!M:M, 0)), "Y", "N")</f>
        <v>Y</v>
      </c>
    </row>
    <row r="498" spans="1:27" ht="16.8">
      <c r="A498" s="17"/>
      <c r="B498" s="17"/>
      <c r="C498" s="17"/>
      <c r="D498" s="17" t="s">
        <v>143</v>
      </c>
      <c r="E498" s="17"/>
      <c r="F498" s="17" t="s">
        <v>6334</v>
      </c>
      <c r="G498" s="17" t="s">
        <v>6334</v>
      </c>
      <c r="H498" s="17"/>
      <c r="I498" s="97">
        <f>VLOOKUP(F498, '[1]Can Matrix'!$M:$X, 2, FALSE)</f>
        <v>1</v>
      </c>
      <c r="J498" s="17" t="str">
        <f t="shared" si="8"/>
        <v>uint8</v>
      </c>
      <c r="K498" s="17"/>
      <c r="L498" s="17"/>
      <c r="M498" s="100" t="str">
        <f>'[1]Can Matrix'!$R$2</f>
        <v>Unsigned</v>
      </c>
      <c r="N498" s="101" t="str">
        <f>IFERROR(IF(VLOOKUP(F498, '[1]Can Matrix'!$M:$X, 12, FALSE)=0, "", "TMS_Enum_" &amp; VLOOKUP(F498, '[1]Can Matrix'!$M:$X, 12, FALSE)), "")</f>
        <v>TMS_Enum_OnOff1</v>
      </c>
      <c r="O498" s="17"/>
      <c r="P498" s="17"/>
      <c r="Q498" s="17"/>
      <c r="R498" s="17"/>
      <c r="S498" s="17"/>
      <c r="T498" s="17"/>
      <c r="U498" s="17"/>
      <c r="V498" s="17"/>
      <c r="W498" s="17"/>
      <c r="X498" s="103"/>
      <c r="Y498" s="17"/>
      <c r="Z498" s="101" t="str">
        <f>IF(N498="", "", IF(ISNUMBER(MATCH(N498, TextTables!A:A, 0)), "Y", "N"))</f>
        <v>Y</v>
      </c>
      <c r="AA498" s="101" t="str">
        <f>IF(ISNUMBER(MATCH(F498, '[1]Can Matrix'!M:M, 0)), "Y", "N")</f>
        <v>Y</v>
      </c>
    </row>
    <row r="499" spans="1:27" ht="16.8">
      <c r="A499" s="17"/>
      <c r="B499" s="17"/>
      <c r="C499" s="17"/>
      <c r="D499" s="17" t="s">
        <v>143</v>
      </c>
      <c r="E499" s="17"/>
      <c r="F499" s="17" t="s">
        <v>6335</v>
      </c>
      <c r="G499" s="17" t="s">
        <v>6335</v>
      </c>
      <c r="H499" s="17"/>
      <c r="I499" s="97">
        <f>VLOOKUP(F499, '[1]Can Matrix'!$M:$X, 2, FALSE)</f>
        <v>9</v>
      </c>
      <c r="J499" s="17" t="str">
        <f t="shared" si="8"/>
        <v>uint16</v>
      </c>
      <c r="K499" s="17"/>
      <c r="L499" s="17"/>
      <c r="M499" s="100" t="str">
        <f>'[1]Can Matrix'!$R$2</f>
        <v>Unsigned</v>
      </c>
      <c r="N499" s="101" t="str">
        <f>IFERROR(IF(VLOOKUP(F499, '[1]Can Matrix'!$M:$X, 12, FALSE)=0, "", "TMS_Enum_" &amp; VLOOKUP(F499, '[1]Can Matrix'!$M:$X, 12, FALSE)), "")</f>
        <v/>
      </c>
      <c r="O499" s="17"/>
      <c r="P499" s="17"/>
      <c r="Q499" s="17"/>
      <c r="R499" s="17"/>
      <c r="S499" s="17"/>
      <c r="T499" s="17"/>
      <c r="U499" s="17"/>
      <c r="V499" s="17"/>
      <c r="W499" s="17"/>
      <c r="X499" s="103"/>
      <c r="Y499" s="17"/>
      <c r="Z499" s="101" t="str">
        <f>IF(N499="", "", IF(ISNUMBER(MATCH(N499, TextTables!A:A, 0)), "Y", "N"))</f>
        <v/>
      </c>
      <c r="AA499" s="101" t="str">
        <f>IF(ISNUMBER(MATCH(F499, '[1]Can Matrix'!M:M, 0)), "Y", "N")</f>
        <v>Y</v>
      </c>
    </row>
    <row r="500" spans="1:27" ht="16.8">
      <c r="A500" s="17"/>
      <c r="B500" s="17"/>
      <c r="C500" s="17"/>
      <c r="D500" s="17" t="s">
        <v>143</v>
      </c>
      <c r="E500" s="17"/>
      <c r="F500" s="17" t="s">
        <v>6336</v>
      </c>
      <c r="G500" s="17" t="s">
        <v>6336</v>
      </c>
      <c r="H500" s="17"/>
      <c r="I500" s="97">
        <f>VLOOKUP(F500, '[1]Can Matrix'!$M:$X, 2, FALSE)</f>
        <v>1</v>
      </c>
      <c r="J500" s="17" t="str">
        <f t="shared" si="8"/>
        <v>uint8</v>
      </c>
      <c r="K500" s="17"/>
      <c r="L500" s="17"/>
      <c r="M500" s="100" t="str">
        <f>'[1]Can Matrix'!$R$2</f>
        <v>Unsigned</v>
      </c>
      <c r="N500" s="101" t="str">
        <f>IFERROR(IF(VLOOKUP(F500, '[1]Can Matrix'!$M:$X, 12, FALSE)=0, "", "TMS_Enum_" &amp; VLOOKUP(F500, '[1]Can Matrix'!$M:$X, 12, FALSE)), "")</f>
        <v>TMS_Enum_OnOff1</v>
      </c>
      <c r="O500" s="17"/>
      <c r="P500" s="17"/>
      <c r="Q500" s="17"/>
      <c r="R500" s="17"/>
      <c r="S500" s="17"/>
      <c r="T500" s="17"/>
      <c r="U500" s="17"/>
      <c r="V500" s="17"/>
      <c r="W500" s="17"/>
      <c r="X500" s="103"/>
      <c r="Y500" s="17"/>
      <c r="Z500" s="101" t="str">
        <f>IF(N500="", "", IF(ISNUMBER(MATCH(N500, TextTables!A:A, 0)), "Y", "N"))</f>
        <v>Y</v>
      </c>
      <c r="AA500" s="101" t="str">
        <f>IF(ISNUMBER(MATCH(F500, '[1]Can Matrix'!M:M, 0)), "Y", "N")</f>
        <v>Y</v>
      </c>
    </row>
    <row r="501" spans="1:27" ht="16.8">
      <c r="A501" s="17"/>
      <c r="B501" s="17"/>
      <c r="C501" s="17"/>
      <c r="D501" s="17" t="s">
        <v>143</v>
      </c>
      <c r="E501" s="17"/>
      <c r="F501" s="17" t="s">
        <v>6337</v>
      </c>
      <c r="G501" s="17" t="s">
        <v>6337</v>
      </c>
      <c r="H501" s="17"/>
      <c r="I501" s="97">
        <f>VLOOKUP(F501, '[1]Can Matrix'!$M:$X, 2, FALSE)</f>
        <v>8</v>
      </c>
      <c r="J501" s="17" t="str">
        <f t="shared" si="8"/>
        <v>uint8</v>
      </c>
      <c r="K501" s="17"/>
      <c r="L501" s="17"/>
      <c r="M501" s="100" t="str">
        <f>'[1]Can Matrix'!$R$2</f>
        <v>Unsigned</v>
      </c>
      <c r="N501" s="101" t="str">
        <f>IFERROR(IF(VLOOKUP(F501, '[1]Can Matrix'!$M:$X, 12, FALSE)=0, "", "TMS_Enum_" &amp; VLOOKUP(F501, '[1]Can Matrix'!$M:$X, 12, FALSE)), "")</f>
        <v/>
      </c>
      <c r="O501" s="17"/>
      <c r="P501" s="17"/>
      <c r="Q501" s="17"/>
      <c r="R501" s="17"/>
      <c r="S501" s="17"/>
      <c r="T501" s="17"/>
      <c r="U501" s="17"/>
      <c r="V501" s="17"/>
      <c r="W501" s="17"/>
      <c r="X501" s="103"/>
      <c r="Y501" s="17"/>
      <c r="Z501" s="101" t="str">
        <f>IF(N501="", "", IF(ISNUMBER(MATCH(N501, TextTables!A:A, 0)), "Y", "N"))</f>
        <v/>
      </c>
      <c r="AA501" s="101" t="str">
        <f>IF(ISNUMBER(MATCH(F501, '[1]Can Matrix'!M:M, 0)), "Y", "N")</f>
        <v>Y</v>
      </c>
    </row>
    <row r="502" spans="1:27" ht="16.8">
      <c r="A502" s="17"/>
      <c r="B502" s="17"/>
      <c r="C502" s="17"/>
      <c r="D502" s="17" t="s">
        <v>143</v>
      </c>
      <c r="E502" s="17"/>
      <c r="F502" s="17" t="s">
        <v>6338</v>
      </c>
      <c r="G502" s="17" t="s">
        <v>6338</v>
      </c>
      <c r="H502" s="17"/>
      <c r="I502" s="97">
        <f>VLOOKUP(F502, '[1]Can Matrix'!$M:$X, 2, FALSE)</f>
        <v>1</v>
      </c>
      <c r="J502" s="17" t="str">
        <f t="shared" si="8"/>
        <v>uint8</v>
      </c>
      <c r="K502" s="17"/>
      <c r="L502" s="17"/>
      <c r="M502" s="100" t="str">
        <f>'[1]Can Matrix'!$R$2</f>
        <v>Unsigned</v>
      </c>
      <c r="N502" s="101" t="str">
        <f>IFERROR(IF(VLOOKUP(F502, '[1]Can Matrix'!$M:$X, 12, FALSE)=0, "", "TMS_Enum_" &amp; VLOOKUP(F502, '[1]Can Matrix'!$M:$X, 12, FALSE)), "")</f>
        <v>TMS_Enum_OnOff1</v>
      </c>
      <c r="O502" s="17"/>
      <c r="P502" s="17"/>
      <c r="Q502" s="17"/>
      <c r="R502" s="17"/>
      <c r="S502" s="17"/>
      <c r="T502" s="17"/>
      <c r="U502" s="17"/>
      <c r="V502" s="17"/>
      <c r="W502" s="17"/>
      <c r="X502" s="103"/>
      <c r="Y502" s="17"/>
      <c r="Z502" s="101" t="str">
        <f>IF(N502="", "", IF(ISNUMBER(MATCH(N502, TextTables!A:A, 0)), "Y", "N"))</f>
        <v>Y</v>
      </c>
      <c r="AA502" s="101" t="str">
        <f>IF(ISNUMBER(MATCH(F502, '[1]Can Matrix'!M:M, 0)), "Y", "N")</f>
        <v>Y</v>
      </c>
    </row>
    <row r="503" spans="1:27" ht="16.8">
      <c r="A503" s="17"/>
      <c r="B503" s="17"/>
      <c r="C503" s="17"/>
      <c r="D503" s="17" t="s">
        <v>143</v>
      </c>
      <c r="E503" s="17"/>
      <c r="F503" s="17" t="s">
        <v>6339</v>
      </c>
      <c r="G503" s="17" t="s">
        <v>6339</v>
      </c>
      <c r="H503" s="17"/>
      <c r="I503" s="97">
        <f>VLOOKUP(F503, '[1]Can Matrix'!$M:$X, 2, FALSE)</f>
        <v>9</v>
      </c>
      <c r="J503" s="17" t="str">
        <f t="shared" si="8"/>
        <v>uint16</v>
      </c>
      <c r="K503" s="17"/>
      <c r="L503" s="17"/>
      <c r="M503" s="100" t="str">
        <f>'[1]Can Matrix'!$R$2</f>
        <v>Unsigned</v>
      </c>
      <c r="N503" s="101" t="str">
        <f>IFERROR(IF(VLOOKUP(F503, '[1]Can Matrix'!$M:$X, 12, FALSE)=0, "", "TMS_Enum_" &amp; VLOOKUP(F503, '[1]Can Matrix'!$M:$X, 12, FALSE)), "")</f>
        <v/>
      </c>
      <c r="O503" s="17"/>
      <c r="P503" s="17"/>
      <c r="Q503" s="17"/>
      <c r="R503" s="17"/>
      <c r="S503" s="17"/>
      <c r="T503" s="17"/>
      <c r="U503" s="17"/>
      <c r="V503" s="17"/>
      <c r="W503" s="17"/>
      <c r="X503" s="103"/>
      <c r="Y503" s="17"/>
      <c r="Z503" s="101" t="str">
        <f>IF(N503="", "", IF(ISNUMBER(MATCH(N503, TextTables!A:A, 0)), "Y", "N"))</f>
        <v/>
      </c>
      <c r="AA503" s="101" t="str">
        <f>IF(ISNUMBER(MATCH(F503, '[1]Can Matrix'!M:M, 0)), "Y", "N")</f>
        <v>Y</v>
      </c>
    </row>
    <row r="504" spans="1:27" ht="16.8">
      <c r="A504" s="17"/>
      <c r="B504" s="17"/>
      <c r="C504" s="17"/>
      <c r="D504" s="17" t="s">
        <v>143</v>
      </c>
      <c r="E504" s="17"/>
      <c r="F504" s="17" t="s">
        <v>6340</v>
      </c>
      <c r="G504" s="17" t="s">
        <v>6340</v>
      </c>
      <c r="H504" s="17"/>
      <c r="I504" s="97">
        <f>VLOOKUP(F504, '[1]Can Matrix'!$M:$X, 2, FALSE)</f>
        <v>1</v>
      </c>
      <c r="J504" s="17" t="str">
        <f t="shared" si="8"/>
        <v>uint8</v>
      </c>
      <c r="K504" s="17"/>
      <c r="L504" s="17"/>
      <c r="M504" s="100" t="str">
        <f>'[1]Can Matrix'!$R$2</f>
        <v>Unsigned</v>
      </c>
      <c r="N504" s="101" t="str">
        <f>IFERROR(IF(VLOOKUP(F504, '[1]Can Matrix'!$M:$X, 12, FALSE)=0, "", "TMS_Enum_" &amp; VLOOKUP(F504, '[1]Can Matrix'!$M:$X, 12, FALSE)), "")</f>
        <v>TMS_Enum_OnOff1</v>
      </c>
      <c r="O504" s="17"/>
      <c r="P504" s="17"/>
      <c r="Q504" s="17"/>
      <c r="R504" s="17"/>
      <c r="S504" s="17"/>
      <c r="T504" s="17"/>
      <c r="U504" s="17"/>
      <c r="V504" s="17"/>
      <c r="W504" s="17"/>
      <c r="X504" s="103"/>
      <c r="Y504" s="17"/>
      <c r="Z504" s="101" t="str">
        <f>IF(N504="", "", IF(ISNUMBER(MATCH(N504, TextTables!A:A, 0)), "Y", "N"))</f>
        <v>Y</v>
      </c>
      <c r="AA504" s="101" t="str">
        <f>IF(ISNUMBER(MATCH(F504, '[1]Can Matrix'!M:M, 0)), "Y", "N")</f>
        <v>Y</v>
      </c>
    </row>
    <row r="505" spans="1:27" ht="16.8">
      <c r="A505" s="17"/>
      <c r="B505" s="17"/>
      <c r="C505" s="17"/>
      <c r="D505" s="17" t="s">
        <v>143</v>
      </c>
      <c r="E505" s="17"/>
      <c r="F505" s="17" t="s">
        <v>6341</v>
      </c>
      <c r="G505" s="17" t="s">
        <v>6341</v>
      </c>
      <c r="H505" s="17"/>
      <c r="I505" s="97">
        <f>VLOOKUP(F505, '[1]Can Matrix'!$M:$X, 2, FALSE)</f>
        <v>8</v>
      </c>
      <c r="J505" s="17" t="str">
        <f t="shared" si="8"/>
        <v>uint8</v>
      </c>
      <c r="K505" s="17"/>
      <c r="L505" s="17"/>
      <c r="M505" s="100" t="str">
        <f>'[1]Can Matrix'!$R$2</f>
        <v>Unsigned</v>
      </c>
      <c r="N505" s="101" t="str">
        <f>IFERROR(IF(VLOOKUP(F505, '[1]Can Matrix'!$M:$X, 12, FALSE)=0, "", "TMS_Enum_" &amp; VLOOKUP(F505, '[1]Can Matrix'!$M:$X, 12, FALSE)), "")</f>
        <v/>
      </c>
      <c r="O505" s="17"/>
      <c r="P505" s="17"/>
      <c r="Q505" s="17"/>
      <c r="R505" s="17"/>
      <c r="S505" s="17"/>
      <c r="T505" s="17"/>
      <c r="U505" s="17"/>
      <c r="V505" s="17"/>
      <c r="W505" s="17"/>
      <c r="X505" s="103"/>
      <c r="Y505" s="17"/>
      <c r="Z505" s="101" t="str">
        <f>IF(N505="", "", IF(ISNUMBER(MATCH(N505, TextTables!A:A, 0)), "Y", "N"))</f>
        <v/>
      </c>
      <c r="AA505" s="101" t="str">
        <f>IF(ISNUMBER(MATCH(F505, '[1]Can Matrix'!M:M, 0)), "Y", "N")</f>
        <v>Y</v>
      </c>
    </row>
    <row r="506" spans="1:27" ht="16.8">
      <c r="A506" s="17"/>
      <c r="B506" s="17"/>
      <c r="C506" s="17"/>
      <c r="D506" s="17" t="s">
        <v>143</v>
      </c>
      <c r="E506" s="17"/>
      <c r="F506" s="17" t="s">
        <v>6342</v>
      </c>
      <c r="G506" s="17" t="s">
        <v>6342</v>
      </c>
      <c r="H506" s="17"/>
      <c r="I506" s="97">
        <f>VLOOKUP(F506, '[1]Can Matrix'!$M:$X, 2, FALSE)</f>
        <v>1</v>
      </c>
      <c r="J506" s="17" t="str">
        <f t="shared" si="8"/>
        <v>uint8</v>
      </c>
      <c r="K506" s="17"/>
      <c r="L506" s="17"/>
      <c r="M506" s="100" t="str">
        <f>'[1]Can Matrix'!$R$2</f>
        <v>Unsigned</v>
      </c>
      <c r="N506" s="101" t="str">
        <f>IFERROR(IF(VLOOKUP(F506, '[1]Can Matrix'!$M:$X, 12, FALSE)=0, "", "TMS_Enum_" &amp; VLOOKUP(F506, '[1]Can Matrix'!$M:$X, 12, FALSE)), "")</f>
        <v>TMS_Enum_OnOff1</v>
      </c>
      <c r="O506" s="17"/>
      <c r="P506" s="17"/>
      <c r="Q506" s="17"/>
      <c r="R506" s="17"/>
      <c r="S506" s="17"/>
      <c r="T506" s="17"/>
      <c r="U506" s="17"/>
      <c r="V506" s="17"/>
      <c r="W506" s="17"/>
      <c r="X506" s="103"/>
      <c r="Y506" s="17"/>
      <c r="Z506" s="101" t="str">
        <f>IF(N506="", "", IF(ISNUMBER(MATCH(N506, TextTables!A:A, 0)), "Y", "N"))</f>
        <v>Y</v>
      </c>
      <c r="AA506" s="101" t="str">
        <f>IF(ISNUMBER(MATCH(F506, '[1]Can Matrix'!M:M, 0)), "Y", "N")</f>
        <v>Y</v>
      </c>
    </row>
    <row r="507" spans="1:27" ht="16.8">
      <c r="A507" s="17"/>
      <c r="B507" s="17"/>
      <c r="C507" s="17"/>
      <c r="D507" s="17" t="s">
        <v>143</v>
      </c>
      <c r="E507" s="17"/>
      <c r="F507" s="17" t="s">
        <v>6343</v>
      </c>
      <c r="G507" s="17" t="s">
        <v>6343</v>
      </c>
      <c r="H507" s="17"/>
      <c r="I507" s="97">
        <f>VLOOKUP(F507, '[1]Can Matrix'!$M:$X, 2, FALSE)</f>
        <v>9</v>
      </c>
      <c r="J507" s="17" t="str">
        <f t="shared" si="8"/>
        <v>uint16</v>
      </c>
      <c r="K507" s="17"/>
      <c r="L507" s="17"/>
      <c r="M507" s="100" t="str">
        <f>'[1]Can Matrix'!$R$2</f>
        <v>Unsigned</v>
      </c>
      <c r="N507" s="101" t="str">
        <f>IFERROR(IF(VLOOKUP(F507, '[1]Can Matrix'!$M:$X, 12, FALSE)=0, "", "TMS_Enum_" &amp; VLOOKUP(F507, '[1]Can Matrix'!$M:$X, 12, FALSE)), "")</f>
        <v/>
      </c>
      <c r="O507" s="17"/>
      <c r="P507" s="17"/>
      <c r="Q507" s="17"/>
      <c r="R507" s="17"/>
      <c r="S507" s="17"/>
      <c r="T507" s="17"/>
      <c r="U507" s="17"/>
      <c r="V507" s="17"/>
      <c r="W507" s="17"/>
      <c r="X507" s="103"/>
      <c r="Y507" s="17"/>
      <c r="Z507" s="101" t="str">
        <f>IF(N507="", "", IF(ISNUMBER(MATCH(N507, TextTables!A:A, 0)), "Y", "N"))</f>
        <v/>
      </c>
      <c r="AA507" s="101" t="str">
        <f>IF(ISNUMBER(MATCH(F507, '[1]Can Matrix'!M:M, 0)), "Y", "N")</f>
        <v>Y</v>
      </c>
    </row>
    <row r="508" spans="1:27" ht="16.8">
      <c r="A508" s="17"/>
      <c r="B508" s="17"/>
      <c r="C508" s="17"/>
      <c r="D508" s="17" t="s">
        <v>143</v>
      </c>
      <c r="E508" s="17"/>
      <c r="F508" s="17" t="s">
        <v>6344</v>
      </c>
      <c r="G508" s="17" t="s">
        <v>6344</v>
      </c>
      <c r="H508" s="17"/>
      <c r="I508" s="97">
        <f>VLOOKUP(F508, '[1]Can Matrix'!$M:$X, 2, FALSE)</f>
        <v>1</v>
      </c>
      <c r="J508" s="17" t="str">
        <f t="shared" si="8"/>
        <v>uint8</v>
      </c>
      <c r="K508" s="17"/>
      <c r="L508" s="17"/>
      <c r="M508" s="100" t="str">
        <f>'[1]Can Matrix'!$R$2</f>
        <v>Unsigned</v>
      </c>
      <c r="N508" s="101" t="str">
        <f>IFERROR(IF(VLOOKUP(F508, '[1]Can Matrix'!$M:$X, 12, FALSE)=0, "", "TMS_Enum_" &amp; VLOOKUP(F508, '[1]Can Matrix'!$M:$X, 12, FALSE)), "")</f>
        <v>TMS_Enum_OnOff1</v>
      </c>
      <c r="O508" s="17"/>
      <c r="P508" s="17"/>
      <c r="Q508" s="17"/>
      <c r="R508" s="17"/>
      <c r="S508" s="17"/>
      <c r="T508" s="17"/>
      <c r="U508" s="17"/>
      <c r="V508" s="17"/>
      <c r="W508" s="17"/>
      <c r="X508" s="103"/>
      <c r="Y508" s="17"/>
      <c r="Z508" s="101" t="str">
        <f>IF(N508="", "", IF(ISNUMBER(MATCH(N508, TextTables!A:A, 0)), "Y", "N"))</f>
        <v>Y</v>
      </c>
      <c r="AA508" s="101" t="str">
        <f>IF(ISNUMBER(MATCH(F508, '[1]Can Matrix'!M:M, 0)), "Y", "N")</f>
        <v>Y</v>
      </c>
    </row>
    <row r="509" spans="1:27" ht="16.8">
      <c r="A509" s="17"/>
      <c r="B509" s="17"/>
      <c r="C509" s="17"/>
      <c r="D509" s="17" t="s">
        <v>143</v>
      </c>
      <c r="E509" s="17"/>
      <c r="F509" s="17" t="s">
        <v>6345</v>
      </c>
      <c r="G509" s="17" t="s">
        <v>6345</v>
      </c>
      <c r="H509" s="17"/>
      <c r="I509" s="97">
        <f>VLOOKUP(F509, '[1]Can Matrix'!$M:$X, 2, FALSE)</f>
        <v>8</v>
      </c>
      <c r="J509" s="17" t="str">
        <f t="shared" si="8"/>
        <v>uint8</v>
      </c>
      <c r="K509" s="17"/>
      <c r="L509" s="17"/>
      <c r="M509" s="100" t="str">
        <f>'[1]Can Matrix'!$R$2</f>
        <v>Unsigned</v>
      </c>
      <c r="N509" s="101" t="str">
        <f>IFERROR(IF(VLOOKUP(F509, '[1]Can Matrix'!$M:$X, 12, FALSE)=0, "", "TMS_Enum_" &amp; VLOOKUP(F509, '[1]Can Matrix'!$M:$X, 12, FALSE)), "")</f>
        <v/>
      </c>
      <c r="O509" s="17"/>
      <c r="P509" s="17"/>
      <c r="Q509" s="17"/>
      <c r="R509" s="17"/>
      <c r="S509" s="17"/>
      <c r="T509" s="17"/>
      <c r="U509" s="17"/>
      <c r="V509" s="17"/>
      <c r="W509" s="17"/>
      <c r="X509" s="103"/>
      <c r="Y509" s="17"/>
      <c r="Z509" s="101" t="str">
        <f>IF(N509="", "", IF(ISNUMBER(MATCH(N509, TextTables!A:A, 0)), "Y", "N"))</f>
        <v/>
      </c>
      <c r="AA509" s="101" t="str">
        <f>IF(ISNUMBER(MATCH(F509, '[1]Can Matrix'!M:M, 0)), "Y", "N")</f>
        <v>Y</v>
      </c>
    </row>
    <row r="510" spans="1:27" ht="16.8">
      <c r="A510" s="17"/>
      <c r="B510" s="17"/>
      <c r="C510" s="17"/>
      <c r="D510" s="17" t="s">
        <v>143</v>
      </c>
      <c r="E510" s="17"/>
      <c r="F510" s="17" t="s">
        <v>6346</v>
      </c>
      <c r="G510" s="17" t="s">
        <v>6346</v>
      </c>
      <c r="H510" s="17"/>
      <c r="I510" s="97">
        <f>VLOOKUP(F510, '[1]Can Matrix'!$M:$X, 2, FALSE)</f>
        <v>1</v>
      </c>
      <c r="J510" s="17" t="str">
        <f t="shared" si="8"/>
        <v>uint8</v>
      </c>
      <c r="K510" s="17"/>
      <c r="L510" s="17"/>
      <c r="M510" s="100" t="str">
        <f>'[1]Can Matrix'!$R$2</f>
        <v>Unsigned</v>
      </c>
      <c r="N510" s="101" t="str">
        <f>IFERROR(IF(VLOOKUP(F510, '[1]Can Matrix'!$M:$X, 12, FALSE)=0, "", "TMS_Enum_" &amp; VLOOKUP(F510, '[1]Can Matrix'!$M:$X, 12, FALSE)), "")</f>
        <v>TMS_Enum_OnOff1</v>
      </c>
      <c r="O510" s="17"/>
      <c r="P510" s="17"/>
      <c r="Q510" s="17"/>
      <c r="R510" s="17"/>
      <c r="S510" s="17"/>
      <c r="T510" s="17"/>
      <c r="U510" s="17"/>
      <c r="V510" s="17"/>
      <c r="W510" s="17"/>
      <c r="X510" s="103"/>
      <c r="Y510" s="17"/>
      <c r="Z510" s="101" t="str">
        <f>IF(N510="", "", IF(ISNUMBER(MATCH(N510, TextTables!A:A, 0)), "Y", "N"))</f>
        <v>Y</v>
      </c>
      <c r="AA510" s="101" t="str">
        <f>IF(ISNUMBER(MATCH(F510, '[1]Can Matrix'!M:M, 0)), "Y", "N")</f>
        <v>Y</v>
      </c>
    </row>
    <row r="511" spans="1:27" ht="16.8">
      <c r="A511" s="17"/>
      <c r="B511" s="17"/>
      <c r="C511" s="17"/>
      <c r="D511" s="17" t="s">
        <v>143</v>
      </c>
      <c r="E511" s="17"/>
      <c r="F511" s="17" t="s">
        <v>6347</v>
      </c>
      <c r="G511" s="17" t="s">
        <v>6347</v>
      </c>
      <c r="H511" s="17"/>
      <c r="I511" s="97">
        <f>VLOOKUP(F511, '[1]Can Matrix'!$M:$X, 2, FALSE)</f>
        <v>9</v>
      </c>
      <c r="J511" s="17" t="str">
        <f t="shared" si="8"/>
        <v>uint16</v>
      </c>
      <c r="K511" s="17"/>
      <c r="L511" s="17"/>
      <c r="M511" s="100" t="str">
        <f>'[1]Can Matrix'!$R$2</f>
        <v>Unsigned</v>
      </c>
      <c r="N511" s="101" t="str">
        <f>IFERROR(IF(VLOOKUP(F511, '[1]Can Matrix'!$M:$X, 12, FALSE)=0, "", "TMS_Enum_" &amp; VLOOKUP(F511, '[1]Can Matrix'!$M:$X, 12, FALSE)), "")</f>
        <v/>
      </c>
      <c r="O511" s="17"/>
      <c r="P511" s="17"/>
      <c r="Q511" s="17"/>
      <c r="R511" s="17"/>
      <c r="S511" s="17"/>
      <c r="T511" s="17"/>
      <c r="U511" s="17"/>
      <c r="V511" s="17"/>
      <c r="W511" s="17"/>
      <c r="X511" s="103"/>
      <c r="Y511" s="17"/>
      <c r="Z511" s="101" t="str">
        <f>IF(N511="", "", IF(ISNUMBER(MATCH(N511, TextTables!A:A, 0)), "Y", "N"))</f>
        <v/>
      </c>
      <c r="AA511" s="101" t="str">
        <f>IF(ISNUMBER(MATCH(F511, '[1]Can Matrix'!M:M, 0)), "Y", "N")</f>
        <v>Y</v>
      </c>
    </row>
    <row r="512" spans="1:27" ht="16.8">
      <c r="A512" s="17"/>
      <c r="B512" s="17"/>
      <c r="C512" s="17"/>
      <c r="D512" s="17" t="s">
        <v>143</v>
      </c>
      <c r="E512" s="17"/>
      <c r="F512" s="17" t="s">
        <v>6348</v>
      </c>
      <c r="G512" s="17" t="s">
        <v>6348</v>
      </c>
      <c r="H512" s="17"/>
      <c r="I512" s="97">
        <f>VLOOKUP(F512, '[1]Can Matrix'!$M:$X, 2, FALSE)</f>
        <v>1</v>
      </c>
      <c r="J512" s="17" t="str">
        <f t="shared" si="8"/>
        <v>uint8</v>
      </c>
      <c r="K512" s="17"/>
      <c r="L512" s="17"/>
      <c r="M512" s="100" t="str">
        <f>'[1]Can Matrix'!$R$2</f>
        <v>Unsigned</v>
      </c>
      <c r="N512" s="101" t="str">
        <f>IFERROR(IF(VLOOKUP(F512, '[1]Can Matrix'!$M:$X, 12, FALSE)=0, "", "TMS_Enum_" &amp; VLOOKUP(F512, '[1]Can Matrix'!$M:$X, 12, FALSE)), "")</f>
        <v>TMS_Enum_OnOff1</v>
      </c>
      <c r="O512" s="17"/>
      <c r="P512" s="17"/>
      <c r="Q512" s="17"/>
      <c r="R512" s="17"/>
      <c r="S512" s="17"/>
      <c r="T512" s="17"/>
      <c r="U512" s="17"/>
      <c r="V512" s="17"/>
      <c r="W512" s="17"/>
      <c r="X512" s="103"/>
      <c r="Y512" s="17"/>
      <c r="Z512" s="101" t="str">
        <f>IF(N512="", "", IF(ISNUMBER(MATCH(N512, TextTables!A:A, 0)), "Y", "N"))</f>
        <v>Y</v>
      </c>
      <c r="AA512" s="101" t="str">
        <f>IF(ISNUMBER(MATCH(F512, '[1]Can Matrix'!M:M, 0)), "Y", "N")</f>
        <v>Y</v>
      </c>
    </row>
    <row r="513" spans="1:27" ht="16.8">
      <c r="A513" s="17"/>
      <c r="B513" s="17"/>
      <c r="C513" s="17"/>
      <c r="D513" s="17" t="s">
        <v>143</v>
      </c>
      <c r="E513" s="17"/>
      <c r="F513" s="17" t="s">
        <v>6349</v>
      </c>
      <c r="G513" s="17" t="s">
        <v>6349</v>
      </c>
      <c r="H513" s="17"/>
      <c r="I513" s="97">
        <f>VLOOKUP(F513, '[1]Can Matrix'!$M:$X, 2, FALSE)</f>
        <v>8</v>
      </c>
      <c r="J513" s="17" t="str">
        <f t="shared" si="8"/>
        <v>uint8</v>
      </c>
      <c r="K513" s="17"/>
      <c r="L513" s="17"/>
      <c r="M513" s="100" t="str">
        <f>'[1]Can Matrix'!$R$2</f>
        <v>Unsigned</v>
      </c>
      <c r="N513" s="101" t="str">
        <f>IFERROR(IF(VLOOKUP(F513, '[1]Can Matrix'!$M:$X, 12, FALSE)=0, "", "TMS_Enum_" &amp; VLOOKUP(F513, '[1]Can Matrix'!$M:$X, 12, FALSE)), "")</f>
        <v/>
      </c>
      <c r="O513" s="17"/>
      <c r="P513" s="17"/>
      <c r="Q513" s="17"/>
      <c r="R513" s="17"/>
      <c r="S513" s="17"/>
      <c r="T513" s="17"/>
      <c r="U513" s="17"/>
      <c r="V513" s="17"/>
      <c r="W513" s="17"/>
      <c r="X513" s="103"/>
      <c r="Y513" s="17"/>
      <c r="Z513" s="101" t="str">
        <f>IF(N513="", "", IF(ISNUMBER(MATCH(N513, TextTables!A:A, 0)), "Y", "N"))</f>
        <v/>
      </c>
      <c r="AA513" s="101" t="str">
        <f>IF(ISNUMBER(MATCH(F513, '[1]Can Matrix'!M:M, 0)), "Y", "N")</f>
        <v>Y</v>
      </c>
    </row>
    <row r="514" spans="1:27" ht="16.8">
      <c r="A514" s="17"/>
      <c r="B514" s="17"/>
      <c r="C514" s="17"/>
      <c r="D514" s="17" t="s">
        <v>143</v>
      </c>
      <c r="E514" s="17"/>
      <c r="F514" s="17" t="s">
        <v>6350</v>
      </c>
      <c r="G514" s="17" t="s">
        <v>6350</v>
      </c>
      <c r="H514" s="17"/>
      <c r="I514" s="97">
        <f>VLOOKUP(F514, '[1]Can Matrix'!$M:$X, 2, FALSE)</f>
        <v>2</v>
      </c>
      <c r="J514" s="17" t="str">
        <f t="shared" si="8"/>
        <v>uint8</v>
      </c>
      <c r="K514" s="17"/>
      <c r="L514" s="17"/>
      <c r="M514" s="100" t="str">
        <f>'[1]Can Matrix'!$R$2</f>
        <v>Unsigned</v>
      </c>
      <c r="N514" s="101" t="str">
        <f>IFERROR(IF(VLOOKUP(F514, '[1]Can Matrix'!$M:$X, 12, FALSE)=0, "", "TMS_Enum_" &amp; VLOOKUP(F514, '[1]Can Matrix'!$M:$X, 12, FALSE)), "")</f>
        <v>TMS_Enum_ChagSts</v>
      </c>
      <c r="O514" s="17"/>
      <c r="P514" s="17"/>
      <c r="Q514" s="17"/>
      <c r="R514" s="17"/>
      <c r="S514" s="17"/>
      <c r="T514" s="17"/>
      <c r="U514" s="17"/>
      <c r="V514" s="17"/>
      <c r="W514" s="17"/>
      <c r="X514" s="103"/>
      <c r="Y514" s="17"/>
      <c r="Z514" s="101" t="str">
        <f>IF(N514="", "", IF(ISNUMBER(MATCH(N514, TextTables!A:A, 0)), "Y", "N"))</f>
        <v>Y</v>
      </c>
      <c r="AA514" s="101" t="str">
        <f>IF(ISNUMBER(MATCH(F514, '[1]Can Matrix'!M:M, 0)), "Y", "N")</f>
        <v>Y</v>
      </c>
    </row>
    <row r="515" spans="1:27" ht="16.8">
      <c r="A515" s="17"/>
      <c r="B515" s="17"/>
      <c r="C515" s="17"/>
      <c r="D515" s="17" t="s">
        <v>143</v>
      </c>
      <c r="E515" s="17"/>
      <c r="F515" s="17" t="s">
        <v>6351</v>
      </c>
      <c r="G515" s="17" t="s">
        <v>6351</v>
      </c>
      <c r="H515" s="17"/>
      <c r="I515" s="97">
        <f>VLOOKUP(F515, '[1]Can Matrix'!$M:$X, 2, FALSE)</f>
        <v>2</v>
      </c>
      <c r="J515" s="17" t="str">
        <f t="shared" si="8"/>
        <v>uint8</v>
      </c>
      <c r="K515" s="17"/>
      <c r="L515" s="17"/>
      <c r="M515" s="100" t="str">
        <f>'[1]Can Matrix'!$R$2</f>
        <v>Unsigned</v>
      </c>
      <c r="N515" s="101" t="str">
        <f>IFERROR(IF(VLOOKUP(F515, '[1]Can Matrix'!$M:$X, 12, FALSE)=0, "", "TMS_Enum_" &amp; VLOOKUP(F515, '[1]Can Matrix'!$M:$X, 12, FALSE)), "")</f>
        <v>TMS_Enum_ReqFragLvlTelm</v>
      </c>
      <c r="O515" s="17"/>
      <c r="P515" s="17"/>
      <c r="Q515" s="17"/>
      <c r="R515" s="17"/>
      <c r="S515" s="17"/>
      <c r="T515" s="17"/>
      <c r="U515" s="17"/>
      <c r="V515" s="17"/>
      <c r="W515" s="17"/>
      <c r="X515" s="103"/>
      <c r="Y515" s="17"/>
      <c r="Z515" s="101" t="str">
        <f>IF(N515="", "", IF(ISNUMBER(MATCH(N515, TextTables!A:A, 0)), "Y", "N"))</f>
        <v>Y</v>
      </c>
      <c r="AA515" s="101" t="str">
        <f>IF(ISNUMBER(MATCH(F515, '[1]Can Matrix'!M:M, 0)), "Y", "N")</f>
        <v>Y</v>
      </c>
    </row>
    <row r="516" spans="1:27" ht="16.8">
      <c r="A516" s="17"/>
      <c r="B516" s="17"/>
      <c r="C516" s="17"/>
      <c r="D516" s="17" t="s">
        <v>143</v>
      </c>
      <c r="E516" s="17"/>
      <c r="F516" s="17" t="s">
        <v>6352</v>
      </c>
      <c r="G516" s="17" t="s">
        <v>6352</v>
      </c>
      <c r="H516" s="17"/>
      <c r="I516" s="97">
        <f>VLOOKUP(F516, '[1]Can Matrix'!$M:$X, 2, FALSE)</f>
        <v>1</v>
      </c>
      <c r="J516" s="17" t="str">
        <f t="shared" si="8"/>
        <v>uint8</v>
      </c>
      <c r="K516" s="17"/>
      <c r="L516" s="17"/>
      <c r="M516" s="100" t="str">
        <f>'[1]Can Matrix'!$R$2</f>
        <v>Unsigned</v>
      </c>
      <c r="N516" s="101" t="str">
        <f>IFERROR(IF(VLOOKUP(F516, '[1]Can Matrix'!$M:$X, 12, FALSE)=0, "", "TMS_Enum_" &amp; VLOOKUP(F516, '[1]Can Matrix'!$M:$X, 12, FALSE)), "")</f>
        <v>TMS_Enum_Err1</v>
      </c>
      <c r="O516" s="17"/>
      <c r="P516" s="17"/>
      <c r="Q516" s="17"/>
      <c r="R516" s="17"/>
      <c r="S516" s="17"/>
      <c r="T516" s="17"/>
      <c r="U516" s="17"/>
      <c r="V516" s="17"/>
      <c r="W516" s="17"/>
      <c r="X516" s="103"/>
      <c r="Y516" s="17"/>
      <c r="Z516" s="101" t="str">
        <f>IF(N516="", "", IF(ISNUMBER(MATCH(N516, TextTables!A:A, 0)), "Y", "N"))</f>
        <v>Y</v>
      </c>
      <c r="AA516" s="101" t="str">
        <f>IF(ISNUMBER(MATCH(F516, '[1]Can Matrix'!M:M, 0)), "Y", "N")</f>
        <v>Y</v>
      </c>
    </row>
    <row r="517" spans="1:27" ht="16.8">
      <c r="A517" s="17"/>
      <c r="B517" s="17"/>
      <c r="C517" s="17"/>
      <c r="D517" s="17" t="s">
        <v>143</v>
      </c>
      <c r="E517" s="17"/>
      <c r="F517" s="17" t="s">
        <v>6353</v>
      </c>
      <c r="G517" s="17" t="s">
        <v>6353</v>
      </c>
      <c r="H517" s="17"/>
      <c r="I517" s="97">
        <f>VLOOKUP(F517, '[1]Can Matrix'!$M:$X, 2, FALSE)</f>
        <v>2</v>
      </c>
      <c r="J517" s="17" t="str">
        <f t="shared" si="8"/>
        <v>uint8</v>
      </c>
      <c r="K517" s="17"/>
      <c r="L517" s="17"/>
      <c r="M517" s="100" t="str">
        <f>'[1]Can Matrix'!$R$2</f>
        <v>Unsigned</v>
      </c>
      <c r="N517" s="101" t="str">
        <f>IFERROR(IF(VLOOKUP(F517, '[1]Can Matrix'!$M:$X, 12, FALSE)=0, "", "TMS_Enum_" &amp; VLOOKUP(F517, '[1]Can Matrix'!$M:$X, 12, FALSE)), "")</f>
        <v>TMS_Enum_InitSts</v>
      </c>
      <c r="O517" s="17"/>
      <c r="P517" s="17"/>
      <c r="Q517" s="17"/>
      <c r="R517" s="17"/>
      <c r="S517" s="17"/>
      <c r="T517" s="17"/>
      <c r="U517" s="17"/>
      <c r="V517" s="17"/>
      <c r="W517" s="17"/>
      <c r="X517" s="103"/>
      <c r="Y517" s="17"/>
      <c r="Z517" s="101" t="str">
        <f>IF(N517="", "", IF(ISNUMBER(MATCH(N517, TextTables!A:A, 0)), "Y", "N"))</f>
        <v>Y</v>
      </c>
      <c r="AA517" s="101" t="str">
        <f>IF(ISNUMBER(MATCH(F517, '[1]Can Matrix'!M:M, 0)), "Y", "N")</f>
        <v>Y</v>
      </c>
    </row>
    <row r="518" spans="1:27" ht="16.8">
      <c r="A518" s="17"/>
      <c r="B518" s="17"/>
      <c r="C518" s="17"/>
      <c r="D518" s="17" t="s">
        <v>143</v>
      </c>
      <c r="E518" s="17"/>
      <c r="F518" s="17" t="s">
        <v>6354</v>
      </c>
      <c r="G518" s="17" t="s">
        <v>6354</v>
      </c>
      <c r="H518" s="17"/>
      <c r="I518" s="97">
        <f>VLOOKUP(F518, '[1]Can Matrix'!$M:$X, 2, FALSE)</f>
        <v>2</v>
      </c>
      <c r="J518" s="17" t="str">
        <f t="shared" si="8"/>
        <v>uint8</v>
      </c>
      <c r="K518" s="17"/>
      <c r="L518" s="17"/>
      <c r="M518" s="100" t="str">
        <f>'[1]Can Matrix'!$R$2</f>
        <v>Unsigned</v>
      </c>
      <c r="N518" s="101" t="str">
        <f>IFERROR(IF(VLOOKUP(F518, '[1]Can Matrix'!$M:$X, 12, FALSE)=0, "", "TMS_Enum_" &amp; VLOOKUP(F518, '[1]Can Matrix'!$M:$X, 12, FALSE)), "")</f>
        <v>TMS_Enum_RatUse</v>
      </c>
      <c r="O518" s="17"/>
      <c r="P518" s="17"/>
      <c r="Q518" s="17"/>
      <c r="R518" s="17"/>
      <c r="S518" s="17"/>
      <c r="T518" s="17"/>
      <c r="U518" s="17"/>
      <c r="V518" s="17"/>
      <c r="W518" s="17"/>
      <c r="X518" s="103"/>
      <c r="Y518" s="17"/>
      <c r="Z518" s="101" t="str">
        <f>IF(N518="", "", IF(ISNUMBER(MATCH(N518, TextTables!A:A, 0)), "Y", "N"))</f>
        <v>Y</v>
      </c>
      <c r="AA518" s="101" t="str">
        <f>IF(ISNUMBER(MATCH(F518, '[1]Can Matrix'!M:M, 0)), "Y", "N")</f>
        <v>Y</v>
      </c>
    </row>
    <row r="519" spans="1:27" ht="16.8">
      <c r="A519" s="17"/>
      <c r="B519" s="17"/>
      <c r="C519" s="17"/>
      <c r="D519" s="17" t="s">
        <v>143</v>
      </c>
      <c r="E519" s="17"/>
      <c r="F519" s="17" t="s">
        <v>6355</v>
      </c>
      <c r="G519" s="17" t="s">
        <v>6355</v>
      </c>
      <c r="H519" s="17"/>
      <c r="I519" s="97">
        <f>VLOOKUP(F519, '[1]Can Matrix'!$M:$X, 2, FALSE)</f>
        <v>1</v>
      </c>
      <c r="J519" s="17" t="str">
        <f t="shared" si="8"/>
        <v>uint8</v>
      </c>
      <c r="K519" s="17"/>
      <c r="L519" s="17"/>
      <c r="M519" s="100" t="str">
        <f>'[1]Can Matrix'!$R$2</f>
        <v>Unsigned</v>
      </c>
      <c r="N519" s="101" t="str">
        <f>IFERROR(IF(VLOOKUP(F519, '[1]Can Matrix'!$M:$X, 12, FALSE)=0, "", "TMS_Enum_" &amp; VLOOKUP(F519, '[1]Can Matrix'!$M:$X, 12, FALSE)), "")</f>
        <v>TMS_Enum_Err1</v>
      </c>
      <c r="O519" s="17"/>
      <c r="P519" s="17"/>
      <c r="Q519" s="17"/>
      <c r="R519" s="17"/>
      <c r="S519" s="17"/>
      <c r="T519" s="17"/>
      <c r="U519" s="17"/>
      <c r="V519" s="17"/>
      <c r="W519" s="17"/>
      <c r="X519" s="103"/>
      <c r="Y519" s="17"/>
      <c r="Z519" s="101" t="str">
        <f>IF(N519="", "", IF(ISNUMBER(MATCH(N519, TextTables!A:A, 0)), "Y", "N"))</f>
        <v>Y</v>
      </c>
      <c r="AA519" s="101" t="str">
        <f>IF(ISNUMBER(MATCH(F519, '[1]Can Matrix'!M:M, 0)), "Y", "N")</f>
        <v>Y</v>
      </c>
    </row>
    <row r="520" spans="1:27" ht="16.8">
      <c r="A520" s="17"/>
      <c r="B520" s="17"/>
      <c r="C520" s="17"/>
      <c r="D520" s="17" t="s">
        <v>143</v>
      </c>
      <c r="E520" s="17"/>
      <c r="F520" s="17" t="s">
        <v>6356</v>
      </c>
      <c r="G520" s="17" t="s">
        <v>6356</v>
      </c>
      <c r="H520" s="17"/>
      <c r="I520" s="97">
        <f>VLOOKUP(F520, '[1]Can Matrix'!$M:$X, 2, FALSE)</f>
        <v>1</v>
      </c>
      <c r="J520" s="17" t="str">
        <f t="shared" si="8"/>
        <v>uint8</v>
      </c>
      <c r="K520" s="17"/>
      <c r="L520" s="17"/>
      <c r="M520" s="100" t="str">
        <f>'[1]Can Matrix'!$R$2</f>
        <v>Unsigned</v>
      </c>
      <c r="N520" s="101" t="str">
        <f>IFERROR(IF(VLOOKUP(F520, '[1]Can Matrix'!$M:$X, 12, FALSE)=0, "", "TMS_Enum_" &amp; VLOOKUP(F520, '[1]Can Matrix'!$M:$X, 12, FALSE)), "")</f>
        <v>TMS_Enum_Err1</v>
      </c>
      <c r="O520" s="17"/>
      <c r="P520" s="17"/>
      <c r="Q520" s="17"/>
      <c r="R520" s="17"/>
      <c r="S520" s="17"/>
      <c r="T520" s="17"/>
      <c r="U520" s="17"/>
      <c r="V520" s="17"/>
      <c r="W520" s="17"/>
      <c r="X520" s="103"/>
      <c r="Y520" s="17"/>
      <c r="Z520" s="101" t="str">
        <f>IF(N520="", "", IF(ISNUMBER(MATCH(N520, TextTables!A:A, 0)), "Y", "N"))</f>
        <v>Y</v>
      </c>
      <c r="AA520" s="101" t="str">
        <f>IF(ISNUMBER(MATCH(F520, '[1]Can Matrix'!M:M, 0)), "Y", "N")</f>
        <v>Y</v>
      </c>
    </row>
    <row r="521" spans="1:27" ht="16.8">
      <c r="A521" s="17"/>
      <c r="B521" s="17"/>
      <c r="C521" s="17"/>
      <c r="D521" s="17" t="s">
        <v>143</v>
      </c>
      <c r="E521" s="17"/>
      <c r="F521" s="17" t="s">
        <v>6357</v>
      </c>
      <c r="G521" s="17" t="s">
        <v>6357</v>
      </c>
      <c r="H521" s="17"/>
      <c r="I521" s="97">
        <f>VLOOKUP(F521, '[1]Can Matrix'!$M:$X, 2, FALSE)</f>
        <v>1</v>
      </c>
      <c r="J521" s="17" t="str">
        <f t="shared" si="8"/>
        <v>uint8</v>
      </c>
      <c r="K521" s="17"/>
      <c r="L521" s="17"/>
      <c r="M521" s="100" t="str">
        <f>'[1]Can Matrix'!$R$2</f>
        <v>Unsigned</v>
      </c>
      <c r="N521" s="101" t="str">
        <f>IFERROR(IF(VLOOKUP(F521, '[1]Can Matrix'!$M:$X, 12, FALSE)=0, "", "TMS_Enum_" &amp; VLOOKUP(F521, '[1]Can Matrix'!$M:$X, 12, FALSE)), "")</f>
        <v>TMS_Enum_Err1</v>
      </c>
      <c r="O521" s="17"/>
      <c r="P521" s="17"/>
      <c r="Q521" s="17"/>
      <c r="R521" s="17"/>
      <c r="S521" s="17"/>
      <c r="T521" s="17"/>
      <c r="U521" s="17"/>
      <c r="V521" s="17"/>
      <c r="W521" s="17"/>
      <c r="X521" s="103"/>
      <c r="Y521" s="17"/>
      <c r="Z521" s="101" t="str">
        <f>IF(N521="", "", IF(ISNUMBER(MATCH(N521, TextTables!A:A, 0)), "Y", "N"))</f>
        <v>Y</v>
      </c>
      <c r="AA521" s="101" t="str">
        <f>IF(ISNUMBER(MATCH(F521, '[1]Can Matrix'!M:M, 0)), "Y", "N")</f>
        <v>Y</v>
      </c>
    </row>
    <row r="522" spans="1:27" ht="16.8">
      <c r="A522" s="17"/>
      <c r="B522" s="17"/>
      <c r="C522" s="17"/>
      <c r="D522" s="17" t="s">
        <v>143</v>
      </c>
      <c r="E522" s="17"/>
      <c r="F522" s="17" t="s">
        <v>6358</v>
      </c>
      <c r="G522" s="17" t="s">
        <v>6358</v>
      </c>
      <c r="H522" s="17"/>
      <c r="I522" s="97">
        <f>VLOOKUP(F522, '[1]Can Matrix'!$M:$X, 2, FALSE)</f>
        <v>1</v>
      </c>
      <c r="J522" s="17" t="str">
        <f t="shared" si="8"/>
        <v>uint8</v>
      </c>
      <c r="K522" s="17"/>
      <c r="L522" s="17"/>
      <c r="M522" s="100" t="str">
        <f>'[1]Can Matrix'!$R$2</f>
        <v>Unsigned</v>
      </c>
      <c r="N522" s="101" t="str">
        <f>IFERROR(IF(VLOOKUP(F522, '[1]Can Matrix'!$M:$X, 12, FALSE)=0, "", "TMS_Enum_" &amp; VLOOKUP(F522, '[1]Can Matrix'!$M:$X, 12, FALSE)), "")</f>
        <v>TMS_Enum_Err1</v>
      </c>
      <c r="O522" s="17"/>
      <c r="P522" s="17"/>
      <c r="Q522" s="17"/>
      <c r="R522" s="17"/>
      <c r="S522" s="17"/>
      <c r="T522" s="17"/>
      <c r="U522" s="17"/>
      <c r="V522" s="17"/>
      <c r="W522" s="17"/>
      <c r="X522" s="103"/>
      <c r="Y522" s="17"/>
      <c r="Z522" s="101" t="str">
        <f>IF(N522="", "", IF(ISNUMBER(MATCH(N522, TextTables!A:A, 0)), "Y", "N"))</f>
        <v>Y</v>
      </c>
      <c r="AA522" s="101" t="str">
        <f>IF(ISNUMBER(MATCH(F522, '[1]Can Matrix'!M:M, 0)), "Y", "N")</f>
        <v>Y</v>
      </c>
    </row>
    <row r="523" spans="1:27" ht="16.8">
      <c r="A523" s="17"/>
      <c r="B523" s="17"/>
      <c r="C523" s="17"/>
      <c r="D523" s="17" t="s">
        <v>143</v>
      </c>
      <c r="E523" s="17"/>
      <c r="F523" s="17" t="s">
        <v>6359</v>
      </c>
      <c r="G523" s="17" t="s">
        <v>6359</v>
      </c>
      <c r="H523" s="17"/>
      <c r="I523" s="97">
        <f>VLOOKUP(F523, '[1]Can Matrix'!$M:$X, 2, FALSE)</f>
        <v>1</v>
      </c>
      <c r="J523" s="17" t="str">
        <f t="shared" si="8"/>
        <v>uint8</v>
      </c>
      <c r="K523" s="17"/>
      <c r="L523" s="17"/>
      <c r="M523" s="100" t="str">
        <f>'[1]Can Matrix'!$R$2</f>
        <v>Unsigned</v>
      </c>
      <c r="N523" s="101" t="str">
        <f>IFERROR(IF(VLOOKUP(F523, '[1]Can Matrix'!$M:$X, 12, FALSE)=0, "", "TMS_Enum_" &amp; VLOOKUP(F523, '[1]Can Matrix'!$M:$X, 12, FALSE)), "")</f>
        <v>TMS_Enum_Err1</v>
      </c>
      <c r="O523" s="17"/>
      <c r="P523" s="17"/>
      <c r="Q523" s="17"/>
      <c r="R523" s="17"/>
      <c r="S523" s="17"/>
      <c r="T523" s="17"/>
      <c r="U523" s="17"/>
      <c r="V523" s="17"/>
      <c r="W523" s="17"/>
      <c r="X523" s="103"/>
      <c r="Y523" s="17"/>
      <c r="Z523" s="101" t="str">
        <f>IF(N523="", "", IF(ISNUMBER(MATCH(N523, TextTables!A:A, 0)), "Y", "N"))</f>
        <v>Y</v>
      </c>
      <c r="AA523" s="101" t="str">
        <f>IF(ISNUMBER(MATCH(F523, '[1]Can Matrix'!M:M, 0)), "Y", "N")</f>
        <v>Y</v>
      </c>
    </row>
    <row r="524" spans="1:27" ht="16.8">
      <c r="A524" s="17"/>
      <c r="B524" s="17"/>
      <c r="C524" s="17"/>
      <c r="D524" s="17" t="s">
        <v>143</v>
      </c>
      <c r="E524" s="17"/>
      <c r="F524" s="17" t="s">
        <v>6360</v>
      </c>
      <c r="G524" s="17" t="s">
        <v>6360</v>
      </c>
      <c r="H524" s="17"/>
      <c r="I524" s="97">
        <f>VLOOKUP(F524, '[1]Can Matrix'!$M:$X, 2, FALSE)</f>
        <v>1</v>
      </c>
      <c r="J524" s="17" t="str">
        <f t="shared" si="8"/>
        <v>uint8</v>
      </c>
      <c r="K524" s="17"/>
      <c r="L524" s="17"/>
      <c r="M524" s="100" t="str">
        <f>'[1]Can Matrix'!$R$2</f>
        <v>Unsigned</v>
      </c>
      <c r="N524" s="101" t="str">
        <f>IFERROR(IF(VLOOKUP(F524, '[1]Can Matrix'!$M:$X, 12, FALSE)=0, "", "TMS_Enum_" &amp; VLOOKUP(F524, '[1]Can Matrix'!$M:$X, 12, FALSE)), "")</f>
        <v>TMS_Enum_Err1</v>
      </c>
      <c r="O524" s="17"/>
      <c r="P524" s="17"/>
      <c r="Q524" s="17"/>
      <c r="R524" s="17"/>
      <c r="S524" s="17"/>
      <c r="T524" s="17"/>
      <c r="U524" s="17"/>
      <c r="V524" s="17"/>
      <c r="W524" s="17"/>
      <c r="X524" s="103"/>
      <c r="Y524" s="17"/>
      <c r="Z524" s="101" t="str">
        <f>IF(N524="", "", IF(ISNUMBER(MATCH(N524, TextTables!A:A, 0)), "Y", "N"))</f>
        <v>Y</v>
      </c>
      <c r="AA524" s="101" t="str">
        <f>IF(ISNUMBER(MATCH(F524, '[1]Can Matrix'!M:M, 0)), "Y", "N")</f>
        <v>Y</v>
      </c>
    </row>
    <row r="525" spans="1:27" ht="16.8">
      <c r="A525" s="17"/>
      <c r="B525" s="17"/>
      <c r="C525" s="17"/>
      <c r="D525" s="17" t="s">
        <v>143</v>
      </c>
      <c r="E525" s="17"/>
      <c r="F525" s="17" t="s">
        <v>6361</v>
      </c>
      <c r="G525" s="17" t="s">
        <v>6361</v>
      </c>
      <c r="H525" s="17"/>
      <c r="I525" s="97">
        <f>VLOOKUP(F525, '[1]Can Matrix'!$M:$X, 2, FALSE)</f>
        <v>2</v>
      </c>
      <c r="J525" s="17" t="str">
        <f t="shared" si="8"/>
        <v>uint8</v>
      </c>
      <c r="K525" s="17"/>
      <c r="L525" s="17"/>
      <c r="M525" s="100" t="str">
        <f>'[1]Can Matrix'!$R$2</f>
        <v>Unsigned</v>
      </c>
      <c r="N525" s="101" t="str">
        <f>IFERROR(IF(VLOOKUP(F525, '[1]Can Matrix'!$M:$X, 12, FALSE)=0, "", "TMS_Enum_" &amp; VLOOKUP(F525, '[1]Can Matrix'!$M:$X, 12, FALSE)), "")</f>
        <v>TMS_Enum_TempErr</v>
      </c>
      <c r="O525" s="17"/>
      <c r="P525" s="17"/>
      <c r="Q525" s="17"/>
      <c r="R525" s="17"/>
      <c r="S525" s="17"/>
      <c r="T525" s="17"/>
      <c r="U525" s="17"/>
      <c r="V525" s="17"/>
      <c r="W525" s="17"/>
      <c r="X525" s="103"/>
      <c r="Y525" s="17"/>
      <c r="Z525" s="101" t="str">
        <f>IF(N525="", "", IF(ISNUMBER(MATCH(N525, TextTables!A:A, 0)), "Y", "N"))</f>
        <v>Y</v>
      </c>
      <c r="AA525" s="101" t="str">
        <f>IF(ISNUMBER(MATCH(F525, '[1]Can Matrix'!M:M, 0)), "Y", "N")</f>
        <v>Y</v>
      </c>
    </row>
    <row r="526" spans="1:27" ht="16.8">
      <c r="A526" s="17"/>
      <c r="B526" s="17"/>
      <c r="C526" s="17"/>
      <c r="D526" s="17" t="s">
        <v>143</v>
      </c>
      <c r="E526" s="17"/>
      <c r="F526" s="17" t="s">
        <v>6362</v>
      </c>
      <c r="G526" s="17" t="s">
        <v>6362</v>
      </c>
      <c r="H526" s="17"/>
      <c r="I526" s="97">
        <f>VLOOKUP(F526, '[1]Can Matrix'!$M:$X, 2, FALSE)</f>
        <v>1</v>
      </c>
      <c r="J526" s="17" t="str">
        <f t="shared" si="8"/>
        <v>uint8</v>
      </c>
      <c r="K526" s="17"/>
      <c r="L526" s="17"/>
      <c r="M526" s="100" t="str">
        <f>'[1]Can Matrix'!$R$2</f>
        <v>Unsigned</v>
      </c>
      <c r="N526" s="101" t="str">
        <f>IFERROR(IF(VLOOKUP(F526, '[1]Can Matrix'!$M:$X, 12, FALSE)=0, "", "TMS_Enum_" &amp; VLOOKUP(F526, '[1]Can Matrix'!$M:$X, 12, FALSE)), "")</f>
        <v>TMS_Enum_Err1</v>
      </c>
      <c r="O526" s="17"/>
      <c r="P526" s="17"/>
      <c r="Q526" s="17"/>
      <c r="R526" s="17"/>
      <c r="S526" s="17"/>
      <c r="T526" s="17"/>
      <c r="U526" s="17"/>
      <c r="V526" s="17"/>
      <c r="W526" s="17"/>
      <c r="X526" s="103"/>
      <c r="Y526" s="17"/>
      <c r="Z526" s="101" t="str">
        <f>IF(N526="", "", IF(ISNUMBER(MATCH(N526, TextTables!A:A, 0)), "Y", "N"))</f>
        <v>Y</v>
      </c>
      <c r="AA526" s="101" t="str">
        <f>IF(ISNUMBER(MATCH(F526, '[1]Can Matrix'!M:M, 0)), "Y", "N")</f>
        <v>Y</v>
      </c>
    </row>
    <row r="527" spans="1:27" ht="16.8">
      <c r="A527" s="17"/>
      <c r="B527" s="17"/>
      <c r="C527" s="17"/>
      <c r="D527" s="17" t="s">
        <v>143</v>
      </c>
      <c r="E527" s="17"/>
      <c r="F527" s="17" t="s">
        <v>6363</v>
      </c>
      <c r="G527" s="17" t="s">
        <v>6363</v>
      </c>
      <c r="H527" s="17"/>
      <c r="I527" s="97">
        <f>VLOOKUP(F527, '[1]Can Matrix'!$M:$X, 2, FALSE)</f>
        <v>3</v>
      </c>
      <c r="J527" s="17" t="str">
        <f t="shared" si="8"/>
        <v>uint8</v>
      </c>
      <c r="K527" s="17"/>
      <c r="L527" s="17"/>
      <c r="M527" s="100" t="str">
        <f>'[1]Can Matrix'!$R$2</f>
        <v>Unsigned</v>
      </c>
      <c r="N527" s="101" t="str">
        <f>IFERROR(IF(VLOOKUP(F527, '[1]Can Matrix'!$M:$X, 12, FALSE)=0, "", "TMS_Enum_" &amp; VLOOKUP(F527, '[1]Can Matrix'!$M:$X, 12, FALSE)), "")</f>
        <v>TMS_Enum_CmpmtAirPmLvl</v>
      </c>
      <c r="O527" s="17"/>
      <c r="P527" s="17"/>
      <c r="Q527" s="17"/>
      <c r="R527" s="17"/>
      <c r="S527" s="17"/>
      <c r="T527" s="17"/>
      <c r="U527" s="17"/>
      <c r="V527" s="17"/>
      <c r="W527" s="17"/>
      <c r="X527" s="103"/>
      <c r="Y527" s="17"/>
      <c r="Z527" s="101" t="str">
        <f>IF(N527="", "", IF(ISNUMBER(MATCH(N527, TextTables!A:A, 0)), "Y", "N"))</f>
        <v>Y</v>
      </c>
      <c r="AA527" s="101" t="str">
        <f>IF(ISNUMBER(MATCH(F527, '[1]Can Matrix'!M:M, 0)), "Y", "N")</f>
        <v>Y</v>
      </c>
    </row>
    <row r="528" spans="1:27" ht="16.8">
      <c r="A528" s="17"/>
      <c r="B528" s="17"/>
      <c r="C528" s="17"/>
      <c r="D528" s="17" t="s">
        <v>143</v>
      </c>
      <c r="E528" s="17"/>
      <c r="F528" s="17" t="s">
        <v>6364</v>
      </c>
      <c r="G528" s="17" t="s">
        <v>6364</v>
      </c>
      <c r="H528" s="17"/>
      <c r="I528" s="97">
        <f>VLOOKUP(F528, '[1]Can Matrix'!$M:$X, 2, FALSE)</f>
        <v>10</v>
      </c>
      <c r="J528" s="17" t="str">
        <f t="shared" si="8"/>
        <v>uint16</v>
      </c>
      <c r="K528" s="17"/>
      <c r="L528" s="17"/>
      <c r="M528" s="100" t="str">
        <f>'[1]Can Matrix'!$R$2</f>
        <v>Unsigned</v>
      </c>
      <c r="N528" s="101" t="str">
        <f>IFERROR(IF(VLOOKUP(F528, '[1]Can Matrix'!$M:$X, 12, FALSE)=0, "", "TMS_Enum_" &amp; VLOOKUP(F528, '[1]Can Matrix'!$M:$X, 12, FALSE)), "")</f>
        <v/>
      </c>
      <c r="O528" s="17"/>
      <c r="P528" s="17"/>
      <c r="Q528" s="17"/>
      <c r="R528" s="17"/>
      <c r="S528" s="17"/>
      <c r="T528" s="17"/>
      <c r="U528" s="17"/>
      <c r="V528" s="17"/>
      <c r="W528" s="17"/>
      <c r="X528" s="103"/>
      <c r="Y528" s="17"/>
      <c r="Z528" s="101" t="str">
        <f>IF(N528="", "", IF(ISNUMBER(MATCH(N528, TextTables!A:A, 0)), "Y", "N"))</f>
        <v/>
      </c>
      <c r="AA528" s="101" t="str">
        <f>IF(ISNUMBER(MATCH(F528, '[1]Can Matrix'!M:M, 0)), "Y", "N")</f>
        <v>Y</v>
      </c>
    </row>
    <row r="529" spans="1:27" ht="16.8">
      <c r="A529" s="17"/>
      <c r="B529" s="17"/>
      <c r="C529" s="17"/>
      <c r="D529" s="17" t="s">
        <v>143</v>
      </c>
      <c r="E529" s="17"/>
      <c r="F529" s="17" t="s">
        <v>6365</v>
      </c>
      <c r="G529" s="17" t="s">
        <v>6365</v>
      </c>
      <c r="H529" s="17"/>
      <c r="I529" s="97">
        <f>VLOOKUP(F529, '[1]Can Matrix'!$M:$X, 2, FALSE)</f>
        <v>10</v>
      </c>
      <c r="J529" s="17" t="str">
        <f t="shared" si="8"/>
        <v>uint16</v>
      </c>
      <c r="K529" s="17"/>
      <c r="L529" s="17"/>
      <c r="M529" s="100" t="str">
        <f>'[1]Can Matrix'!$R$2</f>
        <v>Unsigned</v>
      </c>
      <c r="N529" s="101" t="str">
        <f>IFERROR(IF(VLOOKUP(F529, '[1]Can Matrix'!$M:$X, 12, FALSE)=0, "", "TMS_Enum_" &amp; VLOOKUP(F529, '[1]Can Matrix'!$M:$X, 12, FALSE)), "")</f>
        <v/>
      </c>
      <c r="O529" s="17"/>
      <c r="P529" s="17"/>
      <c r="Q529" s="17"/>
      <c r="R529" s="17"/>
      <c r="S529" s="17"/>
      <c r="T529" s="17"/>
      <c r="U529" s="17"/>
      <c r="V529" s="17"/>
      <c r="W529" s="17"/>
      <c r="X529" s="103"/>
      <c r="Y529" s="17"/>
      <c r="Z529" s="101" t="str">
        <f>IF(N529="", "", IF(ISNUMBER(MATCH(N529, TextTables!A:A, 0)), "Y", "N"))</f>
        <v/>
      </c>
      <c r="AA529" s="101" t="str">
        <f>IF(ISNUMBER(MATCH(F529, '[1]Can Matrix'!M:M, 0)), "Y", "N")</f>
        <v>Y</v>
      </c>
    </row>
    <row r="530" spans="1:27" ht="16.8">
      <c r="A530" s="17"/>
      <c r="B530" s="17"/>
      <c r="C530" s="17"/>
      <c r="D530" s="17" t="s">
        <v>143</v>
      </c>
      <c r="E530" s="17"/>
      <c r="F530" s="17" t="s">
        <v>6366</v>
      </c>
      <c r="G530" s="17" t="s">
        <v>6366</v>
      </c>
      <c r="H530" s="17"/>
      <c r="I530" s="97">
        <f>VLOOKUP(F530, '[1]Can Matrix'!$M:$X, 2, FALSE)</f>
        <v>7</v>
      </c>
      <c r="J530" s="17" t="str">
        <f t="shared" si="8"/>
        <v>uint8</v>
      </c>
      <c r="K530" s="17"/>
      <c r="L530" s="17"/>
      <c r="M530" s="100" t="str">
        <f>'[1]Can Matrix'!$R$2</f>
        <v>Unsigned</v>
      </c>
      <c r="N530" s="101" t="str">
        <f>IFERROR(IF(VLOOKUP(F530, '[1]Can Matrix'!$M:$X, 12, FALSE)=0, "", "TMS_Enum_" &amp; VLOOKUP(F530, '[1]Can Matrix'!$M:$X, 12, FALSE)), "")</f>
        <v/>
      </c>
      <c r="O530" s="17"/>
      <c r="P530" s="17"/>
      <c r="Q530" s="17"/>
      <c r="R530" s="17"/>
      <c r="S530" s="17"/>
      <c r="T530" s="17"/>
      <c r="U530" s="17"/>
      <c r="V530" s="17"/>
      <c r="W530" s="17"/>
      <c r="X530" s="103"/>
      <c r="Y530" s="17"/>
      <c r="Z530" s="101" t="str">
        <f>IF(N530="", "", IF(ISNUMBER(MATCH(N530, TextTables!A:A, 0)), "Y", "N"))</f>
        <v/>
      </c>
      <c r="AA530" s="101" t="str">
        <f>IF(ISNUMBER(MATCH(F530, '[1]Can Matrix'!M:M, 0)), "Y", "N")</f>
        <v>Y</v>
      </c>
    </row>
    <row r="531" spans="1:27" ht="16.8">
      <c r="A531" s="17"/>
      <c r="B531" s="17"/>
      <c r="C531" s="17"/>
      <c r="D531" s="17" t="s">
        <v>143</v>
      </c>
      <c r="E531" s="17"/>
      <c r="F531" s="17" t="s">
        <v>6367</v>
      </c>
      <c r="G531" s="17" t="s">
        <v>6367</v>
      </c>
      <c r="H531" s="17"/>
      <c r="I531" s="97">
        <f>VLOOKUP(F531, '[1]Can Matrix'!$M:$X, 2, FALSE)</f>
        <v>2</v>
      </c>
      <c r="J531" s="17" t="str">
        <f t="shared" si="8"/>
        <v>uint8</v>
      </c>
      <c r="K531" s="17"/>
      <c r="L531" s="17"/>
      <c r="M531" s="100" t="str">
        <f>'[1]Can Matrix'!$R$2</f>
        <v>Unsigned</v>
      </c>
      <c r="N531" s="101" t="str">
        <f>IFERROR(IF(VLOOKUP(F531, '[1]Can Matrix'!$M:$X, 12, FALSE)=0, "", "TMS_Enum_" &amp; VLOOKUP(F531, '[1]Can Matrix'!$M:$X, 12, FALSE)), "")</f>
        <v>TMS_Enum_FanErr</v>
      </c>
      <c r="O531" s="17"/>
      <c r="P531" s="17"/>
      <c r="Q531" s="17"/>
      <c r="R531" s="17"/>
      <c r="S531" s="17"/>
      <c r="T531" s="17"/>
      <c r="U531" s="17"/>
      <c r="V531" s="17"/>
      <c r="W531" s="17"/>
      <c r="X531" s="103"/>
      <c r="Y531" s="17"/>
      <c r="Z531" s="101" t="str">
        <f>IF(N531="", "", IF(ISNUMBER(MATCH(N531, TextTables!A:A, 0)), "Y", "N"))</f>
        <v>Y</v>
      </c>
      <c r="AA531" s="101" t="str">
        <f>IF(ISNUMBER(MATCH(F531, '[1]Can Matrix'!M:M, 0)), "Y", "N")</f>
        <v>Y</v>
      </c>
    </row>
    <row r="532" spans="1:27" ht="16.8">
      <c r="A532" s="17"/>
      <c r="B532" s="17"/>
      <c r="C532" s="17"/>
      <c r="D532" s="17" t="s">
        <v>143</v>
      </c>
      <c r="E532" s="17"/>
      <c r="F532" s="17" t="s">
        <v>6368</v>
      </c>
      <c r="G532" s="17" t="s">
        <v>6368</v>
      </c>
      <c r="H532" s="17"/>
      <c r="I532" s="97">
        <f>VLOOKUP(F532, '[1]Can Matrix'!$M:$X, 2, FALSE)</f>
        <v>2</v>
      </c>
      <c r="J532" s="17" t="str">
        <f t="shared" si="8"/>
        <v>uint8</v>
      </c>
      <c r="K532" s="17"/>
      <c r="L532" s="17"/>
      <c r="M532" s="100" t="str">
        <f>'[1]Can Matrix'!$R$2</f>
        <v>Unsigned</v>
      </c>
      <c r="N532" s="101" t="str">
        <f>IFERROR(IF(VLOOKUP(F532, '[1]Can Matrix'!$M:$X, 12, FALSE)=0, "", "TMS_Enum_" &amp; VLOOKUP(F532, '[1]Can Matrix'!$M:$X, 12, FALSE)), "")</f>
        <v>TMS_Enum_VentnActr01UrgcExist</v>
      </c>
      <c r="O532" s="17"/>
      <c r="P532" s="17"/>
      <c r="Q532" s="17"/>
      <c r="R532" s="17"/>
      <c r="S532" s="17"/>
      <c r="T532" s="17"/>
      <c r="U532" s="17"/>
      <c r="V532" s="17"/>
      <c r="W532" s="17"/>
      <c r="X532" s="103"/>
      <c r="Y532" s="17"/>
      <c r="Z532" s="101" t="str">
        <f>IF(N532="", "", IF(ISNUMBER(MATCH(N532, TextTables!A:A, 0)), "Y", "N"))</f>
        <v>Y</v>
      </c>
      <c r="AA532" s="101" t="str">
        <f>IF(ISNUMBER(MATCH(F532, '[1]Can Matrix'!M:M, 0)), "Y", "N")</f>
        <v>Y</v>
      </c>
    </row>
    <row r="533" spans="1:27" ht="16.8">
      <c r="A533" s="17"/>
      <c r="B533" s="17"/>
      <c r="C533" s="17"/>
      <c r="D533" s="17" t="s">
        <v>143</v>
      </c>
      <c r="E533" s="17"/>
      <c r="F533" s="17" t="s">
        <v>6369</v>
      </c>
      <c r="G533" s="17" t="s">
        <v>6369</v>
      </c>
      <c r="H533" s="17"/>
      <c r="I533" s="97">
        <f>VLOOKUP(F533, '[1]Can Matrix'!$M:$X, 2, FALSE)</f>
        <v>2</v>
      </c>
      <c r="J533" s="17" t="str">
        <f t="shared" si="8"/>
        <v>uint8</v>
      </c>
      <c r="K533" s="17"/>
      <c r="L533" s="17"/>
      <c r="M533" s="100" t="str">
        <f>'[1]Can Matrix'!$R$2</f>
        <v>Unsigned</v>
      </c>
      <c r="N533" s="101" t="str">
        <f>IFERROR(IF(VLOOKUP(F533, '[1]Can Matrix'!$M:$X, 12, FALSE)=0, "", "TMS_Enum_" &amp; VLOOKUP(F533, '[1]Can Matrix'!$M:$X, 12, FALSE)), "")</f>
        <v>TMS_Enum_TempErr</v>
      </c>
      <c r="O533" s="17"/>
      <c r="P533" s="17"/>
      <c r="Q533" s="17"/>
      <c r="R533" s="17"/>
      <c r="S533" s="17"/>
      <c r="T533" s="17"/>
      <c r="U533" s="17"/>
      <c r="V533" s="17"/>
      <c r="W533" s="17"/>
      <c r="X533" s="103"/>
      <c r="Y533" s="17"/>
      <c r="Z533" s="101" t="str">
        <f>IF(N533="", "", IF(ISNUMBER(MATCH(N533, TextTables!A:A, 0)), "Y", "N"))</f>
        <v>Y</v>
      </c>
      <c r="AA533" s="101" t="str">
        <f>IF(ISNUMBER(MATCH(F533, '[1]Can Matrix'!M:M, 0)), "Y", "N")</f>
        <v>Y</v>
      </c>
    </row>
    <row r="534" spans="1:27" ht="16.8">
      <c r="A534" s="17"/>
      <c r="B534" s="17"/>
      <c r="C534" s="17"/>
      <c r="D534" s="17" t="s">
        <v>143</v>
      </c>
      <c r="E534" s="17"/>
      <c r="F534" s="17" t="s">
        <v>6370</v>
      </c>
      <c r="G534" s="17" t="s">
        <v>6370</v>
      </c>
      <c r="H534" s="17"/>
      <c r="I534" s="97">
        <f>VLOOKUP(F534, '[1]Can Matrix'!$M:$X, 2, FALSE)</f>
        <v>2</v>
      </c>
      <c r="J534" s="17" t="str">
        <f t="shared" si="8"/>
        <v>uint8</v>
      </c>
      <c r="K534" s="17"/>
      <c r="L534" s="17"/>
      <c r="M534" s="100" t="str">
        <f>'[1]Can Matrix'!$R$2</f>
        <v>Unsigned</v>
      </c>
      <c r="N534" s="101" t="str">
        <f>IFERROR(IF(VLOOKUP(F534, '[1]Can Matrix'!$M:$X, 12, FALSE)=0, "", "TMS_Enum_" &amp; VLOOKUP(F534, '[1]Can Matrix'!$M:$X, 12, FALSE)), "")</f>
        <v>TMS_Enum_PmSnrVoltgRangErr</v>
      </c>
      <c r="O534" s="17"/>
      <c r="P534" s="17"/>
      <c r="Q534" s="17"/>
      <c r="R534" s="17"/>
      <c r="S534" s="17"/>
      <c r="T534" s="17"/>
      <c r="U534" s="17"/>
      <c r="V534" s="17"/>
      <c r="W534" s="17"/>
      <c r="X534" s="103"/>
      <c r="Y534" s="17"/>
      <c r="Z534" s="101" t="str">
        <f>IF(N534="", "", IF(ISNUMBER(MATCH(N534, TextTables!A:A, 0)), "Y", "N"))</f>
        <v>Y</v>
      </c>
      <c r="AA534" s="101" t="str">
        <f>IF(ISNUMBER(MATCH(F534, '[1]Can Matrix'!M:M, 0)), "Y", "N")</f>
        <v>Y</v>
      </c>
    </row>
    <row r="535" spans="1:27" ht="16.8">
      <c r="A535" s="17"/>
      <c r="B535" s="17"/>
      <c r="C535" s="17"/>
      <c r="D535" s="17" t="s">
        <v>143</v>
      </c>
      <c r="E535" s="17"/>
      <c r="F535" s="17" t="s">
        <v>6371</v>
      </c>
      <c r="G535" s="17" t="s">
        <v>6371</v>
      </c>
      <c r="H535" s="17"/>
      <c r="I535" s="97">
        <f>VLOOKUP(F535, '[1]Can Matrix'!$M:$X, 2, FALSE)</f>
        <v>1</v>
      </c>
      <c r="J535" s="17" t="str">
        <f t="shared" si="8"/>
        <v>uint8</v>
      </c>
      <c r="K535" s="17"/>
      <c r="L535" s="17"/>
      <c r="M535" s="100" t="str">
        <f>'[1]Can Matrix'!$R$2</f>
        <v>Unsigned</v>
      </c>
      <c r="N535" s="101" t="str">
        <f>IFERROR(IF(VLOOKUP(F535, '[1]Can Matrix'!$M:$X, 12, FALSE)=0, "", "TMS_Enum_" &amp; VLOOKUP(F535, '[1]Can Matrix'!$M:$X, 12, FALSE)), "")</f>
        <v>TMS_Enum_OnOff1</v>
      </c>
      <c r="O535" s="17"/>
      <c r="P535" s="17"/>
      <c r="Q535" s="17"/>
      <c r="R535" s="17"/>
      <c r="S535" s="17"/>
      <c r="T535" s="17"/>
      <c r="U535" s="17"/>
      <c r="V535" s="17"/>
      <c r="W535" s="17"/>
      <c r="X535" s="103"/>
      <c r="Y535" s="17"/>
      <c r="Z535" s="101" t="str">
        <f>IF(N535="", "", IF(ISNUMBER(MATCH(N535, TextTables!A:A, 0)), "Y", "N"))</f>
        <v>Y</v>
      </c>
      <c r="AA535" s="101" t="str">
        <f>IF(ISNUMBER(MATCH(F535, '[1]Can Matrix'!M:M, 0)), "Y", "N")</f>
        <v>Y</v>
      </c>
    </row>
    <row r="536" spans="1:27" ht="16.8">
      <c r="A536" s="17"/>
      <c r="B536" s="17"/>
      <c r="C536" s="17"/>
      <c r="D536" s="17" t="s">
        <v>143</v>
      </c>
      <c r="E536" s="17"/>
      <c r="F536" s="17" t="s">
        <v>6372</v>
      </c>
      <c r="G536" s="17" t="s">
        <v>6372</v>
      </c>
      <c r="H536" s="17"/>
      <c r="I536" s="97">
        <f>VLOOKUP(F536, '[1]Can Matrix'!$M:$X, 2, FALSE)</f>
        <v>2</v>
      </c>
      <c r="J536" s="17" t="str">
        <f t="shared" si="8"/>
        <v>uint8</v>
      </c>
      <c r="K536" s="17"/>
      <c r="L536" s="17"/>
      <c r="M536" s="100" t="str">
        <f>'[1]Can Matrix'!$R$2</f>
        <v>Unsigned</v>
      </c>
      <c r="N536" s="101" t="str">
        <f>IFERROR(IF(VLOOKUP(F536, '[1]Can Matrix'!$M:$X, 12, FALSE)=0, "", "TMS_Enum_" &amp; VLOOKUP(F536, '[1]Can Matrix'!$M:$X, 12, FALSE)), "")</f>
        <v>TMS_Enum_PmSnsrErrSts</v>
      </c>
      <c r="O536" s="17"/>
      <c r="P536" s="17"/>
      <c r="Q536" s="17"/>
      <c r="R536" s="17"/>
      <c r="S536" s="17"/>
      <c r="T536" s="17"/>
      <c r="U536" s="17"/>
      <c r="V536" s="17"/>
      <c r="W536" s="17"/>
      <c r="X536" s="103"/>
      <c r="Y536" s="17"/>
      <c r="Z536" s="101" t="str">
        <f>IF(N536="", "", IF(ISNUMBER(MATCH(N536, TextTables!A:A, 0)), "Y", "N"))</f>
        <v>Y</v>
      </c>
      <c r="AA536" s="101" t="str">
        <f>IF(ISNUMBER(MATCH(F536, '[1]Can Matrix'!M:M, 0)), "Y", "N")</f>
        <v>Y</v>
      </c>
    </row>
    <row r="537" spans="1:27" ht="16.8">
      <c r="A537" s="17"/>
      <c r="B537" s="17"/>
      <c r="C537" s="17"/>
      <c r="D537" s="17" t="s">
        <v>143</v>
      </c>
      <c r="E537" s="17"/>
      <c r="F537" s="17" t="s">
        <v>6373</v>
      </c>
      <c r="G537" s="17" t="s">
        <v>6373</v>
      </c>
      <c r="H537" s="17"/>
      <c r="I537" s="97">
        <f>VLOOKUP(F537, '[1]Can Matrix'!$M:$X, 2, FALSE)</f>
        <v>2</v>
      </c>
      <c r="J537" s="17" t="str">
        <f t="shared" si="8"/>
        <v>uint8</v>
      </c>
      <c r="K537" s="17"/>
      <c r="L537" s="17"/>
      <c r="M537" s="100" t="str">
        <f>'[1]Can Matrix'!$R$2</f>
        <v>Unsigned</v>
      </c>
      <c r="N537" s="101" t="str">
        <f>IFERROR(IF(VLOOKUP(F537, '[1]Can Matrix'!$M:$X, 12, FALSE)=0, "", "TMS_Enum_" &amp; VLOOKUP(F537, '[1]Can Matrix'!$M:$X, 12, FALSE)), "")</f>
        <v>TMS_Enum_PmSnsrSts</v>
      </c>
      <c r="O537" s="17"/>
      <c r="P537" s="17"/>
      <c r="Q537" s="17"/>
      <c r="R537" s="17"/>
      <c r="S537" s="17"/>
      <c r="T537" s="17"/>
      <c r="U537" s="17"/>
      <c r="V537" s="17"/>
      <c r="W537" s="17"/>
      <c r="X537" s="103"/>
      <c r="Y537" s="17"/>
      <c r="Z537" s="101" t="str">
        <f>IF(N537="", "", IF(ISNUMBER(MATCH(N537, TextTables!A:A, 0)), "Y", "N"))</f>
        <v>Y</v>
      </c>
      <c r="AA537" s="101" t="str">
        <f>IF(ISNUMBER(MATCH(F537, '[1]Can Matrix'!M:M, 0)), "Y", "N")</f>
        <v>Y</v>
      </c>
    </row>
    <row r="538" spans="1:27" ht="16.8">
      <c r="A538" s="17"/>
      <c r="B538" s="17"/>
      <c r="C538" s="17"/>
      <c r="D538" s="17" t="s">
        <v>143</v>
      </c>
      <c r="E538" s="17"/>
      <c r="F538" s="17" t="s">
        <v>6374</v>
      </c>
      <c r="G538" s="17" t="s">
        <v>6374</v>
      </c>
      <c r="H538" s="17"/>
      <c r="I538" s="97">
        <f>VLOOKUP(F538, '[1]Can Matrix'!$M:$X, 2, FALSE)</f>
        <v>11</v>
      </c>
      <c r="J538" s="17" t="str">
        <f t="shared" si="8"/>
        <v>uint16</v>
      </c>
      <c r="K538" s="17"/>
      <c r="L538" s="17"/>
      <c r="M538" s="100" t="str">
        <f>'[1]Can Matrix'!$R$2</f>
        <v>Unsigned</v>
      </c>
      <c r="N538" s="101" t="str">
        <f>IFERROR(IF(VLOOKUP(F538, '[1]Can Matrix'!$M:$X, 12, FALSE)=0, "", "TMS_Enum_" &amp; VLOOKUP(F538, '[1]Can Matrix'!$M:$X, 12, FALSE)), "")</f>
        <v/>
      </c>
      <c r="O538" s="17"/>
      <c r="P538" s="17"/>
      <c r="Q538" s="17"/>
      <c r="R538" s="17"/>
      <c r="S538" s="17"/>
      <c r="T538" s="17"/>
      <c r="U538" s="17"/>
      <c r="V538" s="17"/>
      <c r="W538" s="17"/>
      <c r="X538" s="103"/>
      <c r="Y538" s="17"/>
      <c r="Z538" s="101" t="str">
        <f>IF(N538="", "", IF(ISNUMBER(MATCH(N538, TextTables!A:A, 0)), "Y", "N"))</f>
        <v/>
      </c>
      <c r="AA538" s="101" t="str">
        <f>IF(ISNUMBER(MATCH(F538, '[1]Can Matrix'!M:M, 0)), "Y", "N")</f>
        <v>Y</v>
      </c>
    </row>
    <row r="539" spans="1:27" ht="16.8">
      <c r="A539" s="17"/>
      <c r="B539" s="17"/>
      <c r="C539" s="17"/>
      <c r="D539" s="17" t="s">
        <v>143</v>
      </c>
      <c r="E539" s="17"/>
      <c r="F539" s="17" t="s">
        <v>6375</v>
      </c>
      <c r="G539" s="17" t="s">
        <v>6375</v>
      </c>
      <c r="H539" s="17"/>
      <c r="I539" s="97">
        <f>VLOOKUP(F539, '[1]Can Matrix'!$M:$X, 2, FALSE)</f>
        <v>2</v>
      </c>
      <c r="J539" s="17" t="str">
        <f t="shared" si="8"/>
        <v>uint8</v>
      </c>
      <c r="K539" s="17"/>
      <c r="L539" s="17"/>
      <c r="M539" s="100" t="str">
        <f>'[1]Can Matrix'!$R$2</f>
        <v>Unsigned</v>
      </c>
      <c r="N539" s="101" t="str">
        <f>IFERROR(IF(VLOOKUP(F539, '[1]Can Matrix'!$M:$X, 12, FALSE)=0, "", "TMS_Enum_" &amp; VLOOKUP(F539, '[1]Can Matrix'!$M:$X, 12, FALSE)), "")</f>
        <v>TMS_Enum_GenQf1</v>
      </c>
      <c r="O539" s="17"/>
      <c r="P539" s="17"/>
      <c r="Q539" s="17"/>
      <c r="R539" s="17"/>
      <c r="S539" s="17"/>
      <c r="T539" s="17"/>
      <c r="U539" s="17"/>
      <c r="V539" s="17"/>
      <c r="W539" s="17"/>
      <c r="X539" s="103"/>
      <c r="Y539" s="17"/>
      <c r="Z539" s="101" t="str">
        <f>IF(N539="", "", IF(ISNUMBER(MATCH(N539, TextTables!A:A, 0)), "Y", "N"))</f>
        <v>Y</v>
      </c>
      <c r="AA539" s="101" t="str">
        <f>IF(ISNUMBER(MATCH(F539, '[1]Can Matrix'!M:M, 0)), "Y", "N")</f>
        <v>Y</v>
      </c>
    </row>
    <row r="540" spans="1:27" ht="16.8">
      <c r="A540" s="17"/>
      <c r="B540" s="17"/>
      <c r="C540" s="17"/>
      <c r="D540" s="17" t="s">
        <v>143</v>
      </c>
      <c r="E540" s="17"/>
      <c r="F540" s="17" t="s">
        <v>6376</v>
      </c>
      <c r="G540" s="17" t="s">
        <v>6376</v>
      </c>
      <c r="H540" s="17"/>
      <c r="I540" s="97">
        <f>VLOOKUP(F540, '[1]Can Matrix'!$M:$X, 2, FALSE)</f>
        <v>2</v>
      </c>
      <c r="J540" s="17" t="str">
        <f t="shared" si="8"/>
        <v>uint8</v>
      </c>
      <c r="K540" s="17"/>
      <c r="L540" s="17"/>
      <c r="M540" s="100" t="str">
        <f>'[1]Can Matrix'!$R$2</f>
        <v>Unsigned</v>
      </c>
      <c r="N540" s="101" t="str">
        <f>IFERROR(IF(VLOOKUP(F540, '[1]Can Matrix'!$M:$X, 12, FALSE)=0, "", "TMS_Enum_" &amp; VLOOKUP(F540, '[1]Can Matrix'!$M:$X, 12, FALSE)), "")</f>
        <v>TMS_Enum_AirMtrlSnsrReq</v>
      </c>
      <c r="O540" s="17"/>
      <c r="P540" s="17"/>
      <c r="Q540" s="17"/>
      <c r="R540" s="17"/>
      <c r="S540" s="17"/>
      <c r="T540" s="17"/>
      <c r="U540" s="17"/>
      <c r="V540" s="17"/>
      <c r="W540" s="17"/>
      <c r="X540" s="103"/>
      <c r="Y540" s="17"/>
      <c r="Z540" s="101" t="str">
        <f>IF(N540="", "", IF(ISNUMBER(MATCH(N540, TextTables!A:A, 0)), "Y", "N"))</f>
        <v>Y</v>
      </c>
      <c r="AA540" s="101" t="str">
        <f>IF(ISNUMBER(MATCH(F540, '[1]Can Matrix'!M:M, 0)), "Y", "N")</f>
        <v>Y</v>
      </c>
    </row>
    <row r="541" spans="1:27" ht="16.8">
      <c r="A541" s="17"/>
      <c r="B541" s="17"/>
      <c r="C541" s="17"/>
      <c r="D541" s="17" t="s">
        <v>143</v>
      </c>
      <c r="E541" s="17"/>
      <c r="F541" s="17" t="s">
        <v>6377</v>
      </c>
      <c r="G541" s="17" t="s">
        <v>6377</v>
      </c>
      <c r="H541" s="17"/>
      <c r="I541" s="97">
        <f>VLOOKUP(F541, '[1]Can Matrix'!$M:$X, 2, FALSE)</f>
        <v>5</v>
      </c>
      <c r="J541" s="17" t="str">
        <f t="shared" si="8"/>
        <v>uint8</v>
      </c>
      <c r="K541" s="17"/>
      <c r="L541" s="17"/>
      <c r="M541" s="100" t="str">
        <f>'[1]Can Matrix'!$R$2</f>
        <v>Unsigned</v>
      </c>
      <c r="N541" s="101" t="str">
        <f>IFERROR(IF(VLOOKUP(F541, '[1]Can Matrix'!$M:$X, 12, FALSE)=0, "", "TMS_Enum_" &amp; VLOOKUP(F541, '[1]Can Matrix'!$M:$X, 12, FALSE)), "")</f>
        <v>TMS_Enum_VehGlb</v>
      </c>
      <c r="O541" s="17"/>
      <c r="P541" s="17"/>
      <c r="Q541" s="17"/>
      <c r="R541" s="17"/>
      <c r="S541" s="17"/>
      <c r="T541" s="17"/>
      <c r="U541" s="17"/>
      <c r="V541" s="17"/>
      <c r="W541" s="17"/>
      <c r="X541" s="103"/>
      <c r="Y541" s="17"/>
      <c r="Z541" s="101" t="str">
        <f>IF(N541="", "", IF(ISNUMBER(MATCH(N541, TextTables!A:A, 0)), "Y", "N"))</f>
        <v>Y</v>
      </c>
      <c r="AA541" s="101" t="str">
        <f>IF(ISNUMBER(MATCH(F541, '[1]Can Matrix'!M:M, 0)), "Y", "N")</f>
        <v>Y</v>
      </c>
    </row>
    <row r="542" spans="1:27">
      <c r="F542"/>
    </row>
    <row r="543" spans="1:27">
      <c r="F543"/>
    </row>
    <row r="544" spans="1:27">
      <c r="F544"/>
    </row>
    <row r="545" spans="6:6">
      <c r="F545"/>
    </row>
    <row r="546" spans="6:6">
      <c r="F546"/>
    </row>
    <row r="547" spans="6:6">
      <c r="F547"/>
    </row>
    <row r="548" spans="6:6">
      <c r="F548"/>
    </row>
    <row r="549" spans="6:6">
      <c r="F549"/>
    </row>
    <row r="550" spans="6:6">
      <c r="F550"/>
    </row>
    <row r="551" spans="6:6">
      <c r="F551"/>
    </row>
    <row r="552" spans="6:6">
      <c r="F552"/>
    </row>
    <row r="553" spans="6:6">
      <c r="F553"/>
    </row>
    <row r="554" spans="6:6">
      <c r="F554"/>
    </row>
    <row r="555" spans="6:6">
      <c r="F555"/>
    </row>
    <row r="556" spans="6:6">
      <c r="F556"/>
    </row>
    <row r="557" spans="6:6">
      <c r="F557"/>
    </row>
    <row r="558" spans="6:6">
      <c r="F558"/>
    </row>
    <row r="559" spans="6:6">
      <c r="F559"/>
    </row>
    <row r="560" spans="6:6">
      <c r="F560"/>
    </row>
    <row r="561" spans="6:6">
      <c r="F561"/>
    </row>
    <row r="562" spans="6:6">
      <c r="F562"/>
    </row>
    <row r="563" spans="6:6">
      <c r="F563"/>
    </row>
    <row r="564" spans="6:6">
      <c r="F564"/>
    </row>
    <row r="565" spans="6:6">
      <c r="F565"/>
    </row>
    <row r="566" spans="6:6">
      <c r="F566"/>
    </row>
    <row r="567" spans="6:6">
      <c r="F567"/>
    </row>
    <row r="568" spans="6:6">
      <c r="F568"/>
    </row>
    <row r="569" spans="6:6">
      <c r="F569"/>
    </row>
    <row r="570" spans="6:6">
      <c r="F570"/>
    </row>
    <row r="571" spans="6:6">
      <c r="F571"/>
    </row>
    <row r="572" spans="6:6">
      <c r="F572"/>
    </row>
    <row r="573" spans="6:6">
      <c r="F573"/>
    </row>
    <row r="574" spans="6:6">
      <c r="F574"/>
    </row>
    <row r="575" spans="6:6">
      <c r="F575"/>
    </row>
    <row r="576" spans="6:6">
      <c r="F576"/>
    </row>
    <row r="577" spans="6:6">
      <c r="F577"/>
    </row>
    <row r="578" spans="6:6">
      <c r="F578"/>
    </row>
    <row r="579" spans="6:6">
      <c r="F579"/>
    </row>
    <row r="580" spans="6:6">
      <c r="F580"/>
    </row>
    <row r="581" spans="6:6">
      <c r="F581"/>
    </row>
    <row r="582" spans="6:6">
      <c r="F582"/>
    </row>
    <row r="583" spans="6:6">
      <c r="F583"/>
    </row>
    <row r="584" spans="6:6">
      <c r="F584"/>
    </row>
    <row r="585" spans="6:6">
      <c r="F585"/>
    </row>
    <row r="586" spans="6:6">
      <c r="F586"/>
    </row>
    <row r="587" spans="6:6">
      <c r="F587"/>
    </row>
    <row r="588" spans="6:6">
      <c r="F588"/>
    </row>
    <row r="589" spans="6:6">
      <c r="F589"/>
    </row>
    <row r="590" spans="6:6">
      <c r="F590"/>
    </row>
    <row r="591" spans="6:6">
      <c r="F591"/>
    </row>
    <row r="592" spans="6:6">
      <c r="F592"/>
    </row>
    <row r="593" spans="6:6">
      <c r="F593"/>
    </row>
    <row r="594" spans="6:6">
      <c r="F594"/>
    </row>
    <row r="595" spans="6:6">
      <c r="F595"/>
    </row>
    <row r="596" spans="6:6">
      <c r="F596"/>
    </row>
    <row r="597" spans="6:6">
      <c r="F597"/>
    </row>
    <row r="598" spans="6:6">
      <c r="F598"/>
    </row>
    <row r="599" spans="6:6">
      <c r="F599"/>
    </row>
    <row r="600" spans="6:6">
      <c r="F600"/>
    </row>
    <row r="601" spans="6:6">
      <c r="F601"/>
    </row>
    <row r="602" spans="6:6">
      <c r="F602"/>
    </row>
    <row r="603" spans="6:6">
      <c r="F603"/>
    </row>
    <row r="604" spans="6:6">
      <c r="F604"/>
    </row>
    <row r="605" spans="6:6">
      <c r="F605"/>
    </row>
    <row r="606" spans="6:6">
      <c r="F606"/>
    </row>
    <row r="607" spans="6:6">
      <c r="F607"/>
    </row>
    <row r="608" spans="6:6">
      <c r="F608"/>
    </row>
    <row r="609" spans="6:6">
      <c r="F609"/>
    </row>
    <row r="610" spans="6:6">
      <c r="F610"/>
    </row>
    <row r="611" spans="6:6">
      <c r="F611"/>
    </row>
    <row r="612" spans="6:6">
      <c r="F612"/>
    </row>
    <row r="613" spans="6:6">
      <c r="F613"/>
    </row>
    <row r="614" spans="6:6">
      <c r="F614"/>
    </row>
    <row r="615" spans="6:6">
      <c r="F615"/>
    </row>
    <row r="616" spans="6:6">
      <c r="F616"/>
    </row>
    <row r="617" spans="6:6">
      <c r="F617"/>
    </row>
    <row r="618" spans="6:6">
      <c r="F618"/>
    </row>
    <row r="619" spans="6:6">
      <c r="F619"/>
    </row>
    <row r="620" spans="6:6">
      <c r="F620"/>
    </row>
    <row r="621" spans="6:6">
      <c r="F621"/>
    </row>
    <row r="622" spans="6:6">
      <c r="F622"/>
    </row>
    <row r="623" spans="6:6">
      <c r="F623"/>
    </row>
    <row r="624" spans="6:6">
      <c r="F624"/>
    </row>
    <row r="625" spans="6:6">
      <c r="F625"/>
    </row>
    <row r="626" spans="6:6">
      <c r="F626"/>
    </row>
    <row r="627" spans="6:6">
      <c r="F627"/>
    </row>
    <row r="628" spans="6:6">
      <c r="F628"/>
    </row>
    <row r="629" spans="6:6">
      <c r="F629"/>
    </row>
    <row r="630" spans="6:6">
      <c r="F630"/>
    </row>
    <row r="631" spans="6:6">
      <c r="F631"/>
    </row>
    <row r="632" spans="6:6">
      <c r="F632"/>
    </row>
    <row r="633" spans="6:6">
      <c r="F633"/>
    </row>
    <row r="634" spans="6:6">
      <c r="F634"/>
    </row>
    <row r="635" spans="6:6">
      <c r="F635"/>
    </row>
    <row r="636" spans="6:6">
      <c r="F636"/>
    </row>
    <row r="637" spans="6:6">
      <c r="F637"/>
    </row>
    <row r="638" spans="6:6">
      <c r="F638"/>
    </row>
    <row r="639" spans="6:6">
      <c r="F639"/>
    </row>
    <row r="640" spans="6:6">
      <c r="F640"/>
    </row>
    <row r="641" spans="6:6">
      <c r="F641"/>
    </row>
    <row r="642" spans="6:6">
      <c r="F642"/>
    </row>
    <row r="643" spans="6:6">
      <c r="F643"/>
    </row>
    <row r="644" spans="6:6">
      <c r="F644"/>
    </row>
    <row r="645" spans="6:6">
      <c r="F645"/>
    </row>
    <row r="646" spans="6:6">
      <c r="F646"/>
    </row>
    <row r="647" spans="6:6">
      <c r="F647"/>
    </row>
    <row r="648" spans="6:6">
      <c r="F648"/>
    </row>
    <row r="649" spans="6:6">
      <c r="F649"/>
    </row>
    <row r="650" spans="6:6">
      <c r="F650"/>
    </row>
    <row r="651" spans="6:6">
      <c r="F651"/>
    </row>
    <row r="652" spans="6:6">
      <c r="F652"/>
    </row>
    <row r="653" spans="6:6">
      <c r="F653"/>
    </row>
    <row r="654" spans="6:6">
      <c r="F654"/>
    </row>
    <row r="655" spans="6:6">
      <c r="F655"/>
    </row>
    <row r="656" spans="6:6">
      <c r="F656"/>
    </row>
    <row r="657" spans="6:6">
      <c r="F657"/>
    </row>
    <row r="658" spans="6:6">
      <c r="F658"/>
    </row>
    <row r="659" spans="6:6">
      <c r="F659"/>
    </row>
    <row r="660" spans="6:6">
      <c r="F660"/>
    </row>
    <row r="661" spans="6:6">
      <c r="F661"/>
    </row>
    <row r="662" spans="6:6">
      <c r="F662"/>
    </row>
    <row r="663" spans="6:6">
      <c r="F663"/>
    </row>
    <row r="664" spans="6:6">
      <c r="F664"/>
    </row>
    <row r="665" spans="6:6">
      <c r="F665"/>
    </row>
    <row r="666" spans="6:6">
      <c r="F666"/>
    </row>
    <row r="667" spans="6:6">
      <c r="F667"/>
    </row>
    <row r="668" spans="6:6">
      <c r="F668"/>
    </row>
    <row r="669" spans="6:6">
      <c r="F669"/>
    </row>
    <row r="670" spans="6:6">
      <c r="F670"/>
    </row>
    <row r="671" spans="6:6">
      <c r="F671"/>
    </row>
    <row r="672" spans="6:6">
      <c r="F672"/>
    </row>
    <row r="673" spans="6:6">
      <c r="F673"/>
    </row>
    <row r="674" spans="6:6">
      <c r="F674"/>
    </row>
    <row r="675" spans="6:6">
      <c r="F675"/>
    </row>
    <row r="676" spans="6:6">
      <c r="F676"/>
    </row>
    <row r="677" spans="6:6">
      <c r="F677"/>
    </row>
    <row r="678" spans="6:6">
      <c r="F678"/>
    </row>
    <row r="679" spans="6:6">
      <c r="F679"/>
    </row>
    <row r="680" spans="6:6">
      <c r="F680"/>
    </row>
    <row r="681" spans="6:6">
      <c r="F681"/>
    </row>
    <row r="682" spans="6:6">
      <c r="F682"/>
    </row>
    <row r="683" spans="6:6">
      <c r="F683"/>
    </row>
    <row r="684" spans="6:6">
      <c r="F684"/>
    </row>
    <row r="685" spans="6:6">
      <c r="F685"/>
    </row>
    <row r="686" spans="6:6">
      <c r="F686"/>
    </row>
    <row r="687" spans="6:6">
      <c r="F687"/>
    </row>
    <row r="688" spans="6:6">
      <c r="F688"/>
    </row>
    <row r="689" spans="6:6">
      <c r="F689"/>
    </row>
    <row r="690" spans="6:6">
      <c r="F690"/>
    </row>
    <row r="691" spans="6:6">
      <c r="F691"/>
    </row>
    <row r="692" spans="6:6">
      <c r="F692"/>
    </row>
    <row r="693" spans="6:6">
      <c r="F693"/>
    </row>
    <row r="694" spans="6:6">
      <c r="F694"/>
    </row>
    <row r="695" spans="6:6">
      <c r="F695"/>
    </row>
    <row r="696" spans="6:6">
      <c r="F696"/>
    </row>
    <row r="697" spans="6:6">
      <c r="F697"/>
    </row>
    <row r="698" spans="6:6">
      <c r="F698"/>
    </row>
    <row r="699" spans="6:6">
      <c r="F699"/>
    </row>
    <row r="700" spans="6:6">
      <c r="F700"/>
    </row>
    <row r="701" spans="6:6">
      <c r="F701"/>
    </row>
    <row r="702" spans="6:6">
      <c r="F702"/>
    </row>
    <row r="703" spans="6:6">
      <c r="F703"/>
    </row>
    <row r="704" spans="6:6">
      <c r="F704"/>
    </row>
    <row r="705" spans="6:6">
      <c r="F705"/>
    </row>
    <row r="706" spans="6:6">
      <c r="F706"/>
    </row>
    <row r="707" spans="6:6">
      <c r="F707"/>
    </row>
    <row r="708" spans="6:6">
      <c r="F708"/>
    </row>
    <row r="709" spans="6:6">
      <c r="F709"/>
    </row>
    <row r="710" spans="6:6">
      <c r="F710"/>
    </row>
    <row r="711" spans="6:6">
      <c r="F711"/>
    </row>
    <row r="712" spans="6:6">
      <c r="F712"/>
    </row>
    <row r="713" spans="6:6">
      <c r="F713"/>
    </row>
    <row r="714" spans="6:6">
      <c r="F714"/>
    </row>
    <row r="715" spans="6:6">
      <c r="F715"/>
    </row>
    <row r="716" spans="6:6">
      <c r="F716"/>
    </row>
    <row r="717" spans="6:6">
      <c r="F717"/>
    </row>
    <row r="718" spans="6:6">
      <c r="F718"/>
    </row>
    <row r="719" spans="6:6">
      <c r="F719"/>
    </row>
    <row r="720" spans="6:6">
      <c r="F720"/>
    </row>
    <row r="721" spans="6:6">
      <c r="F721"/>
    </row>
    <row r="722" spans="6:6">
      <c r="F722"/>
    </row>
    <row r="723" spans="6:6">
      <c r="F723"/>
    </row>
    <row r="724" spans="6:6">
      <c r="F724"/>
    </row>
    <row r="725" spans="6:6">
      <c r="F725"/>
    </row>
    <row r="726" spans="6:6">
      <c r="F726"/>
    </row>
    <row r="727" spans="6:6">
      <c r="F727"/>
    </row>
    <row r="728" spans="6:6">
      <c r="F728"/>
    </row>
    <row r="729" spans="6:6">
      <c r="F729"/>
    </row>
    <row r="730" spans="6:6">
      <c r="F730"/>
    </row>
    <row r="731" spans="6:6">
      <c r="F731"/>
    </row>
    <row r="732" spans="6:6">
      <c r="F732"/>
    </row>
    <row r="733" spans="6:6">
      <c r="F733"/>
    </row>
    <row r="734" spans="6:6">
      <c r="F734"/>
    </row>
    <row r="735" spans="6:6">
      <c r="F735"/>
    </row>
    <row r="736" spans="6:6">
      <c r="F736"/>
    </row>
    <row r="737" spans="6:6">
      <c r="F737"/>
    </row>
    <row r="738" spans="6:6">
      <c r="F738"/>
    </row>
    <row r="739" spans="6:6">
      <c r="F739"/>
    </row>
    <row r="740" spans="6:6">
      <c r="F740"/>
    </row>
    <row r="741" spans="6:6">
      <c r="F741"/>
    </row>
    <row r="742" spans="6:6">
      <c r="F742"/>
    </row>
    <row r="743" spans="6:6">
      <c r="F743"/>
    </row>
    <row r="744" spans="6:6">
      <c r="F744"/>
    </row>
    <row r="745" spans="6:6">
      <c r="F745"/>
    </row>
    <row r="746" spans="6:6">
      <c r="F746"/>
    </row>
    <row r="747" spans="6:6">
      <c r="F747"/>
    </row>
    <row r="748" spans="6:6">
      <c r="F748"/>
    </row>
    <row r="749" spans="6:6">
      <c r="F749"/>
    </row>
    <row r="750" spans="6:6">
      <c r="F750"/>
    </row>
    <row r="751" spans="6:6">
      <c r="F751"/>
    </row>
    <row r="752" spans="6:6">
      <c r="F752"/>
    </row>
    <row r="753" spans="6:6">
      <c r="F753"/>
    </row>
    <row r="754" spans="6:6">
      <c r="F754"/>
    </row>
    <row r="755" spans="6:6">
      <c r="F755"/>
    </row>
    <row r="756" spans="6:6">
      <c r="F756"/>
    </row>
    <row r="757" spans="6:6">
      <c r="F757"/>
    </row>
    <row r="758" spans="6:6">
      <c r="F758"/>
    </row>
    <row r="759" spans="6:6">
      <c r="F759"/>
    </row>
    <row r="760" spans="6:6">
      <c r="F760"/>
    </row>
    <row r="761" spans="6:6">
      <c r="F761"/>
    </row>
    <row r="762" spans="6:6">
      <c r="F762"/>
    </row>
    <row r="763" spans="6:6">
      <c r="F763"/>
    </row>
    <row r="764" spans="6:6">
      <c r="F764"/>
    </row>
    <row r="765" spans="6:6">
      <c r="F765"/>
    </row>
    <row r="766" spans="6:6">
      <c r="F766"/>
    </row>
    <row r="767" spans="6:6">
      <c r="F767"/>
    </row>
    <row r="768" spans="6:6">
      <c r="F768"/>
    </row>
    <row r="769" spans="6:6">
      <c r="F769"/>
    </row>
    <row r="770" spans="6:6">
      <c r="F770"/>
    </row>
    <row r="771" spans="6:6">
      <c r="F771"/>
    </row>
    <row r="772" spans="6:6">
      <c r="F772"/>
    </row>
    <row r="773" spans="6:6">
      <c r="F773"/>
    </row>
    <row r="774" spans="6:6">
      <c r="F774"/>
    </row>
    <row r="775" spans="6:6">
      <c r="F775"/>
    </row>
    <row r="776" spans="6:6">
      <c r="F776"/>
    </row>
    <row r="777" spans="6:6">
      <c r="F777"/>
    </row>
    <row r="778" spans="6:6">
      <c r="F778"/>
    </row>
    <row r="779" spans="6:6">
      <c r="F779"/>
    </row>
    <row r="780" spans="6:6">
      <c r="F780"/>
    </row>
    <row r="781" spans="6:6">
      <c r="F781"/>
    </row>
    <row r="782" spans="6:6">
      <c r="F782"/>
    </row>
    <row r="783" spans="6:6">
      <c r="F783"/>
    </row>
    <row r="784" spans="6:6">
      <c r="F784"/>
    </row>
    <row r="785" spans="6:6">
      <c r="F785"/>
    </row>
    <row r="786" spans="6:6">
      <c r="F786"/>
    </row>
    <row r="787" spans="6:6">
      <c r="F787"/>
    </row>
    <row r="788" spans="6:6">
      <c r="F788"/>
    </row>
    <row r="789" spans="6:6">
      <c r="F789"/>
    </row>
    <row r="790" spans="6:6">
      <c r="F790"/>
    </row>
    <row r="791" spans="6:6">
      <c r="F791"/>
    </row>
    <row r="792" spans="6:6">
      <c r="F792"/>
    </row>
    <row r="793" spans="6:6">
      <c r="F793"/>
    </row>
    <row r="794" spans="6:6">
      <c r="F794"/>
    </row>
    <row r="795" spans="6:6">
      <c r="F795"/>
    </row>
    <row r="796" spans="6:6">
      <c r="F796"/>
    </row>
    <row r="797" spans="6:6">
      <c r="F797"/>
    </row>
    <row r="798" spans="6:6">
      <c r="F798"/>
    </row>
    <row r="799" spans="6:6">
      <c r="F799"/>
    </row>
    <row r="800" spans="6:6">
      <c r="F800"/>
    </row>
    <row r="801" spans="6:6">
      <c r="F801"/>
    </row>
    <row r="802" spans="6:6">
      <c r="F802"/>
    </row>
    <row r="803" spans="6:6">
      <c r="F803"/>
    </row>
    <row r="804" spans="6:6">
      <c r="F804"/>
    </row>
    <row r="805" spans="6:6">
      <c r="F805"/>
    </row>
    <row r="806" spans="6:6">
      <c r="F806"/>
    </row>
    <row r="807" spans="6:6">
      <c r="F807"/>
    </row>
    <row r="808" spans="6:6">
      <c r="F808"/>
    </row>
    <row r="809" spans="6:6">
      <c r="F809"/>
    </row>
    <row r="810" spans="6:6">
      <c r="F810"/>
    </row>
    <row r="811" spans="6:6">
      <c r="F811"/>
    </row>
    <row r="812" spans="6:6">
      <c r="F812"/>
    </row>
    <row r="813" spans="6:6">
      <c r="F813"/>
    </row>
    <row r="814" spans="6:6">
      <c r="F814"/>
    </row>
    <row r="815" spans="6:6">
      <c r="F815"/>
    </row>
    <row r="816" spans="6:6">
      <c r="F816"/>
    </row>
    <row r="817" spans="6:6">
      <c r="F817"/>
    </row>
    <row r="818" spans="6:6">
      <c r="F818"/>
    </row>
    <row r="819" spans="6:6">
      <c r="F819"/>
    </row>
    <row r="820" spans="6:6">
      <c r="F820"/>
    </row>
    <row r="821" spans="6:6">
      <c r="F821"/>
    </row>
    <row r="822" spans="6:6">
      <c r="F822"/>
    </row>
    <row r="823" spans="6:6">
      <c r="F823"/>
    </row>
    <row r="824" spans="6:6">
      <c r="F824"/>
    </row>
    <row r="825" spans="6:6">
      <c r="F825"/>
    </row>
    <row r="826" spans="6:6">
      <c r="F826"/>
    </row>
    <row r="827" spans="6:6">
      <c r="F827"/>
    </row>
    <row r="828" spans="6:6">
      <c r="F828"/>
    </row>
    <row r="829" spans="6:6">
      <c r="F829"/>
    </row>
    <row r="830" spans="6:6">
      <c r="F830"/>
    </row>
    <row r="831" spans="6:6">
      <c r="F831"/>
    </row>
    <row r="832" spans="6:6">
      <c r="F832"/>
    </row>
    <row r="833" spans="6:6">
      <c r="F833"/>
    </row>
    <row r="834" spans="6:6">
      <c r="F834"/>
    </row>
    <row r="835" spans="6:6">
      <c r="F835"/>
    </row>
    <row r="836" spans="6:6">
      <c r="F836"/>
    </row>
    <row r="837" spans="6:6">
      <c r="F837"/>
    </row>
    <row r="838" spans="6:6">
      <c r="F838"/>
    </row>
    <row r="839" spans="6:6">
      <c r="F839"/>
    </row>
    <row r="840" spans="6:6">
      <c r="F840"/>
    </row>
    <row r="841" spans="6:6">
      <c r="F841"/>
    </row>
    <row r="842" spans="6:6">
      <c r="F842"/>
    </row>
    <row r="843" spans="6:6">
      <c r="F843"/>
    </row>
    <row r="844" spans="6:6">
      <c r="F844"/>
    </row>
    <row r="845" spans="6:6">
      <c r="F845"/>
    </row>
    <row r="846" spans="6:6">
      <c r="F846"/>
    </row>
    <row r="847" spans="6:6">
      <c r="F847"/>
    </row>
    <row r="848" spans="6:6">
      <c r="F848"/>
    </row>
    <row r="849" spans="6:6">
      <c r="F849"/>
    </row>
    <row r="850" spans="6:6">
      <c r="F850"/>
    </row>
    <row r="851" spans="6:6">
      <c r="F851"/>
    </row>
    <row r="852" spans="6:6">
      <c r="F852"/>
    </row>
    <row r="853" spans="6:6">
      <c r="F853"/>
    </row>
    <row r="854" spans="6:6">
      <c r="F854"/>
    </row>
    <row r="855" spans="6:6">
      <c r="F855"/>
    </row>
    <row r="856" spans="6:6">
      <c r="F856"/>
    </row>
    <row r="857" spans="6:6">
      <c r="F857"/>
    </row>
    <row r="858" spans="6:6">
      <c r="F858"/>
    </row>
    <row r="859" spans="6:6">
      <c r="F859"/>
    </row>
    <row r="860" spans="6:6">
      <c r="F860"/>
    </row>
    <row r="861" spans="6:6">
      <c r="F861"/>
    </row>
    <row r="862" spans="6:6">
      <c r="F862"/>
    </row>
    <row r="863" spans="6:6">
      <c r="F863"/>
    </row>
    <row r="864" spans="6:6">
      <c r="F864"/>
    </row>
    <row r="865" spans="6:6">
      <c r="F865"/>
    </row>
    <row r="866" spans="6:6">
      <c r="F866"/>
    </row>
    <row r="867" spans="6:6">
      <c r="F867"/>
    </row>
    <row r="868" spans="6:6">
      <c r="F868"/>
    </row>
    <row r="869" spans="6:6">
      <c r="F869"/>
    </row>
    <row r="870" spans="6:6">
      <c r="F870"/>
    </row>
    <row r="871" spans="6:6">
      <c r="F871"/>
    </row>
    <row r="872" spans="6:6">
      <c r="F872"/>
    </row>
    <row r="873" spans="6:6">
      <c r="F873"/>
    </row>
    <row r="874" spans="6:6">
      <c r="F874"/>
    </row>
    <row r="875" spans="6:6">
      <c r="F875"/>
    </row>
    <row r="876" spans="6:6">
      <c r="F876"/>
    </row>
    <row r="877" spans="6:6">
      <c r="F877"/>
    </row>
    <row r="878" spans="6:6">
      <c r="F878"/>
    </row>
    <row r="879" spans="6:6">
      <c r="F879"/>
    </row>
    <row r="880" spans="6:6">
      <c r="F880"/>
    </row>
    <row r="881" spans="6:6">
      <c r="F881"/>
    </row>
    <row r="882" spans="6:6">
      <c r="F882"/>
    </row>
    <row r="883" spans="6:6">
      <c r="F883"/>
    </row>
    <row r="884" spans="6:6">
      <c r="F884"/>
    </row>
    <row r="885" spans="6:6">
      <c r="F885"/>
    </row>
    <row r="886" spans="6:6">
      <c r="F886"/>
    </row>
    <row r="887" spans="6:6">
      <c r="F887"/>
    </row>
    <row r="888" spans="6:6">
      <c r="F888"/>
    </row>
    <row r="889" spans="6:6">
      <c r="F889"/>
    </row>
    <row r="890" spans="6:6">
      <c r="F890"/>
    </row>
    <row r="891" spans="6:6">
      <c r="F891"/>
    </row>
    <row r="892" spans="6:6">
      <c r="F892"/>
    </row>
    <row r="893" spans="6:6">
      <c r="F893"/>
    </row>
    <row r="894" spans="6:6">
      <c r="F894"/>
    </row>
    <row r="895" spans="6:6">
      <c r="F895"/>
    </row>
    <row r="896" spans="6:6">
      <c r="F896"/>
    </row>
    <row r="897" spans="6:6">
      <c r="F897"/>
    </row>
    <row r="898" spans="6:6">
      <c r="F898"/>
    </row>
    <row r="899" spans="6:6">
      <c r="F899"/>
    </row>
    <row r="900" spans="6:6">
      <c r="F900"/>
    </row>
    <row r="901" spans="6:6">
      <c r="F901"/>
    </row>
    <row r="902" spans="6:6">
      <c r="F902"/>
    </row>
    <row r="903" spans="6:6">
      <c r="F903"/>
    </row>
    <row r="904" spans="6:6">
      <c r="F904"/>
    </row>
    <row r="905" spans="6:6">
      <c r="F905"/>
    </row>
    <row r="906" spans="6:6">
      <c r="F906"/>
    </row>
    <row r="907" spans="6:6">
      <c r="F907"/>
    </row>
    <row r="908" spans="6:6">
      <c r="F908"/>
    </row>
    <row r="909" spans="6:6">
      <c r="F909"/>
    </row>
    <row r="910" spans="6:6">
      <c r="F910"/>
    </row>
    <row r="911" spans="6:6">
      <c r="F911"/>
    </row>
    <row r="912" spans="6:6">
      <c r="F912"/>
    </row>
    <row r="913" spans="6:6">
      <c r="F913"/>
    </row>
    <row r="914" spans="6:6">
      <c r="F914"/>
    </row>
    <row r="915" spans="6:6">
      <c r="F915"/>
    </row>
    <row r="916" spans="6:6">
      <c r="F916"/>
    </row>
    <row r="917" spans="6:6">
      <c r="F917"/>
    </row>
    <row r="918" spans="6:6">
      <c r="F918"/>
    </row>
    <row r="919" spans="6:6">
      <c r="F919"/>
    </row>
    <row r="920" spans="6:6">
      <c r="F920"/>
    </row>
    <row r="921" spans="6:6">
      <c r="F921"/>
    </row>
    <row r="922" spans="6:6">
      <c r="F922"/>
    </row>
    <row r="923" spans="6:6">
      <c r="F923"/>
    </row>
    <row r="924" spans="6:6">
      <c r="F924"/>
    </row>
    <row r="925" spans="6:6">
      <c r="F925"/>
    </row>
    <row r="926" spans="6:6">
      <c r="F926"/>
    </row>
    <row r="927" spans="6:6">
      <c r="F927"/>
    </row>
    <row r="928" spans="6:6">
      <c r="F928"/>
    </row>
    <row r="929" spans="6:6">
      <c r="F929"/>
    </row>
    <row r="930" spans="6:6">
      <c r="F930"/>
    </row>
    <row r="931" spans="6:6">
      <c r="F931"/>
    </row>
    <row r="932" spans="6:6">
      <c r="F932"/>
    </row>
    <row r="933" spans="6:6">
      <c r="F933"/>
    </row>
    <row r="934" spans="6:6">
      <c r="F934"/>
    </row>
    <row r="935" spans="6:6">
      <c r="F935"/>
    </row>
    <row r="936" spans="6:6">
      <c r="F936"/>
    </row>
    <row r="937" spans="6:6">
      <c r="F937"/>
    </row>
    <row r="938" spans="6:6">
      <c r="F938"/>
    </row>
    <row r="939" spans="6:6">
      <c r="F939"/>
    </row>
    <row r="940" spans="6:6">
      <c r="F940"/>
    </row>
    <row r="941" spans="6:6">
      <c r="F941"/>
    </row>
    <row r="942" spans="6:6">
      <c r="F942"/>
    </row>
    <row r="943" spans="6:6">
      <c r="F943"/>
    </row>
    <row r="944" spans="6:6">
      <c r="F944"/>
    </row>
    <row r="945" spans="6:6">
      <c r="F945"/>
    </row>
    <row r="946" spans="6:6">
      <c r="F946"/>
    </row>
    <row r="947" spans="6:6">
      <c r="F947"/>
    </row>
    <row r="948" spans="6:6">
      <c r="F948"/>
    </row>
    <row r="949" spans="6:6">
      <c r="F949"/>
    </row>
    <row r="950" spans="6:6">
      <c r="F950"/>
    </row>
    <row r="951" spans="6:6">
      <c r="F951"/>
    </row>
    <row r="952" spans="6:6">
      <c r="F952"/>
    </row>
    <row r="953" spans="6:6">
      <c r="F953"/>
    </row>
    <row r="954" spans="6:6">
      <c r="F954"/>
    </row>
    <row r="955" spans="6:6">
      <c r="F955"/>
    </row>
    <row r="956" spans="6:6">
      <c r="F956"/>
    </row>
    <row r="957" spans="6:6">
      <c r="F957"/>
    </row>
    <row r="958" spans="6:6">
      <c r="F958"/>
    </row>
    <row r="959" spans="6:6">
      <c r="F959"/>
    </row>
    <row r="960" spans="6:6">
      <c r="F960"/>
    </row>
    <row r="961" spans="6:6">
      <c r="F961"/>
    </row>
    <row r="962" spans="6:6">
      <c r="F962"/>
    </row>
    <row r="963" spans="6:6">
      <c r="F963"/>
    </row>
    <row r="964" spans="6:6">
      <c r="F964"/>
    </row>
    <row r="965" spans="6:6">
      <c r="F965"/>
    </row>
    <row r="966" spans="6:6">
      <c r="F966"/>
    </row>
    <row r="967" spans="6:6">
      <c r="F967"/>
    </row>
    <row r="968" spans="6:6">
      <c r="F968"/>
    </row>
    <row r="969" spans="6:6">
      <c r="F969"/>
    </row>
    <row r="970" spans="6:6">
      <c r="F970"/>
    </row>
    <row r="971" spans="6:6">
      <c r="F971"/>
    </row>
    <row r="972" spans="6:6">
      <c r="F972"/>
    </row>
    <row r="973" spans="6:6">
      <c r="F973"/>
    </row>
    <row r="974" spans="6:6">
      <c r="F974"/>
    </row>
    <row r="975" spans="6:6">
      <c r="F975"/>
    </row>
    <row r="976" spans="6:6">
      <c r="F976"/>
    </row>
    <row r="977" spans="6:6">
      <c r="F977"/>
    </row>
    <row r="978" spans="6:6">
      <c r="F978"/>
    </row>
    <row r="979" spans="6:6">
      <c r="F979"/>
    </row>
    <row r="980" spans="6:6">
      <c r="F980"/>
    </row>
    <row r="981" spans="6:6">
      <c r="F981"/>
    </row>
    <row r="982" spans="6:6">
      <c r="F982"/>
    </row>
    <row r="983" spans="6:6">
      <c r="F983"/>
    </row>
    <row r="984" spans="6:6">
      <c r="F984"/>
    </row>
    <row r="985" spans="6:6">
      <c r="F985"/>
    </row>
    <row r="986" spans="6:6">
      <c r="F986"/>
    </row>
    <row r="987" spans="6:6">
      <c r="F987"/>
    </row>
    <row r="988" spans="6:6">
      <c r="F988"/>
    </row>
    <row r="989" spans="6:6">
      <c r="F989"/>
    </row>
    <row r="990" spans="6:6">
      <c r="F990"/>
    </row>
    <row r="991" spans="6:6">
      <c r="F991"/>
    </row>
    <row r="992" spans="6:6">
      <c r="F992"/>
    </row>
    <row r="993" spans="6:6">
      <c r="F993"/>
    </row>
    <row r="994" spans="6:6">
      <c r="F994"/>
    </row>
    <row r="995" spans="6:6">
      <c r="F995"/>
    </row>
    <row r="996" spans="6:6">
      <c r="F996"/>
    </row>
    <row r="997" spans="6:6">
      <c r="F997"/>
    </row>
    <row r="998" spans="6:6">
      <c r="F998"/>
    </row>
    <row r="999" spans="6:6">
      <c r="F999"/>
    </row>
    <row r="1000" spans="6:6">
      <c r="F1000"/>
    </row>
    <row r="1001" spans="6:6">
      <c r="F1001"/>
    </row>
    <row r="1002" spans="6:6">
      <c r="F1002"/>
    </row>
    <row r="1003" spans="6:6">
      <c r="F1003"/>
    </row>
    <row r="1004" spans="6:6">
      <c r="F1004"/>
    </row>
    <row r="1005" spans="6:6">
      <c r="F1005"/>
    </row>
    <row r="1006" spans="6:6">
      <c r="F1006"/>
    </row>
    <row r="1007" spans="6:6">
      <c r="F1007"/>
    </row>
    <row r="1008" spans="6:6">
      <c r="F1008"/>
    </row>
    <row r="1009" spans="6:6">
      <c r="F1009"/>
    </row>
    <row r="1010" spans="6:6">
      <c r="F1010"/>
    </row>
    <row r="1011" spans="6:6">
      <c r="F1011"/>
    </row>
    <row r="1012" spans="6:6">
      <c r="F1012"/>
    </row>
    <row r="1013" spans="6:6">
      <c r="F1013"/>
    </row>
    <row r="1014" spans="6:6">
      <c r="F1014"/>
    </row>
    <row r="1015" spans="6:6">
      <c r="F1015"/>
    </row>
    <row r="1016" spans="6:6">
      <c r="F1016"/>
    </row>
    <row r="1017" spans="6:6">
      <c r="F1017"/>
    </row>
    <row r="1018" spans="6:6">
      <c r="F1018"/>
    </row>
    <row r="1019" spans="6:6">
      <c r="F1019"/>
    </row>
    <row r="1020" spans="6:6">
      <c r="F1020"/>
    </row>
    <row r="1021" spans="6:6">
      <c r="F1021"/>
    </row>
    <row r="1022" spans="6:6">
      <c r="F1022"/>
    </row>
    <row r="1023" spans="6:6">
      <c r="F1023"/>
    </row>
    <row r="1024" spans="6:6">
      <c r="F1024"/>
    </row>
    <row r="1025" spans="6:6">
      <c r="F1025"/>
    </row>
    <row r="1026" spans="6:6">
      <c r="F1026"/>
    </row>
    <row r="1027" spans="6:6">
      <c r="F1027"/>
    </row>
    <row r="1028" spans="6:6">
      <c r="F1028"/>
    </row>
    <row r="1029" spans="6:6">
      <c r="F1029"/>
    </row>
    <row r="1030" spans="6:6">
      <c r="F1030"/>
    </row>
    <row r="1031" spans="6:6">
      <c r="F1031"/>
    </row>
    <row r="1032" spans="6:6">
      <c r="F1032"/>
    </row>
    <row r="1033" spans="6:6">
      <c r="F1033"/>
    </row>
    <row r="1034" spans="6:6">
      <c r="F1034"/>
    </row>
    <row r="1035" spans="6:6">
      <c r="F1035"/>
    </row>
    <row r="1036" spans="6:6">
      <c r="F1036"/>
    </row>
    <row r="1037" spans="6:6">
      <c r="F1037"/>
    </row>
    <row r="1038" spans="6:6">
      <c r="F1038"/>
    </row>
    <row r="1039" spans="6:6">
      <c r="F1039"/>
    </row>
    <row r="1040" spans="6:6">
      <c r="F1040"/>
    </row>
    <row r="1041" spans="6:6">
      <c r="F1041"/>
    </row>
    <row r="1042" spans="6:6">
      <c r="F1042"/>
    </row>
    <row r="1043" spans="6:6">
      <c r="F1043"/>
    </row>
    <row r="1044" spans="6:6">
      <c r="F1044"/>
    </row>
    <row r="1045" spans="6:6">
      <c r="F1045"/>
    </row>
    <row r="1046" spans="6:6">
      <c r="F1046"/>
    </row>
    <row r="1047" spans="6:6">
      <c r="F1047"/>
    </row>
    <row r="1048" spans="6:6">
      <c r="F1048"/>
    </row>
    <row r="1049" spans="6:6">
      <c r="F1049"/>
    </row>
    <row r="1050" spans="6:6">
      <c r="F1050"/>
    </row>
    <row r="1051" spans="6:6">
      <c r="F1051"/>
    </row>
    <row r="1052" spans="6:6">
      <c r="F1052"/>
    </row>
    <row r="1053" spans="6:6">
      <c r="F1053"/>
    </row>
    <row r="1054" spans="6:6">
      <c r="F1054"/>
    </row>
    <row r="1055" spans="6:6">
      <c r="F1055"/>
    </row>
    <row r="1056" spans="6:6">
      <c r="F1056"/>
    </row>
    <row r="1057" spans="6:6">
      <c r="F1057"/>
    </row>
    <row r="1058" spans="6:6">
      <c r="F1058"/>
    </row>
    <row r="1059" spans="6:6">
      <c r="F1059"/>
    </row>
    <row r="1060" spans="6:6">
      <c r="F1060"/>
    </row>
    <row r="1061" spans="6:6">
      <c r="F1061"/>
    </row>
    <row r="1062" spans="6:6">
      <c r="F1062"/>
    </row>
    <row r="1063" spans="6:6">
      <c r="F1063"/>
    </row>
    <row r="1064" spans="6:6">
      <c r="F1064"/>
    </row>
    <row r="1065" spans="6:6">
      <c r="F1065"/>
    </row>
    <row r="1066" spans="6:6">
      <c r="F1066"/>
    </row>
    <row r="1067" spans="6:6">
      <c r="F1067"/>
    </row>
    <row r="1068" spans="6:6">
      <c r="F1068"/>
    </row>
    <row r="1069" spans="6:6">
      <c r="F1069"/>
    </row>
    <row r="1070" spans="6:6">
      <c r="F1070"/>
    </row>
    <row r="1071" spans="6:6">
      <c r="F1071"/>
    </row>
    <row r="1072" spans="6:6">
      <c r="F1072"/>
    </row>
    <row r="1073" spans="6:6">
      <c r="F1073"/>
    </row>
    <row r="1074" spans="6:6">
      <c r="F1074"/>
    </row>
    <row r="1075" spans="6:6">
      <c r="F1075"/>
    </row>
    <row r="1076" spans="6:6">
      <c r="F1076"/>
    </row>
    <row r="1077" spans="6:6">
      <c r="F1077"/>
    </row>
    <row r="1078" spans="6:6">
      <c r="F1078"/>
    </row>
    <row r="1079" spans="6:6">
      <c r="F1079"/>
    </row>
    <row r="1080" spans="6:6">
      <c r="F1080"/>
    </row>
    <row r="1081" spans="6:6">
      <c r="F1081"/>
    </row>
    <row r="1082" spans="6:6">
      <c r="F1082"/>
    </row>
    <row r="1083" spans="6:6">
      <c r="F1083"/>
    </row>
    <row r="1084" spans="6:6">
      <c r="F1084"/>
    </row>
    <row r="1085" spans="6:6">
      <c r="F1085"/>
    </row>
    <row r="1086" spans="6:6">
      <c r="F1086"/>
    </row>
    <row r="1087" spans="6:6">
      <c r="F1087"/>
    </row>
    <row r="1088" spans="6:6">
      <c r="F1088"/>
    </row>
    <row r="1089" spans="6:6">
      <c r="F1089"/>
    </row>
    <row r="1090" spans="6:6">
      <c r="F1090"/>
    </row>
    <row r="1091" spans="6:6">
      <c r="F1091"/>
    </row>
    <row r="1092" spans="6:6">
      <c r="F1092"/>
    </row>
    <row r="1093" spans="6:6">
      <c r="F1093"/>
    </row>
    <row r="1094" spans="6:6">
      <c r="F1094"/>
    </row>
    <row r="1095" spans="6:6">
      <c r="F1095"/>
    </row>
  </sheetData>
  <autoFilter ref="A1:AC535" xr:uid="{68DD93C6-D9E5-4C28-BED1-D46F5E6708B6}"/>
  <phoneticPr fontId="4" type="noConversion"/>
  <conditionalFormatting sqref="F1096:F1048576 F1:F56">
    <cfRule type="duplicateValues" dxfId="24" priority="5"/>
    <cfRule type="duplicateValues" dxfId="23" priority="6"/>
  </conditionalFormatting>
  <conditionalFormatting sqref="G2:G56">
    <cfRule type="duplicateValues" dxfId="22" priority="32"/>
    <cfRule type="duplicateValues" dxfId="21" priority="33"/>
  </conditionalFormatting>
  <conditionalFormatting sqref="G1085:G1048576 G1">
    <cfRule type="duplicateValues" priority="7"/>
  </conditionalFormatting>
  <conditionalFormatting sqref="Z2:Z541">
    <cfRule type="cellIs" dxfId="20" priority="1" operator="equal">
      <formula>"Y"</formula>
    </cfRule>
    <cfRule type="cellIs" dxfId="19" priority="2" operator="equal">
      <formula>"N"</formula>
    </cfRule>
  </conditionalFormatting>
  <conditionalFormatting sqref="AA1:AA541 AA1085:AA1048576">
    <cfRule type="cellIs" dxfId="18" priority="8" operator="equal">
      <formula>"Y"</formula>
    </cfRule>
    <cfRule type="cellIs" dxfId="17" priority="9" operator="equal">
      <formula>"N"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7510-3085-46DC-8D89-889C5FEFE66C}">
  <dimension ref="A1:AB261"/>
  <sheetViews>
    <sheetView zoomScale="85" zoomScaleNormal="85" workbookViewId="0">
      <pane ySplit="1" topLeftCell="A2" activePane="bottomLeft" state="frozen"/>
      <selection pane="bottomLeft" activeCell="I12" sqref="I12"/>
    </sheetView>
  </sheetViews>
  <sheetFormatPr defaultColWidth="9.109375" defaultRowHeight="13.8"/>
  <cols>
    <col min="1" max="1" width="3.6640625" bestFit="1" customWidth="1"/>
    <col min="2" max="2" width="12.5546875" bestFit="1" customWidth="1"/>
    <col min="3" max="3" width="4.33203125" bestFit="1" customWidth="1"/>
    <col min="5" max="5" width="11.88671875" bestFit="1" customWidth="1"/>
    <col min="6" max="6" width="17.6640625" bestFit="1" customWidth="1"/>
    <col min="7" max="7" width="57.6640625" bestFit="1" customWidth="1"/>
    <col min="8" max="8" width="10.88671875" bestFit="1" customWidth="1"/>
    <col min="9" max="9" width="17" bestFit="1" customWidth="1"/>
    <col min="10" max="10" width="11.33203125" bestFit="1" customWidth="1"/>
    <col min="11" max="11" width="17.6640625" bestFit="1" customWidth="1"/>
    <col min="12" max="12" width="12.5546875" bestFit="1" customWidth="1"/>
    <col min="13" max="14" width="17" bestFit="1" customWidth="1"/>
    <col min="15" max="15" width="11" bestFit="1" customWidth="1"/>
    <col min="16" max="16" width="37" bestFit="1" customWidth="1"/>
    <col min="17" max="17" width="4.5546875" bestFit="1" customWidth="1"/>
    <col min="18" max="18" width="5" bestFit="1" customWidth="1"/>
    <col min="19" max="20" width="6.6640625" bestFit="1" customWidth="1"/>
    <col min="21" max="21" width="12" bestFit="1" customWidth="1"/>
    <col min="22" max="22" width="4.88671875" bestFit="1" customWidth="1"/>
    <col min="23" max="23" width="13.33203125" bestFit="1" customWidth="1"/>
    <col min="24" max="24" width="9.6640625" bestFit="1" customWidth="1"/>
    <col min="25" max="25" width="8.109375" bestFit="1" customWidth="1"/>
    <col min="26" max="26" width="12.109375" bestFit="1" customWidth="1"/>
  </cols>
  <sheetData>
    <row r="1" spans="1:28" ht="15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10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  <c r="M1" s="9" t="s">
        <v>60</v>
      </c>
      <c r="N1" s="9" t="s">
        <v>61</v>
      </c>
      <c r="O1" s="9" t="s">
        <v>62</v>
      </c>
      <c r="P1" s="9" t="s">
        <v>63</v>
      </c>
      <c r="Q1" s="9" t="s">
        <v>64</v>
      </c>
      <c r="R1" s="9" t="s">
        <v>65</v>
      </c>
      <c r="S1" s="9" t="s">
        <v>66</v>
      </c>
      <c r="T1" s="9" t="s">
        <v>67</v>
      </c>
      <c r="U1" s="9" t="s">
        <v>68</v>
      </c>
      <c r="V1" s="9" t="s">
        <v>69</v>
      </c>
      <c r="W1" s="9" t="s">
        <v>70</v>
      </c>
      <c r="X1" s="9" t="s">
        <v>71</v>
      </c>
      <c r="Y1" s="9" t="s">
        <v>72</v>
      </c>
      <c r="Z1" s="9" t="s">
        <v>74</v>
      </c>
      <c r="AA1" s="4"/>
      <c r="AB1" s="4"/>
    </row>
    <row r="2" spans="1:28" ht="16.8">
      <c r="A2" s="12"/>
      <c r="B2" s="12"/>
      <c r="C2" s="12"/>
      <c r="D2" s="12" t="s">
        <v>148</v>
      </c>
      <c r="E2" s="12"/>
      <c r="F2" s="12"/>
      <c r="G2" s="12" t="s">
        <v>149</v>
      </c>
      <c r="H2" s="12"/>
      <c r="I2" s="12"/>
      <c r="J2" s="12"/>
      <c r="K2" s="12"/>
      <c r="L2" s="12"/>
      <c r="M2" s="12"/>
      <c r="N2" s="16"/>
      <c r="O2" s="12"/>
      <c r="P2" s="16" t="s">
        <v>150</v>
      </c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8" ht="16.8">
      <c r="A3" s="12"/>
      <c r="B3" s="12"/>
      <c r="C3" s="12"/>
      <c r="D3" s="12" t="s">
        <v>148</v>
      </c>
      <c r="E3" s="12"/>
      <c r="F3" s="12"/>
      <c r="G3" s="12" t="s">
        <v>151</v>
      </c>
      <c r="H3" s="12"/>
      <c r="I3" s="12"/>
      <c r="J3" s="12"/>
      <c r="K3" s="12"/>
      <c r="L3" s="12"/>
      <c r="M3" s="12"/>
      <c r="N3" s="16"/>
      <c r="O3" s="12"/>
      <c r="P3" s="16" t="s">
        <v>150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8" ht="16.8">
      <c r="A4" s="12"/>
      <c r="B4" s="12"/>
      <c r="C4" s="12"/>
      <c r="D4" s="12" t="s">
        <v>148</v>
      </c>
      <c r="E4" s="12"/>
      <c r="F4" s="12"/>
      <c r="G4" s="12" t="s">
        <v>152</v>
      </c>
      <c r="H4" s="12"/>
      <c r="I4" s="12"/>
      <c r="J4" s="12"/>
      <c r="K4" s="12"/>
      <c r="L4" s="12"/>
      <c r="M4" s="12"/>
      <c r="N4" s="12"/>
      <c r="O4" s="12"/>
      <c r="P4" s="12" t="s">
        <v>153</v>
      </c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8" ht="16.8">
      <c r="A5" s="12"/>
      <c r="B5" s="12"/>
      <c r="C5" s="12"/>
      <c r="D5" s="12" t="s">
        <v>148</v>
      </c>
      <c r="E5" s="12"/>
      <c r="F5" s="12"/>
      <c r="G5" s="12" t="s">
        <v>154</v>
      </c>
      <c r="H5" s="12"/>
      <c r="I5" s="12"/>
      <c r="J5" s="12"/>
      <c r="K5" s="12"/>
      <c r="L5" s="12"/>
      <c r="M5" s="12"/>
      <c r="N5" s="16"/>
      <c r="O5" s="12"/>
      <c r="P5" s="16" t="s">
        <v>155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8" ht="16.8">
      <c r="A6" s="12"/>
      <c r="B6" s="12"/>
      <c r="C6" s="12"/>
      <c r="D6" s="12" t="s">
        <v>148</v>
      </c>
      <c r="E6" s="12"/>
      <c r="F6" s="12"/>
      <c r="G6" s="12" t="s">
        <v>156</v>
      </c>
      <c r="H6" s="12"/>
      <c r="I6" s="12"/>
      <c r="J6" s="12"/>
      <c r="K6" s="12"/>
      <c r="L6" s="12"/>
      <c r="M6" s="12"/>
      <c r="N6" s="16"/>
      <c r="O6" s="12"/>
      <c r="P6" s="16" t="s">
        <v>155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8" ht="16.8">
      <c r="A7" s="12"/>
      <c r="B7" s="12"/>
      <c r="C7" s="12"/>
      <c r="D7" s="12" t="s">
        <v>148</v>
      </c>
      <c r="E7" s="12"/>
      <c r="F7" s="12"/>
      <c r="G7" s="12" t="s">
        <v>157</v>
      </c>
      <c r="H7" s="12"/>
      <c r="I7" s="12"/>
      <c r="J7" s="12"/>
      <c r="K7" s="12"/>
      <c r="L7" s="12"/>
      <c r="M7" s="12"/>
      <c r="N7" s="16"/>
      <c r="O7" s="12"/>
      <c r="P7" s="16" t="s">
        <v>158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8" ht="16.8">
      <c r="A8" s="12"/>
      <c r="B8" s="12"/>
      <c r="C8" s="12"/>
      <c r="D8" s="12" t="s">
        <v>148</v>
      </c>
      <c r="E8" s="12"/>
      <c r="F8" s="12"/>
      <c r="G8" s="12" t="s">
        <v>159</v>
      </c>
      <c r="H8" s="12"/>
      <c r="I8" s="12"/>
      <c r="J8" s="12"/>
      <c r="K8" s="12"/>
      <c r="L8" s="12"/>
      <c r="M8" s="12"/>
      <c r="N8" s="16"/>
      <c r="O8" s="12"/>
      <c r="P8" s="13" t="s">
        <v>160</v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8" ht="16.8">
      <c r="A9" s="12"/>
      <c r="B9" s="12"/>
      <c r="C9" s="12"/>
      <c r="D9" s="12" t="s">
        <v>148</v>
      </c>
      <c r="E9" s="12"/>
      <c r="F9" s="12"/>
      <c r="G9" s="12" t="s">
        <v>161</v>
      </c>
      <c r="H9" s="12"/>
      <c r="I9" s="12"/>
      <c r="J9" s="12"/>
      <c r="K9" s="12"/>
      <c r="L9" s="12"/>
      <c r="M9" s="12"/>
      <c r="N9" s="16"/>
      <c r="O9" s="12"/>
      <c r="P9" s="13" t="s">
        <v>162</v>
      </c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8" ht="16.8">
      <c r="A10" s="12"/>
      <c r="B10" s="12"/>
      <c r="C10" s="12"/>
      <c r="D10" s="12" t="s">
        <v>148</v>
      </c>
      <c r="E10" s="12"/>
      <c r="F10" s="12"/>
      <c r="G10" s="12" t="s">
        <v>163</v>
      </c>
      <c r="H10" s="12"/>
      <c r="I10" s="12"/>
      <c r="J10" s="12"/>
      <c r="K10" s="12"/>
      <c r="L10" s="12"/>
      <c r="M10" s="12"/>
      <c r="N10" s="16"/>
      <c r="O10" s="12"/>
      <c r="P10" s="13" t="s">
        <v>164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8" ht="16.8">
      <c r="A11" s="12"/>
      <c r="B11" s="12"/>
      <c r="C11" s="12"/>
      <c r="D11" s="12" t="s">
        <v>148</v>
      </c>
      <c r="E11" s="12"/>
      <c r="F11" s="12"/>
      <c r="G11" s="12" t="s">
        <v>165</v>
      </c>
      <c r="H11" s="12"/>
      <c r="I11" s="12"/>
      <c r="J11" s="12"/>
      <c r="K11" s="12"/>
      <c r="L11" s="12"/>
      <c r="M11" s="12"/>
      <c r="N11" s="16"/>
      <c r="O11" s="12"/>
      <c r="P11" s="16" t="s">
        <v>150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8" ht="16.8">
      <c r="A12" s="12"/>
      <c r="B12" s="12"/>
      <c r="C12" s="12"/>
      <c r="D12" s="12" t="s">
        <v>148</v>
      </c>
      <c r="E12" s="12"/>
      <c r="F12" s="12"/>
      <c r="G12" s="12" t="s">
        <v>166</v>
      </c>
      <c r="H12" s="12"/>
      <c r="I12" s="12"/>
      <c r="J12" s="12"/>
      <c r="K12" s="12"/>
      <c r="L12" s="12"/>
      <c r="M12" s="12"/>
      <c r="N12" s="16"/>
      <c r="O12" s="12"/>
      <c r="P12" s="13" t="s">
        <v>164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8" ht="16.8">
      <c r="A13" s="12"/>
      <c r="B13" s="12"/>
      <c r="C13" s="12"/>
      <c r="D13" s="12" t="s">
        <v>148</v>
      </c>
      <c r="E13" s="12"/>
      <c r="F13" s="12"/>
      <c r="G13" s="12" t="s">
        <v>167</v>
      </c>
      <c r="H13" s="12"/>
      <c r="I13" s="12"/>
      <c r="J13" s="12"/>
      <c r="K13" s="12"/>
      <c r="L13" s="12"/>
      <c r="M13" s="12"/>
      <c r="N13" s="16"/>
      <c r="O13" s="12"/>
      <c r="P13" s="16" t="s">
        <v>150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8" ht="16.8">
      <c r="A14" s="12"/>
      <c r="B14" s="12"/>
      <c r="C14" s="12"/>
      <c r="D14" s="12" t="s">
        <v>148</v>
      </c>
      <c r="E14" s="12"/>
      <c r="F14" s="12"/>
      <c r="G14" s="12" t="s">
        <v>168</v>
      </c>
      <c r="H14" s="12"/>
      <c r="I14" s="12"/>
      <c r="J14" s="12"/>
      <c r="K14" s="12"/>
      <c r="L14" s="12"/>
      <c r="M14" s="12"/>
      <c r="N14" s="16"/>
      <c r="O14" s="12"/>
      <c r="P14" s="13" t="s">
        <v>164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8" ht="16.8">
      <c r="A15" s="12"/>
      <c r="B15" s="12"/>
      <c r="C15" s="12"/>
      <c r="D15" s="12" t="s">
        <v>148</v>
      </c>
      <c r="E15" s="12"/>
      <c r="F15" s="12"/>
      <c r="G15" s="12" t="s">
        <v>169</v>
      </c>
      <c r="H15" s="12"/>
      <c r="I15" s="12"/>
      <c r="J15" s="12"/>
      <c r="K15" s="12"/>
      <c r="L15" s="12"/>
      <c r="M15" s="12"/>
      <c r="N15" s="16"/>
      <c r="O15" s="12"/>
      <c r="P15" s="16" t="s">
        <v>150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8" ht="16.8">
      <c r="A16" s="12"/>
      <c r="B16" s="12"/>
      <c r="C16" s="12"/>
      <c r="D16" s="12" t="s">
        <v>148</v>
      </c>
      <c r="E16" s="12"/>
      <c r="F16" s="12"/>
      <c r="G16" s="12" t="s">
        <v>170</v>
      </c>
      <c r="H16" s="12"/>
      <c r="I16" s="12"/>
      <c r="J16" s="12"/>
      <c r="K16" s="12"/>
      <c r="L16" s="12"/>
      <c r="M16" s="12"/>
      <c r="N16" s="16"/>
      <c r="O16" s="12"/>
      <c r="P16" s="13" t="s">
        <v>164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8">
      <c r="A17" s="12"/>
      <c r="B17" s="12"/>
      <c r="C17" s="12"/>
      <c r="D17" s="12" t="s">
        <v>148</v>
      </c>
      <c r="E17" s="12"/>
      <c r="F17" s="12"/>
      <c r="G17" s="12" t="s">
        <v>171</v>
      </c>
      <c r="H17" s="12"/>
      <c r="I17" s="12"/>
      <c r="J17" s="12"/>
      <c r="K17" s="12"/>
      <c r="L17" s="12"/>
      <c r="M17" s="12"/>
      <c r="N17" s="16"/>
      <c r="O17" s="12"/>
      <c r="P17" s="16" t="s">
        <v>150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8">
      <c r="A18" s="12"/>
      <c r="B18" s="12"/>
      <c r="C18" s="12"/>
      <c r="D18" s="12" t="s">
        <v>148</v>
      </c>
      <c r="E18" s="12"/>
      <c r="F18" s="12"/>
      <c r="G18" s="12" t="s">
        <v>172</v>
      </c>
      <c r="H18" s="12"/>
      <c r="I18" s="12"/>
      <c r="J18" s="12"/>
      <c r="K18" s="12"/>
      <c r="L18" s="12"/>
      <c r="M18" s="12"/>
      <c r="N18" s="16"/>
      <c r="O18" s="12"/>
      <c r="P18" s="13" t="s">
        <v>164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8">
      <c r="A19" s="12"/>
      <c r="B19" s="12"/>
      <c r="C19" s="12"/>
      <c r="D19" s="12" t="s">
        <v>148</v>
      </c>
      <c r="E19" s="12"/>
      <c r="F19" s="12"/>
      <c r="G19" s="12" t="s">
        <v>173</v>
      </c>
      <c r="H19" s="12"/>
      <c r="I19" s="12"/>
      <c r="J19" s="12"/>
      <c r="K19" s="12"/>
      <c r="L19" s="12"/>
      <c r="M19" s="12"/>
      <c r="N19" s="16"/>
      <c r="O19" s="12"/>
      <c r="P19" s="16" t="s">
        <v>150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8">
      <c r="A20" s="12"/>
      <c r="B20" s="12"/>
      <c r="C20" s="12"/>
      <c r="D20" s="12" t="s">
        <v>148</v>
      </c>
      <c r="E20" s="12"/>
      <c r="F20" s="12"/>
      <c r="G20" s="12" t="s">
        <v>6388</v>
      </c>
      <c r="H20" s="12"/>
      <c r="I20" s="12"/>
      <c r="J20" s="12"/>
      <c r="K20" s="12"/>
      <c r="L20" s="12"/>
      <c r="M20" s="12"/>
      <c r="N20" s="16"/>
      <c r="O20" s="12"/>
      <c r="P20" s="13" t="s">
        <v>164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6.8">
      <c r="A21" s="12"/>
      <c r="B21" s="12"/>
      <c r="C21" s="12"/>
      <c r="D21" s="12" t="s">
        <v>148</v>
      </c>
      <c r="E21" s="12"/>
      <c r="F21" s="12"/>
      <c r="G21" t="s">
        <v>174</v>
      </c>
      <c r="H21" s="12"/>
      <c r="I21" s="12"/>
      <c r="J21" s="12"/>
      <c r="K21" s="12"/>
      <c r="L21" s="12"/>
      <c r="M21" s="12"/>
      <c r="N21" s="16"/>
      <c r="O21" s="12"/>
      <c r="P21" s="16" t="s">
        <v>150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6.8">
      <c r="A22" s="12"/>
      <c r="B22" s="12"/>
      <c r="C22" s="12"/>
      <c r="D22" s="12" t="s">
        <v>148</v>
      </c>
      <c r="E22" s="12"/>
      <c r="F22" s="12"/>
      <c r="G22" s="12" t="s">
        <v>175</v>
      </c>
      <c r="H22" s="12"/>
      <c r="I22" s="12"/>
      <c r="J22" s="12"/>
      <c r="K22" s="12"/>
      <c r="L22" s="12"/>
      <c r="M22" s="12"/>
      <c r="N22" s="16"/>
      <c r="O22" s="12"/>
      <c r="P22" s="13" t="s">
        <v>164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6.8">
      <c r="A23" s="12"/>
      <c r="B23" s="12"/>
      <c r="C23" s="12"/>
      <c r="D23" s="12" t="s">
        <v>148</v>
      </c>
      <c r="E23" s="12"/>
      <c r="F23" s="12"/>
      <c r="G23" s="12" t="s">
        <v>176</v>
      </c>
      <c r="H23" s="12"/>
      <c r="I23" s="12"/>
      <c r="J23" s="12"/>
      <c r="K23" s="12"/>
      <c r="L23" s="12"/>
      <c r="M23" s="12"/>
      <c r="N23" s="16"/>
      <c r="O23" s="12"/>
      <c r="P23" s="16" t="s">
        <v>150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6.8">
      <c r="A24" s="12"/>
      <c r="B24" s="12"/>
      <c r="C24" s="12"/>
      <c r="D24" s="12" t="s">
        <v>148</v>
      </c>
      <c r="E24" s="12"/>
      <c r="F24" s="12"/>
      <c r="G24" s="12" t="s">
        <v>177</v>
      </c>
      <c r="H24" s="12"/>
      <c r="I24" s="12"/>
      <c r="J24" s="12"/>
      <c r="K24" s="12"/>
      <c r="L24" s="12"/>
      <c r="M24" s="12"/>
      <c r="N24" s="16"/>
      <c r="O24" s="12"/>
      <c r="P24" s="13" t="s">
        <v>164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6.8">
      <c r="A25" s="12"/>
      <c r="B25" s="12"/>
      <c r="C25" s="12"/>
      <c r="D25" s="12" t="s">
        <v>148</v>
      </c>
      <c r="E25" s="12"/>
      <c r="F25" s="12"/>
      <c r="G25" s="12" t="s">
        <v>178</v>
      </c>
      <c r="H25" s="12"/>
      <c r="I25" s="12"/>
      <c r="J25" s="12"/>
      <c r="K25" s="12"/>
      <c r="L25" s="12"/>
      <c r="M25" s="12"/>
      <c r="N25" s="16"/>
      <c r="O25" s="12"/>
      <c r="P25" s="16" t="s">
        <v>150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6.8">
      <c r="A26" s="12"/>
      <c r="B26" s="12"/>
      <c r="C26" s="12"/>
      <c r="D26" s="12" t="s">
        <v>148</v>
      </c>
      <c r="E26" s="12"/>
      <c r="F26" s="12"/>
      <c r="G26" s="12" t="s">
        <v>179</v>
      </c>
      <c r="H26" s="12"/>
      <c r="I26" s="12"/>
      <c r="J26" s="12"/>
      <c r="K26" s="12"/>
      <c r="L26" s="12"/>
      <c r="M26" s="12"/>
      <c r="N26" s="16"/>
      <c r="O26" s="12"/>
      <c r="P26" s="13" t="s">
        <v>180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6.8">
      <c r="A27" s="12"/>
      <c r="B27" s="12"/>
      <c r="C27" s="12"/>
      <c r="D27" s="12" t="s">
        <v>148</v>
      </c>
      <c r="E27" s="12"/>
      <c r="F27" s="12"/>
      <c r="G27" s="12" t="s">
        <v>181</v>
      </c>
      <c r="H27" s="12"/>
      <c r="I27" s="12"/>
      <c r="J27" s="12"/>
      <c r="K27" s="12"/>
      <c r="L27" s="12"/>
      <c r="M27" s="12"/>
      <c r="N27" s="16"/>
      <c r="O27" s="12"/>
      <c r="P27" s="16" t="s">
        <v>182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6.8">
      <c r="A28" s="12"/>
      <c r="B28" s="12"/>
      <c r="C28" s="12"/>
      <c r="D28" s="12" t="s">
        <v>148</v>
      </c>
      <c r="E28" s="12"/>
      <c r="F28" s="12"/>
      <c r="G28" s="12" t="s">
        <v>183</v>
      </c>
      <c r="H28" s="12"/>
      <c r="I28" s="12"/>
      <c r="J28" s="12"/>
      <c r="K28" s="12"/>
      <c r="L28" s="12"/>
      <c r="M28" s="12"/>
      <c r="N28" s="16"/>
      <c r="O28" s="12"/>
      <c r="P28" s="16" t="s">
        <v>184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6.8">
      <c r="A29" s="12"/>
      <c r="B29" s="12"/>
      <c r="C29" s="12"/>
      <c r="D29" s="12" t="s">
        <v>148</v>
      </c>
      <c r="E29" s="12"/>
      <c r="F29" s="12"/>
      <c r="G29" s="12" t="s">
        <v>185</v>
      </c>
      <c r="H29" s="12"/>
      <c r="I29" s="12"/>
      <c r="J29" s="12"/>
      <c r="K29" s="12"/>
      <c r="L29" s="12"/>
      <c r="M29" s="12"/>
      <c r="N29" s="16"/>
      <c r="O29" s="12"/>
      <c r="P29" s="16" t="s">
        <v>150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6.8">
      <c r="A30" s="12"/>
      <c r="B30" s="12"/>
      <c r="C30" s="12"/>
      <c r="D30" s="12" t="s">
        <v>148</v>
      </c>
      <c r="E30" s="12"/>
      <c r="F30" s="12"/>
      <c r="G30" s="12" t="s">
        <v>186</v>
      </c>
      <c r="H30" s="12"/>
      <c r="I30" s="12"/>
      <c r="J30" s="12"/>
      <c r="K30" s="12"/>
      <c r="L30" s="12"/>
      <c r="M30" s="12"/>
      <c r="N30" s="16"/>
      <c r="O30" s="12"/>
      <c r="P30" s="16" t="s">
        <v>150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6.8">
      <c r="A31" s="12"/>
      <c r="B31" s="12"/>
      <c r="C31" s="12"/>
      <c r="D31" s="12" t="s">
        <v>148</v>
      </c>
      <c r="E31" s="12"/>
      <c r="F31" s="12"/>
      <c r="G31" s="12" t="s">
        <v>187</v>
      </c>
      <c r="H31" s="12"/>
      <c r="I31" s="12"/>
      <c r="J31" s="12"/>
      <c r="K31" s="12"/>
      <c r="L31" s="12"/>
      <c r="M31" s="12"/>
      <c r="N31" s="16"/>
      <c r="O31" s="12"/>
      <c r="P31" s="16" t="s">
        <v>150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6.8">
      <c r="A32" s="12"/>
      <c r="B32" s="12"/>
      <c r="C32" s="12"/>
      <c r="D32" s="12" t="s">
        <v>148</v>
      </c>
      <c r="E32" s="12"/>
      <c r="F32" s="12"/>
      <c r="G32" s="12" t="s">
        <v>188</v>
      </c>
      <c r="H32" s="12"/>
      <c r="I32" s="12"/>
      <c r="J32" s="12"/>
      <c r="K32" s="12"/>
      <c r="L32" s="12"/>
      <c r="M32" s="12"/>
      <c r="N32" s="16"/>
      <c r="O32" s="12"/>
      <c r="P32" s="16" t="s">
        <v>189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6.8">
      <c r="A33" s="12"/>
      <c r="B33" s="12"/>
      <c r="C33" s="12"/>
      <c r="D33" s="12" t="s">
        <v>148</v>
      </c>
      <c r="E33" s="12"/>
      <c r="F33" s="12"/>
      <c r="G33" s="12" t="s">
        <v>190</v>
      </c>
      <c r="H33" s="12"/>
      <c r="I33" s="12"/>
      <c r="J33" s="12"/>
      <c r="K33" s="12"/>
      <c r="L33" s="12"/>
      <c r="M33" s="12"/>
      <c r="N33" s="16"/>
      <c r="O33" s="12"/>
      <c r="P33" s="16" t="s">
        <v>191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6.8">
      <c r="A34" s="12"/>
      <c r="B34" s="12"/>
      <c r="C34" s="12"/>
      <c r="D34" s="12" t="s">
        <v>148</v>
      </c>
      <c r="E34" s="12"/>
      <c r="F34" s="12"/>
      <c r="G34" s="12" t="s">
        <v>192</v>
      </c>
      <c r="H34" s="12"/>
      <c r="I34" s="12"/>
      <c r="J34" s="12"/>
      <c r="K34" s="12"/>
      <c r="L34" s="12"/>
      <c r="M34" s="12"/>
      <c r="N34" s="16"/>
      <c r="O34" s="12"/>
      <c r="P34" s="16" t="s">
        <v>182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6.8">
      <c r="A35" s="12"/>
      <c r="B35" s="12"/>
      <c r="C35" s="12"/>
      <c r="D35" s="12" t="s">
        <v>148</v>
      </c>
      <c r="E35" s="12"/>
      <c r="F35" s="12"/>
      <c r="G35" s="12" t="s">
        <v>193</v>
      </c>
      <c r="H35" s="12"/>
      <c r="I35" s="12"/>
      <c r="J35" s="12"/>
      <c r="K35" s="12"/>
      <c r="L35" s="12"/>
      <c r="M35" s="12"/>
      <c r="N35" s="16"/>
      <c r="O35" s="12"/>
      <c r="P35" s="16" t="s">
        <v>150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6.8">
      <c r="A36" s="12"/>
      <c r="B36" s="12"/>
      <c r="C36" s="12"/>
      <c r="D36" s="12" t="s">
        <v>148</v>
      </c>
      <c r="E36" s="12"/>
      <c r="F36" s="12"/>
      <c r="G36" s="12" t="s">
        <v>194</v>
      </c>
      <c r="H36" s="12"/>
      <c r="I36" s="12"/>
      <c r="J36" s="12"/>
      <c r="K36" s="12"/>
      <c r="L36" s="12"/>
      <c r="M36" s="12"/>
      <c r="N36" s="16"/>
      <c r="O36" s="12"/>
      <c r="P36" s="16" t="s">
        <v>150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6.8">
      <c r="A37" s="12"/>
      <c r="B37" s="12"/>
      <c r="C37" s="12"/>
      <c r="D37" s="12" t="s">
        <v>148</v>
      </c>
      <c r="E37" s="12"/>
      <c r="F37" s="12"/>
      <c r="G37" s="12" t="s">
        <v>195</v>
      </c>
      <c r="H37" s="12"/>
      <c r="I37" s="12"/>
      <c r="J37" s="12"/>
      <c r="K37" s="12"/>
      <c r="L37" s="12"/>
      <c r="M37" s="12"/>
      <c r="N37" s="16"/>
      <c r="O37" s="12"/>
      <c r="P37" s="16" t="s">
        <v>150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6.8">
      <c r="A38" s="12"/>
      <c r="B38" s="12"/>
      <c r="C38" s="12"/>
      <c r="D38" s="12" t="s">
        <v>148</v>
      </c>
      <c r="E38" s="12"/>
      <c r="F38" s="12"/>
      <c r="G38" s="12" t="s">
        <v>196</v>
      </c>
      <c r="H38" s="12"/>
      <c r="I38" s="12"/>
      <c r="J38" s="12"/>
      <c r="K38" s="12"/>
      <c r="L38" s="12"/>
      <c r="M38" s="12"/>
      <c r="N38" s="16"/>
      <c r="O38" s="12"/>
      <c r="P38" s="16" t="s">
        <v>197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6.8">
      <c r="A39" s="12"/>
      <c r="B39" s="12"/>
      <c r="C39" s="12"/>
      <c r="D39" s="12" t="s">
        <v>148</v>
      </c>
      <c r="E39" s="12"/>
      <c r="F39" s="12"/>
      <c r="G39" s="12" t="s">
        <v>198</v>
      </c>
      <c r="H39" s="12"/>
      <c r="I39" s="12"/>
      <c r="J39" s="12"/>
      <c r="K39" s="12"/>
      <c r="L39" s="12"/>
      <c r="M39" s="12"/>
      <c r="N39" s="16"/>
      <c r="O39" s="12"/>
      <c r="P39" s="16" t="s">
        <v>150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6.8">
      <c r="A40" s="12"/>
      <c r="B40" s="12"/>
      <c r="C40" s="12"/>
      <c r="D40" s="12" t="s">
        <v>148</v>
      </c>
      <c r="E40" s="12"/>
      <c r="F40" s="12"/>
      <c r="G40" s="12" t="s">
        <v>199</v>
      </c>
      <c r="H40" s="12"/>
      <c r="I40" s="12"/>
      <c r="J40" s="12"/>
      <c r="K40" s="12"/>
      <c r="L40" s="12"/>
      <c r="M40" s="12"/>
      <c r="N40" s="16"/>
      <c r="O40" s="12"/>
      <c r="P40" s="16" t="s">
        <v>150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6.8">
      <c r="A41" s="12"/>
      <c r="B41" s="12"/>
      <c r="C41" s="12"/>
      <c r="D41" s="12" t="s">
        <v>148</v>
      </c>
      <c r="E41" s="12"/>
      <c r="F41" s="12"/>
      <c r="G41" s="12" t="s">
        <v>200</v>
      </c>
      <c r="H41" s="12"/>
      <c r="I41" s="12"/>
      <c r="J41" s="12"/>
      <c r="K41" s="12"/>
      <c r="L41" s="12"/>
      <c r="M41" s="12"/>
      <c r="N41" s="16"/>
      <c r="O41" s="12"/>
      <c r="P41" s="16" t="s">
        <v>150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6.8">
      <c r="A42" s="12"/>
      <c r="B42" s="12"/>
      <c r="C42" s="12"/>
      <c r="D42" s="12" t="s">
        <v>148</v>
      </c>
      <c r="E42" s="12"/>
      <c r="F42" s="12"/>
      <c r="G42" s="12" t="s">
        <v>201</v>
      </c>
      <c r="H42" s="12"/>
      <c r="I42" s="12"/>
      <c r="J42" s="12"/>
      <c r="K42" s="12"/>
      <c r="L42" s="12"/>
      <c r="M42" s="12"/>
      <c r="N42" s="16"/>
      <c r="O42" s="12"/>
      <c r="P42" s="16" t="s">
        <v>202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6.8">
      <c r="A43" s="12"/>
      <c r="B43" s="12"/>
      <c r="C43" s="12"/>
      <c r="D43" s="12" t="s">
        <v>148</v>
      </c>
      <c r="E43" s="12"/>
      <c r="F43" s="12"/>
      <c r="G43" s="12" t="s">
        <v>203</v>
      </c>
      <c r="H43" s="12"/>
      <c r="I43" s="12"/>
      <c r="J43" s="12"/>
      <c r="K43" s="12"/>
      <c r="L43" s="12"/>
      <c r="M43" s="12"/>
      <c r="N43" s="16"/>
      <c r="O43" s="12"/>
      <c r="P43" s="16" t="s">
        <v>204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6.8">
      <c r="A44" s="12"/>
      <c r="B44" s="12"/>
      <c r="C44" s="12"/>
      <c r="D44" s="12" t="s">
        <v>148</v>
      </c>
      <c r="E44" s="12"/>
      <c r="F44" s="12"/>
      <c r="G44" s="12" t="s">
        <v>205</v>
      </c>
      <c r="H44" s="12"/>
      <c r="I44" s="12"/>
      <c r="J44" s="12"/>
      <c r="K44" s="12"/>
      <c r="L44" s="12"/>
      <c r="M44" s="12"/>
      <c r="N44" s="16"/>
      <c r="O44" s="12"/>
      <c r="P44" s="16" t="s">
        <v>204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6.8">
      <c r="A45" s="12"/>
      <c r="B45" s="12"/>
      <c r="C45" s="12"/>
      <c r="D45" s="12" t="s">
        <v>148</v>
      </c>
      <c r="E45" s="12"/>
      <c r="F45" s="12"/>
      <c r="G45" s="12" t="s">
        <v>206</v>
      </c>
      <c r="H45" s="12"/>
      <c r="I45" s="12"/>
      <c r="J45" s="12"/>
      <c r="K45" s="12"/>
      <c r="L45" s="12"/>
      <c r="M45" s="12"/>
      <c r="N45" s="16"/>
      <c r="O45" s="12"/>
      <c r="P45" s="16" t="s">
        <v>207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6.8">
      <c r="A46" s="12"/>
      <c r="B46" s="12"/>
      <c r="C46" s="12"/>
      <c r="D46" s="12" t="s">
        <v>148</v>
      </c>
      <c r="E46" s="12"/>
      <c r="F46" s="12"/>
      <c r="G46" s="12" t="s">
        <v>208</v>
      </c>
      <c r="H46" s="12"/>
      <c r="I46" s="12"/>
      <c r="J46" s="12"/>
      <c r="K46" s="12"/>
      <c r="L46" s="12"/>
      <c r="M46" s="12"/>
      <c r="N46" s="16"/>
      <c r="O46" s="12"/>
      <c r="P46" s="16" t="s">
        <v>155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6.8">
      <c r="A47" s="12"/>
      <c r="B47" s="12"/>
      <c r="C47" s="12"/>
      <c r="D47" s="12" t="s">
        <v>148</v>
      </c>
      <c r="E47" s="12"/>
      <c r="F47" s="12"/>
      <c r="G47" s="12" t="s">
        <v>209</v>
      </c>
      <c r="H47" s="12"/>
      <c r="I47" s="12"/>
      <c r="J47" s="12"/>
      <c r="K47" s="12"/>
      <c r="L47" s="12"/>
      <c r="M47" s="12"/>
      <c r="N47" s="16"/>
      <c r="O47" s="12"/>
      <c r="P47" s="16" t="s">
        <v>155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6.8">
      <c r="A48" s="12"/>
      <c r="B48" s="12"/>
      <c r="C48" s="12"/>
      <c r="D48" s="12" t="s">
        <v>148</v>
      </c>
      <c r="E48" s="12"/>
      <c r="F48" s="12"/>
      <c r="G48" s="12" t="s">
        <v>210</v>
      </c>
      <c r="H48" s="12"/>
      <c r="I48" s="12"/>
      <c r="J48" s="12"/>
      <c r="K48" s="12"/>
      <c r="L48" s="12"/>
      <c r="M48" s="12"/>
      <c r="N48" s="16"/>
      <c r="O48" s="12"/>
      <c r="P48" s="13" t="s">
        <v>164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6.8">
      <c r="A49" s="12"/>
      <c r="B49" s="12"/>
      <c r="C49" s="12"/>
      <c r="D49" s="12" t="s">
        <v>148</v>
      </c>
      <c r="E49" s="12"/>
      <c r="F49" s="12"/>
      <c r="G49" s="12" t="s">
        <v>211</v>
      </c>
      <c r="H49" s="12"/>
      <c r="I49" s="12"/>
      <c r="J49" s="12"/>
      <c r="K49" s="12"/>
      <c r="L49" s="12"/>
      <c r="M49" s="12"/>
      <c r="N49" s="16"/>
      <c r="O49" s="12"/>
      <c r="P49" s="16" t="s">
        <v>155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6.8">
      <c r="A50" s="12"/>
      <c r="B50" s="12"/>
      <c r="C50" s="12"/>
      <c r="D50" s="12" t="s">
        <v>148</v>
      </c>
      <c r="E50" s="12"/>
      <c r="F50" s="12"/>
      <c r="G50" s="12" t="s">
        <v>212</v>
      </c>
      <c r="H50" s="12"/>
      <c r="I50" s="12"/>
      <c r="J50" s="12"/>
      <c r="K50" s="12"/>
      <c r="L50" s="12"/>
      <c r="M50" s="12"/>
      <c r="N50" s="16"/>
      <c r="O50" s="12"/>
      <c r="P50" s="13" t="s">
        <v>164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6.8">
      <c r="A51" s="12"/>
      <c r="B51" s="12"/>
      <c r="C51" s="12"/>
      <c r="D51" s="12" t="s">
        <v>148</v>
      </c>
      <c r="E51" s="12"/>
      <c r="F51" s="12"/>
      <c r="G51" s="12" t="s">
        <v>213</v>
      </c>
      <c r="H51" s="12"/>
      <c r="I51" s="12"/>
      <c r="J51" s="12"/>
      <c r="K51" s="12"/>
      <c r="L51" s="12"/>
      <c r="M51" s="12"/>
      <c r="N51" s="16"/>
      <c r="O51" s="12"/>
      <c r="P51" s="16" t="s">
        <v>204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6.8">
      <c r="A52" s="12"/>
      <c r="B52" s="12"/>
      <c r="C52" s="12"/>
      <c r="D52" s="12" t="s">
        <v>148</v>
      </c>
      <c r="E52" s="12"/>
      <c r="F52" s="12"/>
      <c r="G52" s="12" t="s">
        <v>214</v>
      </c>
      <c r="H52" s="12"/>
      <c r="I52" s="12"/>
      <c r="J52" s="12"/>
      <c r="K52" s="12"/>
      <c r="L52" s="12"/>
      <c r="M52" s="12"/>
      <c r="N52" s="16"/>
      <c r="O52" s="12"/>
      <c r="P52" s="16" t="s">
        <v>155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6.8">
      <c r="A53" s="12"/>
      <c r="B53" s="12"/>
      <c r="C53" s="12"/>
      <c r="D53" s="12" t="s">
        <v>148</v>
      </c>
      <c r="E53" s="12"/>
      <c r="F53" s="12"/>
      <c r="G53" s="12" t="s">
        <v>215</v>
      </c>
      <c r="H53" s="12"/>
      <c r="I53" s="12"/>
      <c r="J53" s="12"/>
      <c r="K53" s="12"/>
      <c r="L53" s="12"/>
      <c r="M53" s="12"/>
      <c r="N53" s="16"/>
      <c r="O53" s="12"/>
      <c r="P53" s="13" t="s">
        <v>164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6.8">
      <c r="A54" s="12"/>
      <c r="B54" s="12"/>
      <c r="C54" s="12"/>
      <c r="D54" s="12" t="s">
        <v>148</v>
      </c>
      <c r="E54" s="12"/>
      <c r="F54" s="12"/>
      <c r="G54" s="12" t="s">
        <v>216</v>
      </c>
      <c r="H54" s="12"/>
      <c r="I54" s="12"/>
      <c r="J54" s="12"/>
      <c r="K54" s="12"/>
      <c r="L54" s="12"/>
      <c r="M54" s="12"/>
      <c r="N54" s="16"/>
      <c r="O54" s="12"/>
      <c r="P54" s="16" t="s">
        <v>204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6.8">
      <c r="A55" s="12"/>
      <c r="B55" s="12"/>
      <c r="C55" s="12"/>
      <c r="D55" s="12" t="s">
        <v>148</v>
      </c>
      <c r="E55" s="12"/>
      <c r="F55" s="12"/>
      <c r="G55" s="12" t="s">
        <v>217</v>
      </c>
      <c r="H55" s="12"/>
      <c r="I55" s="12"/>
      <c r="J55" s="12"/>
      <c r="K55" s="12"/>
      <c r="L55" s="12"/>
      <c r="M55" s="12"/>
      <c r="N55" s="16"/>
      <c r="O55" s="12"/>
      <c r="P55" s="16" t="s">
        <v>155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6.8">
      <c r="A56" s="12"/>
      <c r="B56" s="12"/>
      <c r="C56" s="12"/>
      <c r="D56" s="12" t="s">
        <v>148</v>
      </c>
      <c r="E56" s="12"/>
      <c r="F56" s="12"/>
      <c r="G56" s="12" t="s">
        <v>218</v>
      </c>
      <c r="H56" s="12"/>
      <c r="I56" s="12"/>
      <c r="J56" s="12"/>
      <c r="K56" s="12"/>
      <c r="L56" s="12"/>
      <c r="M56" s="12"/>
      <c r="N56" s="16"/>
      <c r="O56" s="12"/>
      <c r="P56" s="13" t="s">
        <v>164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6.8">
      <c r="A57" s="12"/>
      <c r="B57" s="12"/>
      <c r="C57" s="12"/>
      <c r="D57" s="12" t="s">
        <v>148</v>
      </c>
      <c r="E57" s="12"/>
      <c r="F57" s="12"/>
      <c r="G57" s="12" t="s">
        <v>219</v>
      </c>
      <c r="H57" s="12"/>
      <c r="I57" s="12"/>
      <c r="J57" s="12"/>
      <c r="K57" s="12"/>
      <c r="L57" s="12"/>
      <c r="M57" s="12"/>
      <c r="N57" s="16"/>
      <c r="O57" s="12"/>
      <c r="P57" s="16" t="s">
        <v>204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6.8">
      <c r="A58" s="12"/>
      <c r="B58" s="12"/>
      <c r="C58" s="12"/>
      <c r="D58" s="12" t="s">
        <v>148</v>
      </c>
      <c r="E58" s="12"/>
      <c r="F58" s="12"/>
      <c r="G58" s="12" t="s">
        <v>220</v>
      </c>
      <c r="H58" s="12"/>
      <c r="I58" s="12"/>
      <c r="J58" s="12"/>
      <c r="K58" s="12"/>
      <c r="L58" s="12"/>
      <c r="M58" s="12"/>
      <c r="N58" s="16"/>
      <c r="O58" s="12"/>
      <c r="P58" s="16" t="s">
        <v>155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6.8">
      <c r="A59" s="12"/>
      <c r="B59" s="12"/>
      <c r="C59" s="12"/>
      <c r="D59" s="12" t="s">
        <v>148</v>
      </c>
      <c r="E59" s="12"/>
      <c r="F59" s="12"/>
      <c r="G59" s="12" t="s">
        <v>221</v>
      </c>
      <c r="H59" s="12"/>
      <c r="I59" s="12"/>
      <c r="J59" s="12"/>
      <c r="K59" s="12"/>
      <c r="L59" s="12"/>
      <c r="M59" s="12"/>
      <c r="N59" s="16"/>
      <c r="O59" s="12"/>
      <c r="P59" s="13" t="s">
        <v>164</v>
      </c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6.8">
      <c r="A60" s="12"/>
      <c r="B60" s="12"/>
      <c r="C60" s="12"/>
      <c r="D60" s="12" t="s">
        <v>148</v>
      </c>
      <c r="E60" s="12"/>
      <c r="F60" s="12"/>
      <c r="G60" s="12" t="s">
        <v>222</v>
      </c>
      <c r="H60" s="12"/>
      <c r="I60" s="12"/>
      <c r="J60" s="12"/>
      <c r="K60" s="12"/>
      <c r="L60" s="12"/>
      <c r="M60" s="12"/>
      <c r="N60" s="16"/>
      <c r="O60" s="12"/>
      <c r="P60" s="16" t="s">
        <v>204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6.8">
      <c r="A61" s="12"/>
      <c r="B61" s="12"/>
      <c r="C61" s="12"/>
      <c r="D61" s="12" t="s">
        <v>148</v>
      </c>
      <c r="E61" s="12"/>
      <c r="F61" s="12"/>
      <c r="G61" s="12" t="s">
        <v>223</v>
      </c>
      <c r="H61" s="12"/>
      <c r="I61" s="12"/>
      <c r="J61" s="12"/>
      <c r="K61" s="12"/>
      <c r="L61" s="12"/>
      <c r="M61" s="12"/>
      <c r="N61" s="16"/>
      <c r="O61" s="12"/>
      <c r="P61" s="16" t="s">
        <v>155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6.8">
      <c r="A62" s="12"/>
      <c r="B62" s="12"/>
      <c r="C62" s="12"/>
      <c r="D62" s="12" t="s">
        <v>148</v>
      </c>
      <c r="E62" s="12"/>
      <c r="F62" s="12"/>
      <c r="G62" s="12" t="s">
        <v>224</v>
      </c>
      <c r="H62" s="12"/>
      <c r="I62" s="12"/>
      <c r="J62" s="12"/>
      <c r="K62" s="12"/>
      <c r="L62" s="12"/>
      <c r="M62" s="12"/>
      <c r="N62" s="16"/>
      <c r="O62" s="12"/>
      <c r="P62" s="13" t="s">
        <v>164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6.8">
      <c r="A63" s="12"/>
      <c r="B63" s="12"/>
      <c r="C63" s="12"/>
      <c r="D63" s="12" t="s">
        <v>148</v>
      </c>
      <c r="E63" s="12"/>
      <c r="F63" s="12"/>
      <c r="G63" s="12" t="s">
        <v>225</v>
      </c>
      <c r="H63" s="12"/>
      <c r="I63" s="12"/>
      <c r="J63" s="12"/>
      <c r="K63" s="12"/>
      <c r="L63" s="12"/>
      <c r="M63" s="12"/>
      <c r="N63" s="16"/>
      <c r="O63" s="12"/>
      <c r="P63" s="16" t="s">
        <v>204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6.8">
      <c r="A64" s="12"/>
      <c r="B64" s="12"/>
      <c r="C64" s="12"/>
      <c r="D64" s="12" t="s">
        <v>148</v>
      </c>
      <c r="E64" s="12"/>
      <c r="F64" s="12"/>
      <c r="G64" s="12" t="s">
        <v>226</v>
      </c>
      <c r="H64" s="12"/>
      <c r="I64" s="12"/>
      <c r="J64" s="12"/>
      <c r="K64" s="12"/>
      <c r="L64" s="12"/>
      <c r="M64" s="12"/>
      <c r="N64" s="16"/>
      <c r="O64" s="12"/>
      <c r="P64" s="16" t="s">
        <v>227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6.8">
      <c r="A65" s="12"/>
      <c r="B65" s="12"/>
      <c r="C65" s="12"/>
      <c r="D65" s="12" t="s">
        <v>148</v>
      </c>
      <c r="E65" s="12"/>
      <c r="F65" s="12"/>
      <c r="G65" s="12" t="s">
        <v>228</v>
      </c>
      <c r="H65" s="12"/>
      <c r="I65" s="12"/>
      <c r="J65" s="12"/>
      <c r="K65" s="12"/>
      <c r="L65" s="12"/>
      <c r="M65" s="12"/>
      <c r="N65" s="16"/>
      <c r="O65" s="12"/>
      <c r="P65" s="16" t="s">
        <v>229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6.8">
      <c r="A66" s="12"/>
      <c r="B66" s="12"/>
      <c r="C66" s="12"/>
      <c r="D66" s="12" t="s">
        <v>148</v>
      </c>
      <c r="E66" s="12"/>
      <c r="F66" s="12"/>
      <c r="G66" s="12" t="s">
        <v>230</v>
      </c>
      <c r="H66" s="12"/>
      <c r="I66" s="12"/>
      <c r="J66" s="12"/>
      <c r="K66" s="12"/>
      <c r="L66" s="12"/>
      <c r="M66" s="12"/>
      <c r="N66" s="16"/>
      <c r="O66" s="12"/>
      <c r="P66" s="16" t="s">
        <v>231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6.8">
      <c r="A67" s="12"/>
      <c r="B67" s="12"/>
      <c r="C67" s="12"/>
      <c r="D67" s="12" t="s">
        <v>148</v>
      </c>
      <c r="E67" s="12"/>
      <c r="F67" s="12"/>
      <c r="G67" s="12" t="s">
        <v>232</v>
      </c>
      <c r="H67" s="12"/>
      <c r="I67" s="12"/>
      <c r="J67" s="12"/>
      <c r="K67" s="12"/>
      <c r="L67" s="12"/>
      <c r="M67" s="12"/>
      <c r="N67" s="16"/>
      <c r="O67" s="12"/>
      <c r="P67" s="16" t="s">
        <v>233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6.8">
      <c r="A68" s="12"/>
      <c r="B68" s="12"/>
      <c r="C68" s="12"/>
      <c r="D68" s="12" t="s">
        <v>148</v>
      </c>
      <c r="E68" s="12"/>
      <c r="F68" s="12"/>
      <c r="G68" s="12" t="s">
        <v>234</v>
      </c>
      <c r="H68" s="12"/>
      <c r="I68" s="12"/>
      <c r="J68" s="12"/>
      <c r="K68" s="12"/>
      <c r="L68" s="12"/>
      <c r="M68" s="12"/>
      <c r="N68" s="16"/>
      <c r="O68" s="12"/>
      <c r="P68" s="16" t="s">
        <v>229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6.8">
      <c r="A69" s="12"/>
      <c r="B69" s="12"/>
      <c r="C69" s="12"/>
      <c r="D69" s="12" t="s">
        <v>148</v>
      </c>
      <c r="E69" s="12"/>
      <c r="F69" s="12"/>
      <c r="G69" s="12" t="s">
        <v>235</v>
      </c>
      <c r="H69" s="12"/>
      <c r="I69" s="12"/>
      <c r="J69" s="12"/>
      <c r="K69" s="12"/>
      <c r="L69" s="12"/>
      <c r="M69" s="12"/>
      <c r="N69" s="16"/>
      <c r="O69" s="12"/>
      <c r="P69" s="16" t="s">
        <v>229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6.8">
      <c r="A70" s="12"/>
      <c r="B70" s="12"/>
      <c r="C70" s="12"/>
      <c r="D70" s="12" t="s">
        <v>148</v>
      </c>
      <c r="E70" s="12"/>
      <c r="F70" s="12"/>
      <c r="G70" s="12" t="s">
        <v>236</v>
      </c>
      <c r="H70" s="12"/>
      <c r="I70" s="12"/>
      <c r="J70" s="12"/>
      <c r="K70" s="12"/>
      <c r="L70" s="12"/>
      <c r="M70" s="12"/>
      <c r="N70" s="16"/>
      <c r="O70" s="12"/>
      <c r="P70" s="16" t="s">
        <v>229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6.8">
      <c r="A71" s="12"/>
      <c r="B71" s="12"/>
      <c r="C71" s="12"/>
      <c r="D71" s="12" t="s">
        <v>148</v>
      </c>
      <c r="E71" s="12"/>
      <c r="F71" s="12"/>
      <c r="G71" s="12" t="s">
        <v>237</v>
      </c>
      <c r="H71" s="12"/>
      <c r="I71" s="12"/>
      <c r="J71" s="12"/>
      <c r="K71" s="12"/>
      <c r="L71" s="12"/>
      <c r="M71" s="12"/>
      <c r="N71" s="16"/>
      <c r="O71" s="12"/>
      <c r="P71" s="16" t="s">
        <v>229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6.8">
      <c r="A72" s="12"/>
      <c r="B72" s="12"/>
      <c r="C72" s="12"/>
      <c r="D72" s="12" t="s">
        <v>148</v>
      </c>
      <c r="E72" s="12"/>
      <c r="F72" s="12"/>
      <c r="G72" s="12" t="s">
        <v>238</v>
      </c>
      <c r="H72" s="12"/>
      <c r="I72" s="12"/>
      <c r="J72" s="12"/>
      <c r="K72" s="12"/>
      <c r="L72" s="12"/>
      <c r="M72" s="12"/>
      <c r="N72" s="16"/>
      <c r="O72" s="12"/>
      <c r="P72" s="16" t="s">
        <v>229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6.8">
      <c r="A73" s="12"/>
      <c r="B73" s="12"/>
      <c r="C73" s="12"/>
      <c r="D73" s="12" t="s">
        <v>148</v>
      </c>
      <c r="E73" s="12"/>
      <c r="F73" s="12"/>
      <c r="G73" s="12" t="s">
        <v>239</v>
      </c>
      <c r="H73" s="12"/>
      <c r="I73" s="12"/>
      <c r="J73" s="12"/>
      <c r="K73" s="12"/>
      <c r="L73" s="12"/>
      <c r="M73" s="12"/>
      <c r="N73" s="16"/>
      <c r="O73" s="12"/>
      <c r="P73" s="16" t="s">
        <v>229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6.8">
      <c r="A74" s="12"/>
      <c r="B74" s="12"/>
      <c r="C74" s="12"/>
      <c r="D74" s="12" t="s">
        <v>148</v>
      </c>
      <c r="E74" s="12"/>
      <c r="F74" s="12"/>
      <c r="G74" s="12" t="s">
        <v>240</v>
      </c>
      <c r="H74" s="12"/>
      <c r="I74" s="12"/>
      <c r="J74" s="12"/>
      <c r="K74" s="12"/>
      <c r="L74" s="12"/>
      <c r="M74" s="12"/>
      <c r="N74" s="16"/>
      <c r="O74" s="12"/>
      <c r="P74" s="16" t="s">
        <v>241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6.8">
      <c r="A75" s="12"/>
      <c r="B75" s="12"/>
      <c r="C75" s="12"/>
      <c r="D75" s="12" t="s">
        <v>148</v>
      </c>
      <c r="E75" s="12"/>
      <c r="F75" s="12"/>
      <c r="G75" s="12" t="s">
        <v>242</v>
      </c>
      <c r="H75" s="12"/>
      <c r="I75" s="12"/>
      <c r="J75" s="12"/>
      <c r="K75" s="12"/>
      <c r="L75" s="12"/>
      <c r="M75" s="12"/>
      <c r="N75" s="16"/>
      <c r="O75" s="12"/>
      <c r="P75" s="16" t="s">
        <v>229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6.8">
      <c r="A76" s="12"/>
      <c r="B76" s="12"/>
      <c r="C76" s="12"/>
      <c r="D76" s="12" t="s">
        <v>148</v>
      </c>
      <c r="E76" s="12"/>
      <c r="F76" s="12"/>
      <c r="G76" s="12" t="s">
        <v>243</v>
      </c>
      <c r="H76" s="12"/>
      <c r="I76" s="12"/>
      <c r="J76" s="12"/>
      <c r="K76" s="12"/>
      <c r="L76" s="12"/>
      <c r="M76" s="12"/>
      <c r="N76" s="16"/>
      <c r="O76" s="12"/>
      <c r="P76" s="16" t="s">
        <v>244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6.8">
      <c r="A77" s="12"/>
      <c r="B77" s="12"/>
      <c r="C77" s="12"/>
      <c r="D77" s="12" t="s">
        <v>148</v>
      </c>
      <c r="E77" s="12"/>
      <c r="F77" s="12"/>
      <c r="G77" s="12" t="s">
        <v>245</v>
      </c>
      <c r="H77" s="12"/>
      <c r="I77" s="12"/>
      <c r="J77" s="12"/>
      <c r="K77" s="12"/>
      <c r="L77" s="12"/>
      <c r="M77" s="12"/>
      <c r="N77" s="16"/>
      <c r="O77" s="12"/>
      <c r="P77" s="16" t="s">
        <v>155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6.8">
      <c r="A78" s="12"/>
      <c r="B78" s="12"/>
      <c r="C78" s="12"/>
      <c r="D78" s="12" t="s">
        <v>148</v>
      </c>
      <c r="E78" s="12"/>
      <c r="F78" s="12"/>
      <c r="G78" s="12" t="s">
        <v>246</v>
      </c>
      <c r="H78" s="12"/>
      <c r="I78" s="12"/>
      <c r="J78" s="12"/>
      <c r="K78" s="12"/>
      <c r="L78" s="12"/>
      <c r="M78" s="12"/>
      <c r="N78" s="16"/>
      <c r="O78" s="12"/>
      <c r="P78" s="16" t="s">
        <v>247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6.8">
      <c r="A79" s="12"/>
      <c r="B79" s="12"/>
      <c r="C79" s="12"/>
      <c r="D79" s="12" t="s">
        <v>148</v>
      </c>
      <c r="E79" s="12"/>
      <c r="F79" s="12"/>
      <c r="G79" s="12" t="s">
        <v>248</v>
      </c>
      <c r="H79" s="12"/>
      <c r="I79" s="12"/>
      <c r="J79" s="12"/>
      <c r="K79" s="12"/>
      <c r="L79" s="12"/>
      <c r="M79" s="12"/>
      <c r="N79" s="16"/>
      <c r="O79" s="12"/>
      <c r="P79" s="16" t="s">
        <v>249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6.8">
      <c r="A80" s="12"/>
      <c r="B80" s="12"/>
      <c r="C80" s="12"/>
      <c r="D80" s="12" t="s">
        <v>148</v>
      </c>
      <c r="E80" s="12"/>
      <c r="F80" s="12"/>
      <c r="G80" s="12" t="s">
        <v>250</v>
      </c>
      <c r="H80" s="12"/>
      <c r="I80" s="12"/>
      <c r="J80" s="12"/>
      <c r="K80" s="12"/>
      <c r="L80" s="12"/>
      <c r="M80" s="12"/>
      <c r="N80" s="16"/>
      <c r="O80" s="12"/>
      <c r="P80" s="16" t="s">
        <v>241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6.8">
      <c r="A81" s="12"/>
      <c r="B81" s="12"/>
      <c r="C81" s="12"/>
      <c r="D81" s="12" t="s">
        <v>148</v>
      </c>
      <c r="E81" s="12"/>
      <c r="F81" s="12"/>
      <c r="G81" s="12" t="s">
        <v>251</v>
      </c>
      <c r="H81" s="12"/>
      <c r="I81" s="12"/>
      <c r="J81" s="12"/>
      <c r="K81" s="12"/>
      <c r="L81" s="12"/>
      <c r="M81" s="12"/>
      <c r="N81" s="16"/>
      <c r="O81" s="12"/>
      <c r="P81" s="16" t="s">
        <v>252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6.8">
      <c r="A82" s="12"/>
      <c r="B82" s="12"/>
      <c r="C82" s="12"/>
      <c r="D82" s="12" t="s">
        <v>148</v>
      </c>
      <c r="E82" s="12"/>
      <c r="F82" s="12"/>
      <c r="G82" s="12" t="s">
        <v>253</v>
      </c>
      <c r="H82" s="12"/>
      <c r="I82" s="12"/>
      <c r="J82" s="12"/>
      <c r="K82" s="12"/>
      <c r="L82" s="12"/>
      <c r="M82" s="12"/>
      <c r="N82" s="16"/>
      <c r="O82" s="12"/>
      <c r="P82" s="16" t="s">
        <v>254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6.8">
      <c r="A83" s="12"/>
      <c r="B83" s="12"/>
      <c r="C83" s="12"/>
      <c r="D83" s="12" t="s">
        <v>148</v>
      </c>
      <c r="E83" s="12"/>
      <c r="F83" s="12"/>
      <c r="G83" s="12" t="s">
        <v>255</v>
      </c>
      <c r="H83" s="12"/>
      <c r="I83" s="12"/>
      <c r="J83" s="12"/>
      <c r="K83" s="12"/>
      <c r="L83" s="12"/>
      <c r="M83" s="12"/>
      <c r="N83" s="16"/>
      <c r="O83" s="12"/>
      <c r="P83" s="16" t="s">
        <v>256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6.8">
      <c r="A84" s="12"/>
      <c r="B84" s="12"/>
      <c r="C84" s="12"/>
      <c r="D84" s="12" t="s">
        <v>148</v>
      </c>
      <c r="E84" s="12"/>
      <c r="F84" s="12"/>
      <c r="G84" s="12" t="s">
        <v>257</v>
      </c>
      <c r="H84" s="12"/>
      <c r="I84" s="12"/>
      <c r="J84" s="12"/>
      <c r="K84" s="12"/>
      <c r="L84" s="12"/>
      <c r="M84" s="12"/>
      <c r="N84" s="16"/>
      <c r="O84" s="12"/>
      <c r="P84" s="16" t="s">
        <v>258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6.8">
      <c r="A85" s="12"/>
      <c r="B85" s="12"/>
      <c r="C85" s="12"/>
      <c r="D85" s="12" t="s">
        <v>148</v>
      </c>
      <c r="E85" s="12"/>
      <c r="F85" s="12"/>
      <c r="G85" s="12" t="s">
        <v>259</v>
      </c>
      <c r="H85" s="12"/>
      <c r="I85" s="12"/>
      <c r="J85" s="12"/>
      <c r="K85" s="12"/>
      <c r="L85" s="12"/>
      <c r="M85" s="12"/>
      <c r="N85" s="16"/>
      <c r="O85" s="12"/>
      <c r="P85" s="16" t="s">
        <v>260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6.8">
      <c r="A86" s="12"/>
      <c r="B86" s="12"/>
      <c r="C86" s="12"/>
      <c r="D86" s="12" t="s">
        <v>148</v>
      </c>
      <c r="E86" s="12"/>
      <c r="F86" s="12"/>
      <c r="G86" s="12" t="s">
        <v>261</v>
      </c>
      <c r="H86" s="12"/>
      <c r="I86" s="12"/>
      <c r="J86" s="12"/>
      <c r="K86" s="12"/>
      <c r="L86" s="12"/>
      <c r="M86" s="12"/>
      <c r="N86" s="16"/>
      <c r="O86" s="12"/>
      <c r="P86" s="16" t="s">
        <v>258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6.8">
      <c r="A87" s="12"/>
      <c r="B87" s="12"/>
      <c r="C87" s="12"/>
      <c r="D87" s="12" t="s">
        <v>148</v>
      </c>
      <c r="E87" s="12"/>
      <c r="F87" s="12"/>
      <c r="G87" s="12" t="s">
        <v>262</v>
      </c>
      <c r="H87" s="12"/>
      <c r="I87" s="12"/>
      <c r="J87" s="12"/>
      <c r="K87" s="12"/>
      <c r="L87" s="12"/>
      <c r="M87" s="12"/>
      <c r="N87" s="16"/>
      <c r="O87" s="12"/>
      <c r="P87" s="16" t="s">
        <v>258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6.8">
      <c r="A88" s="12"/>
      <c r="B88" s="12"/>
      <c r="C88" s="12"/>
      <c r="D88" s="12" t="s">
        <v>148</v>
      </c>
      <c r="E88" s="12"/>
      <c r="F88" s="12"/>
      <c r="G88" s="12" t="s">
        <v>263</v>
      </c>
      <c r="H88" s="12"/>
      <c r="I88" s="12"/>
      <c r="J88" s="12"/>
      <c r="K88" s="12"/>
      <c r="L88" s="12"/>
      <c r="M88" s="12"/>
      <c r="N88" s="16"/>
      <c r="O88" s="12"/>
      <c r="P88" s="16" t="s">
        <v>258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6.8">
      <c r="A89" s="12"/>
      <c r="B89" s="12"/>
      <c r="C89" s="12"/>
      <c r="D89" s="12" t="s">
        <v>148</v>
      </c>
      <c r="E89" s="12"/>
      <c r="F89" s="12"/>
      <c r="G89" s="12" t="s">
        <v>264</v>
      </c>
      <c r="H89" s="12"/>
      <c r="I89" s="12"/>
      <c r="J89" s="12"/>
      <c r="K89" s="12"/>
      <c r="L89" s="12"/>
      <c r="M89" s="12"/>
      <c r="N89" s="16"/>
      <c r="O89" s="12"/>
      <c r="P89" s="16" t="s">
        <v>258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6.8">
      <c r="A90" s="12"/>
      <c r="B90" s="12"/>
      <c r="C90" s="12"/>
      <c r="D90" s="12" t="s">
        <v>148</v>
      </c>
      <c r="E90" s="12"/>
      <c r="F90" s="12"/>
      <c r="G90" s="12" t="s">
        <v>265</v>
      </c>
      <c r="H90" s="12"/>
      <c r="I90" s="12"/>
      <c r="J90" s="12"/>
      <c r="K90" s="12"/>
      <c r="L90" s="12"/>
      <c r="M90" s="12"/>
      <c r="N90" s="16"/>
      <c r="O90" s="12"/>
      <c r="P90" s="16" t="s">
        <v>266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6.8">
      <c r="A91" s="12"/>
      <c r="B91" s="12"/>
      <c r="C91" s="12"/>
      <c r="D91" s="12" t="s">
        <v>148</v>
      </c>
      <c r="E91" s="12"/>
      <c r="F91" s="12"/>
      <c r="G91" s="12" t="s">
        <v>267</v>
      </c>
      <c r="H91" s="12"/>
      <c r="I91" s="12"/>
      <c r="J91" s="12"/>
      <c r="K91" s="12"/>
      <c r="L91" s="12"/>
      <c r="M91" s="12"/>
      <c r="N91" s="16"/>
      <c r="O91" s="12"/>
      <c r="P91" s="16" t="s">
        <v>268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6.8">
      <c r="A92" s="12"/>
      <c r="B92" s="12"/>
      <c r="C92" s="12"/>
      <c r="D92" s="12" t="s">
        <v>148</v>
      </c>
      <c r="E92" s="12"/>
      <c r="F92" s="12"/>
      <c r="G92" s="12" t="s">
        <v>269</v>
      </c>
      <c r="H92" s="12"/>
      <c r="I92" s="12"/>
      <c r="J92" s="12"/>
      <c r="K92" s="12"/>
      <c r="L92" s="12"/>
      <c r="M92" s="12"/>
      <c r="N92" s="16"/>
      <c r="O92" s="12"/>
      <c r="P92" s="16" t="s">
        <v>258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6.8">
      <c r="A93" s="12"/>
      <c r="B93" s="12"/>
      <c r="C93" s="12"/>
      <c r="D93" s="12" t="s">
        <v>148</v>
      </c>
      <c r="E93" s="12"/>
      <c r="F93" s="12"/>
      <c r="G93" s="12" t="s">
        <v>270</v>
      </c>
      <c r="H93" s="12"/>
      <c r="I93" s="12"/>
      <c r="J93" s="12"/>
      <c r="K93" s="12"/>
      <c r="L93" s="12"/>
      <c r="M93" s="12"/>
      <c r="N93" s="16"/>
      <c r="O93" s="12"/>
      <c r="P93" s="16" t="s">
        <v>258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6.8">
      <c r="A94" s="12"/>
      <c r="B94" s="12"/>
      <c r="C94" s="12"/>
      <c r="D94" s="12" t="s">
        <v>148</v>
      </c>
      <c r="E94" s="12"/>
      <c r="F94" s="12"/>
      <c r="G94" s="12" t="s">
        <v>271</v>
      </c>
      <c r="H94" s="12"/>
      <c r="I94" s="12"/>
      <c r="J94" s="12"/>
      <c r="K94" s="12"/>
      <c r="L94" s="12"/>
      <c r="M94" s="12"/>
      <c r="N94" s="16"/>
      <c r="O94" s="12"/>
      <c r="P94" s="16" t="s">
        <v>258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6.8">
      <c r="A95" s="12"/>
      <c r="B95" s="12"/>
      <c r="C95" s="12"/>
      <c r="D95" s="12" t="s">
        <v>148</v>
      </c>
      <c r="E95" s="12"/>
      <c r="F95" s="12"/>
      <c r="G95" s="12" t="s">
        <v>272</v>
      </c>
      <c r="H95" s="12"/>
      <c r="I95" s="12"/>
      <c r="J95" s="12"/>
      <c r="K95" s="12"/>
      <c r="L95" s="12"/>
      <c r="M95" s="12"/>
      <c r="N95" s="16"/>
      <c r="O95" s="12"/>
      <c r="P95" s="16" t="s">
        <v>273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6.8">
      <c r="A96" s="12"/>
      <c r="B96" s="12"/>
      <c r="C96" s="12"/>
      <c r="D96" s="12" t="s">
        <v>148</v>
      </c>
      <c r="E96" s="12"/>
      <c r="F96" s="12"/>
      <c r="G96" s="12" t="s">
        <v>274</v>
      </c>
      <c r="H96" s="12"/>
      <c r="I96" s="12"/>
      <c r="J96" s="12"/>
      <c r="K96" s="12"/>
      <c r="L96" s="12"/>
      <c r="M96" s="12"/>
      <c r="N96" s="16"/>
      <c r="O96" s="12"/>
      <c r="P96" s="16" t="s">
        <v>204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6.8">
      <c r="A97" s="12"/>
      <c r="B97" s="12"/>
      <c r="C97" s="12"/>
      <c r="D97" s="12" t="s">
        <v>148</v>
      </c>
      <c r="E97" s="12"/>
      <c r="F97" s="12"/>
      <c r="G97" s="12" t="s">
        <v>275</v>
      </c>
      <c r="H97" s="12"/>
      <c r="I97" s="12"/>
      <c r="J97" s="12"/>
      <c r="K97" s="12"/>
      <c r="L97" s="12"/>
      <c r="M97" s="12"/>
      <c r="N97" s="16"/>
      <c r="O97" s="12"/>
      <c r="P97" s="16" t="s">
        <v>204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6.8">
      <c r="A98" s="12"/>
      <c r="B98" s="12"/>
      <c r="C98" s="12"/>
      <c r="D98" s="12" t="s">
        <v>148</v>
      </c>
      <c r="E98" s="12"/>
      <c r="F98" s="12"/>
      <c r="G98" s="12" t="s">
        <v>276</v>
      </c>
      <c r="H98" s="12"/>
      <c r="I98" s="12"/>
      <c r="J98" s="12"/>
      <c r="K98" s="12"/>
      <c r="L98" s="12"/>
      <c r="M98" s="12"/>
      <c r="N98" s="16"/>
      <c r="O98" s="12"/>
      <c r="P98" s="16" t="s">
        <v>204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6.8">
      <c r="A99" s="12"/>
      <c r="B99" s="12"/>
      <c r="C99" s="12"/>
      <c r="D99" s="12" t="s">
        <v>148</v>
      </c>
      <c r="E99" s="12"/>
      <c r="F99" s="12"/>
      <c r="G99" s="12" t="s">
        <v>277</v>
      </c>
      <c r="H99" s="12"/>
      <c r="I99" s="12"/>
      <c r="J99" s="12"/>
      <c r="K99" s="12"/>
      <c r="L99" s="12"/>
      <c r="M99" s="12"/>
      <c r="N99" s="16"/>
      <c r="O99" s="12"/>
      <c r="P99" s="16" t="s">
        <v>204</v>
      </c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6.8">
      <c r="A100" s="12"/>
      <c r="B100" s="12"/>
      <c r="C100" s="12"/>
      <c r="D100" s="12" t="s">
        <v>148</v>
      </c>
      <c r="E100" s="12"/>
      <c r="F100" s="12"/>
      <c r="G100" s="12" t="s">
        <v>278</v>
      </c>
      <c r="H100" s="12"/>
      <c r="I100" s="12"/>
      <c r="J100" s="12"/>
      <c r="K100" s="12"/>
      <c r="L100" s="12"/>
      <c r="M100" s="12"/>
      <c r="N100" s="16"/>
      <c r="O100" s="12"/>
      <c r="P100" s="16" t="s">
        <v>204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6.8">
      <c r="A101" s="12"/>
      <c r="B101" s="12"/>
      <c r="C101" s="12"/>
      <c r="D101" s="12" t="s">
        <v>148</v>
      </c>
      <c r="E101" s="12"/>
      <c r="F101" s="12"/>
      <c r="G101" s="12" t="s">
        <v>279</v>
      </c>
      <c r="H101" s="12"/>
      <c r="I101" s="12"/>
      <c r="J101" s="12"/>
      <c r="K101" s="12"/>
      <c r="L101" s="12"/>
      <c r="M101" s="12"/>
      <c r="N101" s="16"/>
      <c r="O101" s="12"/>
      <c r="P101" s="16" t="s">
        <v>204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6.8">
      <c r="A102" s="12"/>
      <c r="B102" s="12"/>
      <c r="C102" s="12"/>
      <c r="D102" s="12" t="s">
        <v>148</v>
      </c>
      <c r="E102" s="12"/>
      <c r="F102" s="12"/>
      <c r="G102" s="12" t="s">
        <v>280</v>
      </c>
      <c r="H102" s="12"/>
      <c r="I102" s="12"/>
      <c r="J102" s="12"/>
      <c r="K102" s="12"/>
      <c r="L102" s="12"/>
      <c r="M102" s="12"/>
      <c r="N102" s="16"/>
      <c r="O102" s="12"/>
      <c r="P102" s="16" t="s">
        <v>204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6.8">
      <c r="A103" s="12"/>
      <c r="B103" s="12"/>
      <c r="C103" s="12"/>
      <c r="D103" s="12" t="s">
        <v>148</v>
      </c>
      <c r="E103" s="12"/>
      <c r="F103" s="12"/>
      <c r="G103" s="12" t="s">
        <v>281</v>
      </c>
      <c r="H103" s="12"/>
      <c r="I103" s="12"/>
      <c r="J103" s="12"/>
      <c r="K103" s="12"/>
      <c r="L103" s="12"/>
      <c r="M103" s="12"/>
      <c r="N103" s="16"/>
      <c r="O103" s="12"/>
      <c r="P103" s="16" t="s">
        <v>204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6.8">
      <c r="A104" s="12"/>
      <c r="B104" s="12"/>
      <c r="C104" s="12"/>
      <c r="D104" s="12" t="s">
        <v>148</v>
      </c>
      <c r="E104" s="12"/>
      <c r="F104" s="12"/>
      <c r="G104" s="12" t="s">
        <v>282</v>
      </c>
      <c r="H104" s="12"/>
      <c r="I104" s="12"/>
      <c r="J104" s="12"/>
      <c r="K104" s="12"/>
      <c r="L104" s="12"/>
      <c r="M104" s="12"/>
      <c r="N104" s="16"/>
      <c r="O104" s="12"/>
      <c r="P104" s="16" t="s">
        <v>204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6.8">
      <c r="A105" s="12"/>
      <c r="B105" s="12"/>
      <c r="C105" s="12"/>
      <c r="D105" s="12" t="s">
        <v>148</v>
      </c>
      <c r="E105" s="12"/>
      <c r="F105" s="12"/>
      <c r="G105" s="12" t="s">
        <v>283</v>
      </c>
      <c r="H105" s="12"/>
      <c r="I105" s="12"/>
      <c r="J105" s="12"/>
      <c r="K105" s="12"/>
      <c r="L105" s="12"/>
      <c r="M105" s="12"/>
      <c r="N105" s="16"/>
      <c r="O105" s="12"/>
      <c r="P105" s="16" t="s">
        <v>204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6.8">
      <c r="A106" s="12"/>
      <c r="B106" s="12"/>
      <c r="C106" s="12"/>
      <c r="D106" s="12" t="s">
        <v>148</v>
      </c>
      <c r="E106" s="12"/>
      <c r="F106" s="12"/>
      <c r="G106" s="12" t="s">
        <v>284</v>
      </c>
      <c r="H106" s="12"/>
      <c r="I106" s="12"/>
      <c r="J106" s="12"/>
      <c r="K106" s="12"/>
      <c r="L106" s="12"/>
      <c r="M106" s="12"/>
      <c r="N106" s="16"/>
      <c r="O106" s="12"/>
      <c r="P106" s="16" t="s">
        <v>204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6.8">
      <c r="A107" s="12"/>
      <c r="B107" s="12"/>
      <c r="C107" s="12"/>
      <c r="D107" s="12" t="s">
        <v>148</v>
      </c>
      <c r="E107" s="12"/>
      <c r="F107" s="12"/>
      <c r="G107" s="12" t="s">
        <v>285</v>
      </c>
      <c r="H107" s="12"/>
      <c r="I107" s="12"/>
      <c r="J107" s="12"/>
      <c r="K107" s="12"/>
      <c r="L107" s="12"/>
      <c r="M107" s="12"/>
      <c r="N107" s="16"/>
      <c r="O107" s="12"/>
      <c r="P107" s="16" t="s">
        <v>204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6.8">
      <c r="A108" s="12"/>
      <c r="B108" s="12"/>
      <c r="C108" s="12"/>
      <c r="D108" s="12" t="s">
        <v>148</v>
      </c>
      <c r="E108" s="12"/>
      <c r="F108" s="12"/>
      <c r="G108" s="12" t="s">
        <v>286</v>
      </c>
      <c r="H108" s="12"/>
      <c r="I108" s="12"/>
      <c r="J108" s="12"/>
      <c r="K108" s="12"/>
      <c r="L108" s="12"/>
      <c r="M108" s="12"/>
      <c r="N108" s="16"/>
      <c r="O108" s="12"/>
      <c r="P108" s="16" t="s">
        <v>204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6.8">
      <c r="A109" s="12"/>
      <c r="B109" s="12"/>
      <c r="C109" s="12"/>
      <c r="D109" s="12" t="s">
        <v>148</v>
      </c>
      <c r="E109" s="12"/>
      <c r="F109" s="12"/>
      <c r="G109" s="12" t="s">
        <v>287</v>
      </c>
      <c r="H109" s="12"/>
      <c r="I109" s="12"/>
      <c r="J109" s="12"/>
      <c r="K109" s="12"/>
      <c r="L109" s="12"/>
      <c r="M109" s="12"/>
      <c r="N109" s="16"/>
      <c r="O109" s="12"/>
      <c r="P109" s="16" t="s">
        <v>204</v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6.8">
      <c r="A110" s="12"/>
      <c r="B110" s="12"/>
      <c r="C110" s="12"/>
      <c r="D110" s="12" t="s">
        <v>148</v>
      </c>
      <c r="E110" s="12"/>
      <c r="F110" s="12"/>
      <c r="G110" s="12" t="s">
        <v>288</v>
      </c>
      <c r="H110" s="12"/>
      <c r="I110" s="12"/>
      <c r="J110" s="12"/>
      <c r="K110" s="12"/>
      <c r="L110" s="12"/>
      <c r="M110" s="12"/>
      <c r="N110" s="16"/>
      <c r="O110" s="12"/>
      <c r="P110" s="16" t="s">
        <v>204</v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6.8">
      <c r="A111" s="12"/>
      <c r="B111" s="12"/>
      <c r="C111" s="12"/>
      <c r="D111" s="12" t="s">
        <v>148</v>
      </c>
      <c r="E111" s="12"/>
      <c r="F111" s="12"/>
      <c r="G111" s="12" t="s">
        <v>289</v>
      </c>
      <c r="H111" s="12"/>
      <c r="I111" s="12"/>
      <c r="J111" s="12"/>
      <c r="K111" s="12"/>
      <c r="L111" s="12"/>
      <c r="M111" s="12"/>
      <c r="N111" s="16"/>
      <c r="O111" s="12"/>
      <c r="P111" s="16" t="s">
        <v>204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6.8">
      <c r="A112" s="12"/>
      <c r="B112" s="12"/>
      <c r="C112" s="12"/>
      <c r="D112" s="12" t="s">
        <v>148</v>
      </c>
      <c r="E112" s="12"/>
      <c r="F112" s="12"/>
      <c r="G112" s="12" t="s">
        <v>290</v>
      </c>
      <c r="H112" s="12"/>
      <c r="I112" s="12"/>
      <c r="J112" s="12"/>
      <c r="K112" s="12"/>
      <c r="L112" s="12"/>
      <c r="M112" s="12"/>
      <c r="N112" s="16"/>
      <c r="O112" s="12"/>
      <c r="P112" s="16" t="s">
        <v>204</v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6.8">
      <c r="A113" s="12"/>
      <c r="B113" s="12"/>
      <c r="C113" s="12"/>
      <c r="D113" s="12" t="s">
        <v>148</v>
      </c>
      <c r="E113" s="12"/>
      <c r="F113" s="12"/>
      <c r="G113" s="12" t="s">
        <v>291</v>
      </c>
      <c r="H113" s="12"/>
      <c r="I113" s="12"/>
      <c r="J113" s="12"/>
      <c r="K113" s="12"/>
      <c r="L113" s="12"/>
      <c r="M113" s="12"/>
      <c r="N113" s="16"/>
      <c r="O113" s="12"/>
      <c r="P113" s="16" t="s">
        <v>204</v>
      </c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6.8">
      <c r="A114" s="12"/>
      <c r="B114" s="12"/>
      <c r="C114" s="12"/>
      <c r="D114" s="12" t="s">
        <v>148</v>
      </c>
      <c r="E114" s="12"/>
      <c r="F114" s="12"/>
      <c r="G114" s="12" t="s">
        <v>292</v>
      </c>
      <c r="H114" s="12"/>
      <c r="I114" s="12"/>
      <c r="J114" s="12"/>
      <c r="K114" s="12"/>
      <c r="L114" s="12"/>
      <c r="M114" s="12"/>
      <c r="N114" s="12"/>
      <c r="O114" s="12"/>
      <c r="P114" s="12" t="s">
        <v>293</v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6.8">
      <c r="A115" s="12"/>
      <c r="B115" s="12"/>
      <c r="C115" s="12"/>
      <c r="D115" s="12" t="s">
        <v>148</v>
      </c>
      <c r="E115" s="12"/>
      <c r="F115" s="12"/>
      <c r="G115" s="12" t="s">
        <v>294</v>
      </c>
      <c r="H115" s="12"/>
      <c r="I115" s="12"/>
      <c r="J115" s="12"/>
      <c r="K115" s="12"/>
      <c r="L115" s="12"/>
      <c r="M115" s="12"/>
      <c r="N115" s="12"/>
      <c r="O115" s="12"/>
      <c r="P115" s="12" t="s">
        <v>295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6.8">
      <c r="A116" s="12"/>
      <c r="B116" s="12"/>
      <c r="C116" s="12"/>
      <c r="D116" s="12" t="s">
        <v>148</v>
      </c>
      <c r="E116" s="12"/>
      <c r="F116" s="12"/>
      <c r="G116" s="12" t="s">
        <v>296</v>
      </c>
      <c r="H116" s="12"/>
      <c r="I116" s="12"/>
      <c r="J116" s="12"/>
      <c r="K116" s="12"/>
      <c r="L116" s="12"/>
      <c r="M116" s="12"/>
      <c r="N116" s="16"/>
      <c r="O116" s="12"/>
      <c r="P116" s="16" t="s">
        <v>155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6.8">
      <c r="A117" s="12"/>
      <c r="B117" s="12"/>
      <c r="C117" s="12"/>
      <c r="D117" s="12" t="s">
        <v>148</v>
      </c>
      <c r="E117" s="12"/>
      <c r="F117" s="12"/>
      <c r="G117" s="12" t="s">
        <v>297</v>
      </c>
      <c r="H117" s="12"/>
      <c r="I117" s="12"/>
      <c r="J117" s="12"/>
      <c r="K117" s="12"/>
      <c r="L117" s="12"/>
      <c r="M117" s="12"/>
      <c r="N117" s="16"/>
      <c r="O117" s="12"/>
      <c r="P117" s="16" t="s">
        <v>298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6.8">
      <c r="A118" s="12"/>
      <c r="B118" s="12"/>
      <c r="C118" s="12"/>
      <c r="D118" s="12" t="s">
        <v>148</v>
      </c>
      <c r="E118" s="12"/>
      <c r="F118" s="12"/>
      <c r="G118" s="12" t="s">
        <v>299</v>
      </c>
      <c r="H118" s="12"/>
      <c r="I118" s="12"/>
      <c r="J118" s="12"/>
      <c r="K118" s="12"/>
      <c r="L118" s="12"/>
      <c r="M118" s="12"/>
      <c r="N118" s="16"/>
      <c r="O118" s="12"/>
      <c r="P118" s="16" t="s">
        <v>300</v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6.8">
      <c r="A119" s="12"/>
      <c r="B119" s="12"/>
      <c r="C119" s="12"/>
      <c r="D119" s="12" t="s">
        <v>148</v>
      </c>
      <c r="E119" s="12"/>
      <c r="F119" s="12"/>
      <c r="G119" s="12" t="s">
        <v>301</v>
      </c>
      <c r="H119" s="12"/>
      <c r="I119" s="12"/>
      <c r="J119" s="12"/>
      <c r="K119" s="12"/>
      <c r="L119" s="12"/>
      <c r="M119" s="12"/>
      <c r="N119" s="16"/>
      <c r="O119" s="12"/>
      <c r="P119" s="16" t="s">
        <v>150</v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6.8">
      <c r="A120" s="12"/>
      <c r="B120" s="12"/>
      <c r="C120" s="12"/>
      <c r="D120" s="12" t="s">
        <v>148</v>
      </c>
      <c r="E120" s="12"/>
      <c r="F120" s="12"/>
      <c r="G120" s="12" t="s">
        <v>302</v>
      </c>
      <c r="H120" s="12"/>
      <c r="I120" s="12"/>
      <c r="J120" s="12"/>
      <c r="K120" s="12"/>
      <c r="L120" s="12"/>
      <c r="M120" s="12"/>
      <c r="N120" s="16"/>
      <c r="O120" s="12"/>
      <c r="P120" s="16" t="s">
        <v>150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6.8">
      <c r="A121" s="12"/>
      <c r="B121" s="12"/>
      <c r="C121" s="12"/>
      <c r="D121" s="12" t="s">
        <v>148</v>
      </c>
      <c r="E121" s="12"/>
      <c r="F121" s="12"/>
      <c r="G121" s="12" t="s">
        <v>303</v>
      </c>
      <c r="H121" s="12"/>
      <c r="I121" s="12"/>
      <c r="J121" s="12"/>
      <c r="K121" s="12"/>
      <c r="L121" s="12"/>
      <c r="M121" s="12"/>
      <c r="N121" s="12"/>
      <c r="O121" s="12"/>
      <c r="P121" s="12" t="s">
        <v>304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6.8">
      <c r="A122" s="12"/>
      <c r="B122" s="12"/>
      <c r="C122" s="12"/>
      <c r="D122" s="12" t="s">
        <v>148</v>
      </c>
      <c r="E122" s="12"/>
      <c r="F122" s="12"/>
      <c r="G122" s="12" t="s">
        <v>305</v>
      </c>
      <c r="H122" s="12"/>
      <c r="I122" s="12"/>
      <c r="J122" s="12"/>
      <c r="K122" s="12"/>
      <c r="L122" s="12"/>
      <c r="M122" s="12"/>
      <c r="N122" s="16"/>
      <c r="O122" s="12"/>
      <c r="P122" s="16" t="s">
        <v>295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6.8">
      <c r="A123" s="12"/>
      <c r="B123" s="12"/>
      <c r="C123" s="12"/>
      <c r="D123" s="12" t="s">
        <v>148</v>
      </c>
      <c r="E123" s="12"/>
      <c r="F123" s="12"/>
      <c r="G123" s="12" t="s">
        <v>306</v>
      </c>
      <c r="H123" s="12"/>
      <c r="I123" s="12"/>
      <c r="J123" s="12"/>
      <c r="K123" s="12"/>
      <c r="L123" s="12"/>
      <c r="M123" s="12"/>
      <c r="N123" s="16"/>
      <c r="O123" s="12"/>
      <c r="P123" s="16" t="s">
        <v>164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6.8">
      <c r="A124" s="12"/>
      <c r="B124" s="12"/>
      <c r="C124" s="12"/>
      <c r="D124" s="12" t="s">
        <v>148</v>
      </c>
      <c r="E124" s="12"/>
      <c r="F124" s="12"/>
      <c r="G124" s="12" t="s">
        <v>307</v>
      </c>
      <c r="H124" s="12"/>
      <c r="I124" s="12"/>
      <c r="J124" s="12"/>
      <c r="K124" s="12"/>
      <c r="L124" s="12"/>
      <c r="M124" s="12"/>
      <c r="N124" s="16"/>
      <c r="O124" s="12"/>
      <c r="P124" s="16" t="s">
        <v>304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6.8">
      <c r="A125" s="12"/>
      <c r="B125" s="12"/>
      <c r="C125" s="12"/>
      <c r="D125" s="12" t="s">
        <v>148</v>
      </c>
      <c r="E125" s="12"/>
      <c r="F125" s="12"/>
      <c r="G125" s="12" t="s">
        <v>308</v>
      </c>
      <c r="H125" s="12"/>
      <c r="I125" s="12"/>
      <c r="J125" s="12"/>
      <c r="K125" s="12"/>
      <c r="L125" s="12"/>
      <c r="M125" s="12"/>
      <c r="N125" s="16"/>
      <c r="O125" s="12"/>
      <c r="P125" s="16" t="s">
        <v>309</v>
      </c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6.8">
      <c r="A126" s="12"/>
      <c r="B126" s="12"/>
      <c r="C126" s="12"/>
      <c r="D126" s="12" t="s">
        <v>148</v>
      </c>
      <c r="E126" s="12"/>
      <c r="F126" s="12"/>
      <c r="G126" s="12" t="s">
        <v>310</v>
      </c>
      <c r="H126" s="12"/>
      <c r="I126" s="12"/>
      <c r="J126" s="12"/>
      <c r="K126" s="12"/>
      <c r="L126" s="12"/>
      <c r="M126" s="12"/>
      <c r="N126" s="16"/>
      <c r="O126" s="12"/>
      <c r="P126" s="16" t="s">
        <v>150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6.8">
      <c r="A127" s="12"/>
      <c r="B127" s="12"/>
      <c r="C127" s="12"/>
      <c r="D127" s="12" t="s">
        <v>148</v>
      </c>
      <c r="E127" s="12"/>
      <c r="F127" s="12"/>
      <c r="G127" s="12" t="s">
        <v>311</v>
      </c>
      <c r="H127" s="12"/>
      <c r="I127" s="12"/>
      <c r="J127" s="12"/>
      <c r="K127" s="12"/>
      <c r="L127" s="12"/>
      <c r="M127" s="12"/>
      <c r="N127" s="16"/>
      <c r="O127" s="12"/>
      <c r="P127" s="16" t="s">
        <v>150</v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6.8">
      <c r="A128" s="12"/>
      <c r="B128" s="12"/>
      <c r="C128" s="12"/>
      <c r="D128" s="12" t="s">
        <v>148</v>
      </c>
      <c r="E128" s="12"/>
      <c r="F128" s="12"/>
      <c r="G128" s="12" t="s">
        <v>312</v>
      </c>
      <c r="H128" s="12"/>
      <c r="I128" s="12"/>
      <c r="J128" s="12"/>
      <c r="K128" s="12"/>
      <c r="L128" s="12"/>
      <c r="M128" s="12"/>
      <c r="N128" s="16"/>
      <c r="O128" s="12"/>
      <c r="P128" s="16" t="s">
        <v>155</v>
      </c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6.8">
      <c r="A129" s="12"/>
      <c r="B129" s="12"/>
      <c r="C129" s="12"/>
      <c r="D129" s="12" t="s">
        <v>148</v>
      </c>
      <c r="E129" s="12"/>
      <c r="F129" s="12"/>
      <c r="G129" s="12" t="s">
        <v>313</v>
      </c>
      <c r="H129" s="12"/>
      <c r="I129" s="12"/>
      <c r="J129" s="12"/>
      <c r="K129" s="12"/>
      <c r="L129" s="12"/>
      <c r="M129" s="12"/>
      <c r="N129" s="16"/>
      <c r="O129" s="12"/>
      <c r="P129" s="16" t="s">
        <v>155</v>
      </c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6.8">
      <c r="A130" s="12"/>
      <c r="B130" s="12"/>
      <c r="C130" s="12"/>
      <c r="D130" s="12" t="s">
        <v>148</v>
      </c>
      <c r="E130" s="12"/>
      <c r="F130" s="12"/>
      <c r="G130" s="12" t="s">
        <v>314</v>
      </c>
      <c r="H130" s="12"/>
      <c r="I130" s="12"/>
      <c r="J130" s="12"/>
      <c r="K130" s="12"/>
      <c r="L130" s="12"/>
      <c r="M130" s="12"/>
      <c r="N130" s="16"/>
      <c r="O130" s="12"/>
      <c r="P130" s="16" t="s">
        <v>315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6.8">
      <c r="A131" s="12"/>
      <c r="B131" s="12"/>
      <c r="C131" s="12"/>
      <c r="D131" s="12" t="s">
        <v>148</v>
      </c>
      <c r="E131" s="12"/>
      <c r="F131" s="12"/>
      <c r="G131" s="12" t="s">
        <v>316</v>
      </c>
      <c r="H131" s="12"/>
      <c r="I131" s="12"/>
      <c r="J131" s="12"/>
      <c r="K131" s="12"/>
      <c r="L131" s="12"/>
      <c r="M131" s="12"/>
      <c r="N131" s="16"/>
      <c r="O131" s="12"/>
      <c r="P131" s="16" t="s">
        <v>315</v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6.8">
      <c r="A132" s="12"/>
      <c r="B132" s="12"/>
      <c r="C132" s="12"/>
      <c r="D132" s="12" t="s">
        <v>148</v>
      </c>
      <c r="E132" s="12"/>
      <c r="F132" s="12"/>
      <c r="G132" s="12" t="s">
        <v>317</v>
      </c>
      <c r="H132" s="12"/>
      <c r="I132" s="12"/>
      <c r="J132" s="12"/>
      <c r="K132" s="12"/>
      <c r="L132" s="12"/>
      <c r="M132" s="12"/>
      <c r="N132" s="16"/>
      <c r="O132" s="12"/>
      <c r="P132" s="16" t="s">
        <v>315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6.8">
      <c r="A133" s="12"/>
      <c r="B133" s="12"/>
      <c r="C133" s="12"/>
      <c r="D133" s="12" t="s">
        <v>148</v>
      </c>
      <c r="E133" s="12"/>
      <c r="F133" s="12"/>
      <c r="G133" s="12" t="s">
        <v>318</v>
      </c>
      <c r="H133" s="12"/>
      <c r="I133" s="12"/>
      <c r="J133" s="12"/>
      <c r="K133" s="12"/>
      <c r="L133" s="12"/>
      <c r="M133" s="12"/>
      <c r="N133" s="16"/>
      <c r="O133" s="12"/>
      <c r="P133" s="16" t="s">
        <v>315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6.8">
      <c r="A134" s="12"/>
      <c r="B134" s="12"/>
      <c r="C134" s="12"/>
      <c r="D134" s="12" t="s">
        <v>148</v>
      </c>
      <c r="E134" s="12"/>
      <c r="F134" s="12"/>
      <c r="G134" s="12" t="s">
        <v>319</v>
      </c>
      <c r="H134" s="12"/>
      <c r="I134" s="12"/>
      <c r="J134" s="12"/>
      <c r="K134" s="12"/>
      <c r="L134" s="12"/>
      <c r="M134" s="12"/>
      <c r="N134" s="16"/>
      <c r="O134" s="12"/>
      <c r="P134" s="16" t="s">
        <v>315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6.8">
      <c r="A135" s="12"/>
      <c r="B135" s="12"/>
      <c r="C135" s="12"/>
      <c r="D135" s="12" t="s">
        <v>148</v>
      </c>
      <c r="E135" s="12"/>
      <c r="F135" s="12"/>
      <c r="G135" s="12" t="s">
        <v>320</v>
      </c>
      <c r="H135" s="12"/>
      <c r="I135" s="12"/>
      <c r="J135" s="12"/>
      <c r="K135" s="12"/>
      <c r="L135" s="12"/>
      <c r="M135" s="12"/>
      <c r="N135" s="16"/>
      <c r="O135" s="12"/>
      <c r="P135" s="16" t="s">
        <v>315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6.8">
      <c r="A136" s="12"/>
      <c r="B136" s="12"/>
      <c r="C136" s="12"/>
      <c r="D136" s="12" t="s">
        <v>148</v>
      </c>
      <c r="E136" s="12"/>
      <c r="F136" s="12"/>
      <c r="G136" s="12" t="s">
        <v>321</v>
      </c>
      <c r="H136" s="12"/>
      <c r="I136" s="12"/>
      <c r="J136" s="12"/>
      <c r="K136" s="12"/>
      <c r="L136" s="12"/>
      <c r="M136" s="12"/>
      <c r="N136" s="16"/>
      <c r="O136" s="12"/>
      <c r="P136" s="16" t="s">
        <v>315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6.8">
      <c r="A137" s="12"/>
      <c r="B137" s="12"/>
      <c r="C137" s="12"/>
      <c r="D137" s="12" t="s">
        <v>148</v>
      </c>
      <c r="E137" s="12"/>
      <c r="F137" s="12"/>
      <c r="G137" s="12" t="s">
        <v>322</v>
      </c>
      <c r="H137" s="12"/>
      <c r="I137" s="12"/>
      <c r="J137" s="12"/>
      <c r="K137" s="12"/>
      <c r="L137" s="12"/>
      <c r="M137" s="12"/>
      <c r="N137" s="16"/>
      <c r="O137" s="12"/>
      <c r="P137" s="16" t="s">
        <v>315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6.8">
      <c r="A138" s="12"/>
      <c r="B138" s="12"/>
      <c r="C138" s="12"/>
      <c r="D138" s="12" t="s">
        <v>148</v>
      </c>
      <c r="E138" s="12"/>
      <c r="F138" s="12"/>
      <c r="G138" s="12" t="s">
        <v>323</v>
      </c>
      <c r="H138" s="12"/>
      <c r="I138" s="12"/>
      <c r="J138" s="12"/>
      <c r="K138" s="12"/>
      <c r="L138" s="12"/>
      <c r="M138" s="12"/>
      <c r="N138" s="16"/>
      <c r="O138" s="12"/>
      <c r="P138" s="16" t="s">
        <v>315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6.8">
      <c r="A139" s="12"/>
      <c r="B139" s="12"/>
      <c r="C139" s="12"/>
      <c r="D139" s="12" t="s">
        <v>148</v>
      </c>
      <c r="E139" s="12"/>
      <c r="F139" s="12"/>
      <c r="G139" s="12" t="s">
        <v>324</v>
      </c>
      <c r="H139" s="12"/>
      <c r="I139" s="12"/>
      <c r="J139" s="12"/>
      <c r="K139" s="12"/>
      <c r="L139" s="12"/>
      <c r="M139" s="12"/>
      <c r="N139" s="16"/>
      <c r="O139" s="12"/>
      <c r="P139" s="16" t="s">
        <v>315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6.8">
      <c r="A140" s="12"/>
      <c r="B140" s="12"/>
      <c r="C140" s="12"/>
      <c r="D140" s="12" t="s">
        <v>148</v>
      </c>
      <c r="E140" s="12"/>
      <c r="F140" s="12"/>
      <c r="G140" s="12" t="s">
        <v>325</v>
      </c>
      <c r="H140" s="12"/>
      <c r="I140" s="12"/>
      <c r="J140" s="12"/>
      <c r="K140" s="12"/>
      <c r="L140" s="12"/>
      <c r="M140" s="12"/>
      <c r="N140" s="16"/>
      <c r="O140" s="12"/>
      <c r="P140" s="16" t="s">
        <v>315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6.8">
      <c r="A141" s="12"/>
      <c r="B141" s="12"/>
      <c r="C141" s="12"/>
      <c r="D141" s="12" t="s">
        <v>148</v>
      </c>
      <c r="E141" s="12"/>
      <c r="F141" s="12"/>
      <c r="G141" s="12" t="s">
        <v>326</v>
      </c>
      <c r="H141" s="12"/>
      <c r="I141" s="12"/>
      <c r="J141" s="12"/>
      <c r="K141" s="12"/>
      <c r="L141" s="12"/>
      <c r="M141" s="12"/>
      <c r="N141" s="16"/>
      <c r="O141" s="12"/>
      <c r="P141" s="16" t="s">
        <v>315</v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6.8">
      <c r="A142" s="12"/>
      <c r="B142" s="12"/>
      <c r="C142" s="12"/>
      <c r="D142" s="12" t="s">
        <v>148</v>
      </c>
      <c r="E142" s="12"/>
      <c r="F142" s="12"/>
      <c r="G142" s="12" t="s">
        <v>327</v>
      </c>
      <c r="H142" s="12"/>
      <c r="I142" s="12"/>
      <c r="J142" s="12"/>
      <c r="K142" s="12"/>
      <c r="L142" s="12"/>
      <c r="M142" s="12"/>
      <c r="N142" s="16"/>
      <c r="O142" s="12"/>
      <c r="P142" s="16" t="s">
        <v>315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6.8">
      <c r="A143" s="12"/>
      <c r="B143" s="12"/>
      <c r="C143" s="12"/>
      <c r="D143" s="12" t="s">
        <v>148</v>
      </c>
      <c r="E143" s="12"/>
      <c r="F143" s="12"/>
      <c r="G143" s="12" t="s">
        <v>328</v>
      </c>
      <c r="H143" s="12"/>
      <c r="I143" s="12"/>
      <c r="J143" s="12"/>
      <c r="K143" s="12"/>
      <c r="L143" s="12"/>
      <c r="M143" s="12"/>
      <c r="N143" s="16"/>
      <c r="O143" s="12"/>
      <c r="P143" s="16" t="s">
        <v>204</v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6.8">
      <c r="A144" s="12"/>
      <c r="B144" s="12"/>
      <c r="C144" s="12"/>
      <c r="D144" s="12" t="s">
        <v>148</v>
      </c>
      <c r="E144" s="12"/>
      <c r="F144" s="12"/>
      <c r="G144" s="12" t="s">
        <v>329</v>
      </c>
      <c r="H144" s="12"/>
      <c r="I144" s="12"/>
      <c r="J144" s="12"/>
      <c r="K144" s="12"/>
      <c r="L144" s="12"/>
      <c r="M144" s="12"/>
      <c r="N144" s="16"/>
      <c r="O144" s="12"/>
      <c r="P144" s="16" t="s">
        <v>204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6.8">
      <c r="A145" s="12"/>
      <c r="B145" s="12"/>
      <c r="C145" s="12"/>
      <c r="D145" s="12" t="s">
        <v>148</v>
      </c>
      <c r="E145" s="12"/>
      <c r="F145" s="12"/>
      <c r="G145" s="12" t="s">
        <v>330</v>
      </c>
      <c r="H145" s="12"/>
      <c r="I145" s="12"/>
      <c r="J145" s="12"/>
      <c r="K145" s="12"/>
      <c r="L145" s="12"/>
      <c r="M145" s="12"/>
      <c r="N145" s="16"/>
      <c r="O145" s="12"/>
      <c r="P145" s="16" t="s">
        <v>309</v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6.8">
      <c r="A146" s="12"/>
      <c r="B146" s="12"/>
      <c r="C146" s="12"/>
      <c r="D146" s="12" t="s">
        <v>148</v>
      </c>
      <c r="E146" s="12"/>
      <c r="F146" s="12"/>
      <c r="G146" s="12" t="s">
        <v>331</v>
      </c>
      <c r="H146" s="12"/>
      <c r="I146" s="12"/>
      <c r="J146" s="12"/>
      <c r="K146" s="12"/>
      <c r="L146" s="12"/>
      <c r="M146" s="12"/>
      <c r="N146" s="16"/>
      <c r="O146" s="12"/>
      <c r="P146" s="16" t="s">
        <v>315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6.8">
      <c r="A147" s="12"/>
      <c r="B147" s="12"/>
      <c r="C147" s="12"/>
      <c r="D147" s="12" t="s">
        <v>148</v>
      </c>
      <c r="E147" s="12"/>
      <c r="F147" s="12"/>
      <c r="G147" s="12" t="s">
        <v>332</v>
      </c>
      <c r="H147" s="12"/>
      <c r="I147" s="12"/>
      <c r="J147" s="12"/>
      <c r="K147" s="12"/>
      <c r="L147" s="12"/>
      <c r="M147" s="12"/>
      <c r="N147" s="16"/>
      <c r="O147" s="12"/>
      <c r="P147" s="16" t="s">
        <v>315</v>
      </c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6.8">
      <c r="A148" s="12"/>
      <c r="B148" s="12"/>
      <c r="C148" s="12"/>
      <c r="D148" s="12" t="s">
        <v>148</v>
      </c>
      <c r="E148" s="12"/>
      <c r="F148" s="12"/>
      <c r="G148" s="12" t="s">
        <v>333</v>
      </c>
      <c r="H148" s="12"/>
      <c r="I148" s="12"/>
      <c r="J148" s="12"/>
      <c r="K148" s="12"/>
      <c r="L148" s="12"/>
      <c r="M148" s="12"/>
      <c r="N148" s="16"/>
      <c r="O148" s="12"/>
      <c r="P148" s="16" t="s">
        <v>315</v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6.8">
      <c r="A149" s="12"/>
      <c r="B149" s="12"/>
      <c r="C149" s="12"/>
      <c r="D149" s="12" t="s">
        <v>148</v>
      </c>
      <c r="E149" s="12"/>
      <c r="F149" s="12"/>
      <c r="G149" s="12" t="s">
        <v>334</v>
      </c>
      <c r="H149" s="12"/>
      <c r="I149" s="12"/>
      <c r="J149" s="12"/>
      <c r="K149" s="12"/>
      <c r="L149" s="12"/>
      <c r="M149" s="12"/>
      <c r="N149" s="16"/>
      <c r="O149" s="12"/>
      <c r="P149" s="16" t="s">
        <v>315</v>
      </c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6.8">
      <c r="A150" s="12"/>
      <c r="B150" s="12"/>
      <c r="C150" s="12"/>
      <c r="D150" s="12" t="s">
        <v>148</v>
      </c>
      <c r="E150" s="12"/>
      <c r="F150" s="12"/>
      <c r="G150" s="12" t="s">
        <v>335</v>
      </c>
      <c r="H150" s="12"/>
      <c r="I150" s="12"/>
      <c r="J150" s="12"/>
      <c r="K150" s="12"/>
      <c r="L150" s="12"/>
      <c r="M150" s="12"/>
      <c r="N150" s="16"/>
      <c r="O150" s="12"/>
      <c r="P150" s="16" t="s">
        <v>315</v>
      </c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6.8">
      <c r="A151" s="12"/>
      <c r="B151" s="12"/>
      <c r="C151" s="12"/>
      <c r="D151" s="12" t="s">
        <v>148</v>
      </c>
      <c r="E151" s="12"/>
      <c r="F151" s="12"/>
      <c r="G151" s="12" t="s">
        <v>336</v>
      </c>
      <c r="H151" s="12"/>
      <c r="I151" s="12"/>
      <c r="J151" s="12"/>
      <c r="K151" s="12"/>
      <c r="L151" s="12"/>
      <c r="M151" s="12"/>
      <c r="N151" s="16"/>
      <c r="O151" s="12"/>
      <c r="P151" s="16" t="s">
        <v>315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6.8">
      <c r="A152" s="12"/>
      <c r="B152" s="12"/>
      <c r="C152" s="12"/>
      <c r="D152" s="12" t="s">
        <v>148</v>
      </c>
      <c r="E152" s="12"/>
      <c r="F152" s="12"/>
      <c r="G152" s="12" t="s">
        <v>337</v>
      </c>
      <c r="H152" s="12"/>
      <c r="I152" s="12"/>
      <c r="J152" s="12"/>
      <c r="K152" s="12"/>
      <c r="L152" s="12"/>
      <c r="M152" s="12"/>
      <c r="N152" s="16"/>
      <c r="O152" s="12"/>
      <c r="P152" s="16" t="s">
        <v>258</v>
      </c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6.8">
      <c r="A153" s="12"/>
      <c r="B153" s="12"/>
      <c r="C153" s="12"/>
      <c r="D153" s="12" t="s">
        <v>148</v>
      </c>
      <c r="E153" s="12"/>
      <c r="F153" s="12"/>
      <c r="G153" s="12" t="s">
        <v>338</v>
      </c>
      <c r="H153" s="12"/>
      <c r="I153" s="12"/>
      <c r="J153" s="12"/>
      <c r="K153" s="12"/>
      <c r="L153" s="12"/>
      <c r="M153" s="12"/>
      <c r="N153" s="16"/>
      <c r="O153" s="12"/>
      <c r="P153" s="16" t="s">
        <v>339</v>
      </c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6.8">
      <c r="A154" s="12"/>
      <c r="B154" s="12"/>
      <c r="C154" s="12"/>
      <c r="D154" s="12" t="s">
        <v>148</v>
      </c>
      <c r="E154" s="12"/>
      <c r="F154" s="12"/>
      <c r="G154" s="12" t="s">
        <v>340</v>
      </c>
      <c r="H154" s="12"/>
      <c r="I154" s="12"/>
      <c r="J154" s="12"/>
      <c r="K154" s="12"/>
      <c r="L154" s="12"/>
      <c r="M154" s="12"/>
      <c r="N154" s="16"/>
      <c r="O154" s="12"/>
      <c r="P154" s="16" t="s">
        <v>315</v>
      </c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6.8">
      <c r="A155" s="12"/>
      <c r="B155" s="12"/>
      <c r="C155" s="12"/>
      <c r="D155" s="12" t="s">
        <v>148</v>
      </c>
      <c r="E155" s="12"/>
      <c r="F155" s="12"/>
      <c r="G155" s="12" t="s">
        <v>341</v>
      </c>
      <c r="H155" s="12"/>
      <c r="I155" s="12"/>
      <c r="J155" s="12"/>
      <c r="K155" s="12"/>
      <c r="L155" s="12"/>
      <c r="M155" s="12"/>
      <c r="N155" s="16"/>
      <c r="O155" s="12"/>
      <c r="P155" s="16" t="s">
        <v>342</v>
      </c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6.8">
      <c r="A156" s="12"/>
      <c r="B156" s="12"/>
      <c r="C156" s="12"/>
      <c r="D156" s="12" t="s">
        <v>148</v>
      </c>
      <c r="E156" s="12"/>
      <c r="F156" s="12"/>
      <c r="G156" s="12" t="s">
        <v>343</v>
      </c>
      <c r="H156" s="12"/>
      <c r="I156" s="12"/>
      <c r="J156" s="12"/>
      <c r="K156" s="12"/>
      <c r="L156" s="12"/>
      <c r="M156" s="12"/>
      <c r="N156" s="16"/>
      <c r="O156" s="12"/>
      <c r="P156" s="16" t="s">
        <v>258</v>
      </c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6.8">
      <c r="A157" s="12"/>
      <c r="B157" s="12"/>
      <c r="C157" s="12"/>
      <c r="D157" s="12" t="s">
        <v>148</v>
      </c>
      <c r="E157" s="12"/>
      <c r="F157" s="12"/>
      <c r="G157" s="12" t="s">
        <v>344</v>
      </c>
      <c r="H157" s="12"/>
      <c r="I157" s="12"/>
      <c r="J157" s="12"/>
      <c r="K157" s="12"/>
      <c r="L157" s="12"/>
      <c r="M157" s="12"/>
      <c r="N157" s="16"/>
      <c r="O157" s="12"/>
      <c r="P157" s="16" t="s">
        <v>258</v>
      </c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6.8">
      <c r="A158" s="12"/>
      <c r="B158" s="12"/>
      <c r="C158" s="12"/>
      <c r="D158" s="12" t="s">
        <v>148</v>
      </c>
      <c r="E158" s="12"/>
      <c r="F158" s="12"/>
      <c r="G158" s="12" t="s">
        <v>345</v>
      </c>
      <c r="H158" s="12"/>
      <c r="I158" s="12"/>
      <c r="J158" s="12"/>
      <c r="K158" s="12"/>
      <c r="L158" s="12"/>
      <c r="M158" s="12"/>
      <c r="N158" s="16"/>
      <c r="O158" s="12"/>
      <c r="P158" s="16" t="s">
        <v>346</v>
      </c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6.8">
      <c r="A159" s="12"/>
      <c r="B159" s="12"/>
      <c r="C159" s="12"/>
      <c r="D159" s="12" t="s">
        <v>148</v>
      </c>
      <c r="E159" s="12"/>
      <c r="F159" s="12"/>
      <c r="G159" s="12" t="s">
        <v>347</v>
      </c>
      <c r="H159" s="12"/>
      <c r="I159" s="12"/>
      <c r="J159" s="12"/>
      <c r="K159" s="12"/>
      <c r="L159" s="12"/>
      <c r="M159" s="12"/>
      <c r="N159" s="16"/>
      <c r="O159" s="12"/>
      <c r="P159" s="16" t="s">
        <v>348</v>
      </c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6.8">
      <c r="A160" s="12"/>
      <c r="B160" s="12"/>
      <c r="C160" s="12"/>
      <c r="D160" s="12" t="s">
        <v>148</v>
      </c>
      <c r="E160" s="12"/>
      <c r="F160" s="12"/>
      <c r="G160" s="12" t="s">
        <v>349</v>
      </c>
      <c r="H160" s="12"/>
      <c r="I160" s="12"/>
      <c r="J160" s="12"/>
      <c r="K160" s="12"/>
      <c r="L160" s="12"/>
      <c r="M160" s="12"/>
      <c r="N160" s="16"/>
      <c r="O160" s="12"/>
      <c r="P160" s="16" t="s">
        <v>350</v>
      </c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6.8">
      <c r="A161" s="12"/>
      <c r="B161" s="12"/>
      <c r="C161" s="12"/>
      <c r="D161" s="12" t="s">
        <v>148</v>
      </c>
      <c r="E161" s="12"/>
      <c r="F161" s="12"/>
      <c r="G161" s="12" t="s">
        <v>351</v>
      </c>
      <c r="H161" s="12"/>
      <c r="I161" s="12"/>
      <c r="J161" s="12"/>
      <c r="K161" s="12"/>
      <c r="L161" s="12"/>
      <c r="M161" s="12"/>
      <c r="N161" s="16"/>
      <c r="O161" s="12"/>
      <c r="P161" s="16" t="s">
        <v>352</v>
      </c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6.8">
      <c r="A162" s="12"/>
      <c r="B162" s="12"/>
      <c r="C162" s="12"/>
      <c r="D162" s="12" t="s">
        <v>148</v>
      </c>
      <c r="E162" s="12"/>
      <c r="F162" s="12"/>
      <c r="G162" s="12" t="s">
        <v>353</v>
      </c>
      <c r="H162" s="12"/>
      <c r="I162" s="12"/>
      <c r="J162" s="12"/>
      <c r="K162" s="12"/>
      <c r="L162" s="12"/>
      <c r="M162" s="12"/>
      <c r="N162" s="16"/>
      <c r="O162" s="12"/>
      <c r="P162" s="16" t="s">
        <v>354</v>
      </c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6.8">
      <c r="A163" s="12"/>
      <c r="B163" s="12"/>
      <c r="C163" s="12"/>
      <c r="D163" s="12" t="s">
        <v>148</v>
      </c>
      <c r="E163" s="12"/>
      <c r="F163" s="12"/>
      <c r="G163" s="12" t="s">
        <v>355</v>
      </c>
      <c r="H163" s="12"/>
      <c r="I163" s="12"/>
      <c r="J163" s="12"/>
      <c r="K163" s="12"/>
      <c r="L163" s="12"/>
      <c r="M163" s="12"/>
      <c r="N163" s="16"/>
      <c r="O163" s="12"/>
      <c r="P163" s="16" t="s">
        <v>204</v>
      </c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6.8">
      <c r="A164" s="12"/>
      <c r="B164" s="12"/>
      <c r="C164" s="12"/>
      <c r="D164" s="12" t="s">
        <v>148</v>
      </c>
      <c r="E164" s="12"/>
      <c r="F164" s="12"/>
      <c r="G164" s="12" t="s">
        <v>356</v>
      </c>
      <c r="H164" s="12"/>
      <c r="I164" s="12"/>
      <c r="J164" s="12"/>
      <c r="K164" s="12"/>
      <c r="L164" s="12"/>
      <c r="M164" s="12"/>
      <c r="N164" s="16"/>
      <c r="O164" s="12"/>
      <c r="P164" s="16" t="s">
        <v>357</v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6.8">
      <c r="A165" s="12"/>
      <c r="B165" s="12"/>
      <c r="C165" s="12"/>
      <c r="D165" s="12" t="s">
        <v>148</v>
      </c>
      <c r="E165" s="12"/>
      <c r="F165" s="12"/>
      <c r="G165" s="12" t="s">
        <v>358</v>
      </c>
      <c r="H165" s="12"/>
      <c r="I165" s="12"/>
      <c r="J165" s="12"/>
      <c r="K165" s="12"/>
      <c r="L165" s="12"/>
      <c r="M165" s="12"/>
      <c r="N165" s="16"/>
      <c r="O165" s="12"/>
      <c r="P165" s="16" t="s">
        <v>359</v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6.8">
      <c r="A166" s="12"/>
      <c r="B166" s="12"/>
      <c r="C166" s="12"/>
      <c r="D166" s="12" t="s">
        <v>148</v>
      </c>
      <c r="E166" s="12"/>
      <c r="F166" s="12"/>
      <c r="G166" s="12" t="s">
        <v>360</v>
      </c>
      <c r="H166" s="12"/>
      <c r="I166" s="12"/>
      <c r="J166" s="12"/>
      <c r="K166" s="12"/>
      <c r="L166" s="12"/>
      <c r="M166" s="12"/>
      <c r="N166" s="16"/>
      <c r="O166" s="12"/>
      <c r="P166" s="16" t="s">
        <v>361</v>
      </c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6.8">
      <c r="A167" s="12"/>
      <c r="B167" s="12"/>
      <c r="C167" s="12"/>
      <c r="D167" s="12" t="s">
        <v>148</v>
      </c>
      <c r="E167" s="12"/>
      <c r="F167" s="12"/>
      <c r="G167" s="12" t="s">
        <v>362</v>
      </c>
      <c r="H167" s="12"/>
      <c r="I167" s="12"/>
      <c r="J167" s="12"/>
      <c r="K167" s="12"/>
      <c r="L167" s="12"/>
      <c r="M167" s="12"/>
      <c r="N167" s="28"/>
      <c r="O167" s="12"/>
      <c r="P167" s="28" t="s">
        <v>202</v>
      </c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6.8">
      <c r="A168" s="12"/>
      <c r="B168" s="12"/>
      <c r="C168" s="12"/>
      <c r="D168" s="12" t="s">
        <v>148</v>
      </c>
      <c r="E168" s="12"/>
      <c r="F168" s="12"/>
      <c r="G168" s="12" t="s">
        <v>363</v>
      </c>
      <c r="H168" s="12"/>
      <c r="I168" s="12"/>
      <c r="J168" s="12"/>
      <c r="K168" s="12"/>
      <c r="L168" s="12"/>
      <c r="M168" s="12"/>
      <c r="N168" s="16"/>
      <c r="O168" s="12"/>
      <c r="P168" s="16" t="s">
        <v>229</v>
      </c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6.8">
      <c r="A169" s="12"/>
      <c r="B169" s="12"/>
      <c r="C169" s="12"/>
      <c r="D169" s="12" t="s">
        <v>148</v>
      </c>
      <c r="E169" s="12"/>
      <c r="F169" s="12"/>
      <c r="G169" s="12" t="s">
        <v>364</v>
      </c>
      <c r="H169" s="12"/>
      <c r="I169" s="12"/>
      <c r="J169" s="12"/>
      <c r="K169" s="12"/>
      <c r="L169" s="12"/>
      <c r="M169" s="12"/>
      <c r="N169" s="16"/>
      <c r="O169" s="12"/>
      <c r="P169" s="16" t="s">
        <v>365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6.8">
      <c r="A170" s="12"/>
      <c r="B170" s="12"/>
      <c r="C170" s="12"/>
      <c r="D170" s="12" t="s">
        <v>148</v>
      </c>
      <c r="E170" s="12"/>
      <c r="F170" s="12"/>
      <c r="G170" s="12" t="s">
        <v>366</v>
      </c>
      <c r="H170" s="12"/>
      <c r="I170" s="12"/>
      <c r="J170" s="12"/>
      <c r="K170" s="12"/>
      <c r="L170" s="12"/>
      <c r="M170" s="12"/>
      <c r="N170" s="16"/>
      <c r="O170" s="12"/>
      <c r="P170" s="16" t="s">
        <v>367</v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6.8">
      <c r="A171" s="12"/>
      <c r="B171" s="12"/>
      <c r="C171" s="12"/>
      <c r="D171" s="12" t="s">
        <v>148</v>
      </c>
      <c r="E171" s="12"/>
      <c r="F171" s="12"/>
      <c r="G171" s="12" t="s">
        <v>368</v>
      </c>
      <c r="H171" s="12"/>
      <c r="I171" s="12"/>
      <c r="J171" s="12"/>
      <c r="K171" s="12"/>
      <c r="L171" s="12"/>
      <c r="M171" s="12"/>
      <c r="N171" s="16"/>
      <c r="O171" s="12"/>
      <c r="P171" s="16" t="s">
        <v>369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6.8">
      <c r="A172" s="12"/>
      <c r="B172" s="12"/>
      <c r="C172" s="12"/>
      <c r="D172" s="12" t="s">
        <v>148</v>
      </c>
      <c r="E172" s="12"/>
      <c r="F172" s="12"/>
      <c r="G172" s="12" t="s">
        <v>370</v>
      </c>
      <c r="H172" s="12"/>
      <c r="I172" s="12"/>
      <c r="J172" s="12"/>
      <c r="K172" s="12"/>
      <c r="L172" s="12"/>
      <c r="M172" s="12"/>
      <c r="N172" s="16"/>
      <c r="O172" s="12"/>
      <c r="P172" s="16" t="s">
        <v>229</v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6.8">
      <c r="A173" s="12"/>
      <c r="B173" s="12"/>
      <c r="C173" s="12"/>
      <c r="D173" s="12" t="s">
        <v>148</v>
      </c>
      <c r="E173" s="12"/>
      <c r="F173" s="12"/>
      <c r="G173" s="12" t="s">
        <v>371</v>
      </c>
      <c r="H173" s="12"/>
      <c r="I173" s="12"/>
      <c r="J173" s="12"/>
      <c r="K173" s="12"/>
      <c r="L173" s="12"/>
      <c r="M173" s="12"/>
      <c r="N173" s="16"/>
      <c r="O173" s="12"/>
      <c r="P173" s="16" t="s">
        <v>229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6.8">
      <c r="A174" s="12"/>
      <c r="B174" s="12"/>
      <c r="C174" s="12"/>
      <c r="D174" s="12" t="s">
        <v>148</v>
      </c>
      <c r="E174" s="12"/>
      <c r="F174" s="12"/>
      <c r="G174" s="12" t="s">
        <v>372</v>
      </c>
      <c r="H174" s="12"/>
      <c r="I174" s="12"/>
      <c r="J174" s="12"/>
      <c r="K174" s="12"/>
      <c r="L174" s="12"/>
      <c r="M174" s="12"/>
      <c r="N174" s="16"/>
      <c r="O174" s="12"/>
      <c r="P174" s="16" t="s">
        <v>164</v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6.8">
      <c r="A175" s="12"/>
      <c r="B175" s="12"/>
      <c r="C175" s="12"/>
      <c r="D175" s="12" t="s">
        <v>148</v>
      </c>
      <c r="E175" s="12"/>
      <c r="F175" s="12"/>
      <c r="G175" s="12" t="s">
        <v>373</v>
      </c>
      <c r="H175" s="12"/>
      <c r="I175" s="12"/>
      <c r="J175" s="12"/>
      <c r="K175" s="12"/>
      <c r="L175" s="12"/>
      <c r="M175" s="12"/>
      <c r="N175" s="16"/>
      <c r="O175" s="12"/>
      <c r="P175" s="16" t="s">
        <v>374</v>
      </c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6.8">
      <c r="A176" s="12"/>
      <c r="B176" s="12"/>
      <c r="C176" s="12"/>
      <c r="D176" s="12" t="s">
        <v>148</v>
      </c>
      <c r="E176" s="12"/>
      <c r="F176" s="12"/>
      <c r="G176" s="12" t="s">
        <v>375</v>
      </c>
      <c r="H176" s="12"/>
      <c r="I176" s="12"/>
      <c r="J176" s="12"/>
      <c r="K176" s="12"/>
      <c r="L176" s="12"/>
      <c r="M176" s="12"/>
      <c r="N176" s="16"/>
      <c r="O176" s="12"/>
      <c r="P176" s="16" t="s">
        <v>258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6.8">
      <c r="A177" s="12"/>
      <c r="B177" s="12"/>
      <c r="C177" s="12"/>
      <c r="D177" s="12" t="s">
        <v>148</v>
      </c>
      <c r="E177" s="12"/>
      <c r="F177" s="12"/>
      <c r="G177" s="12" t="s">
        <v>376</v>
      </c>
      <c r="H177" s="12"/>
      <c r="I177" s="12"/>
      <c r="J177" s="12"/>
      <c r="K177" s="12"/>
      <c r="L177" s="12"/>
      <c r="M177" s="12"/>
      <c r="N177" s="28"/>
      <c r="O177" s="12"/>
      <c r="P177" s="28" t="s">
        <v>202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6.8">
      <c r="A178" s="12"/>
      <c r="B178" s="12"/>
      <c r="C178" s="12"/>
      <c r="D178" s="12" t="s">
        <v>148</v>
      </c>
      <c r="E178" s="12"/>
      <c r="F178" s="12"/>
      <c r="G178" s="12" t="s">
        <v>377</v>
      </c>
      <c r="H178" s="12"/>
      <c r="I178" s="12"/>
      <c r="J178" s="12"/>
      <c r="K178" s="12"/>
      <c r="L178" s="12"/>
      <c r="M178" s="12"/>
      <c r="N178" s="16"/>
      <c r="O178" s="12"/>
      <c r="P178" s="16" t="s">
        <v>229</v>
      </c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6.8">
      <c r="A179" s="12"/>
      <c r="B179" s="12"/>
      <c r="C179" s="12"/>
      <c r="D179" s="12" t="s">
        <v>148</v>
      </c>
      <c r="E179" s="12"/>
      <c r="F179" s="12"/>
      <c r="G179" s="12" t="s">
        <v>378</v>
      </c>
      <c r="H179" s="12"/>
      <c r="I179" s="12"/>
      <c r="J179" s="12"/>
      <c r="K179" s="12"/>
      <c r="L179" s="12"/>
      <c r="M179" s="12"/>
      <c r="N179" s="16"/>
      <c r="O179" s="12"/>
      <c r="P179" s="16" t="s">
        <v>365</v>
      </c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6.8">
      <c r="A180" s="12"/>
      <c r="B180" s="12"/>
      <c r="C180" s="12"/>
      <c r="D180" s="12" t="s">
        <v>148</v>
      </c>
      <c r="E180" s="12"/>
      <c r="F180" s="12"/>
      <c r="G180" s="12" t="s">
        <v>379</v>
      </c>
      <c r="H180" s="12"/>
      <c r="I180" s="12"/>
      <c r="J180" s="12"/>
      <c r="K180" s="12"/>
      <c r="L180" s="12"/>
      <c r="M180" s="12"/>
      <c r="N180" s="16"/>
      <c r="O180" s="12"/>
      <c r="P180" s="16" t="s">
        <v>367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6.8">
      <c r="A181" s="12"/>
      <c r="B181" s="12"/>
      <c r="C181" s="12"/>
      <c r="D181" s="12" t="s">
        <v>148</v>
      </c>
      <c r="E181" s="12"/>
      <c r="F181" s="12"/>
      <c r="G181" s="12" t="s">
        <v>380</v>
      </c>
      <c r="H181" s="12"/>
      <c r="I181" s="12"/>
      <c r="J181" s="12"/>
      <c r="K181" s="12"/>
      <c r="L181" s="12"/>
      <c r="M181" s="12"/>
      <c r="N181" s="16"/>
      <c r="O181" s="12"/>
      <c r="P181" s="16" t="s">
        <v>369</v>
      </c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6.8">
      <c r="A182" s="12"/>
      <c r="B182" s="12"/>
      <c r="C182" s="12"/>
      <c r="D182" s="12" t="s">
        <v>148</v>
      </c>
      <c r="E182" s="12"/>
      <c r="F182" s="12"/>
      <c r="G182" s="12" t="s">
        <v>381</v>
      </c>
      <c r="H182" s="12"/>
      <c r="I182" s="12"/>
      <c r="J182" s="12"/>
      <c r="K182" s="12"/>
      <c r="L182" s="12"/>
      <c r="M182" s="12"/>
      <c r="N182" s="16"/>
      <c r="O182" s="12"/>
      <c r="P182" s="16" t="s">
        <v>229</v>
      </c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6.8">
      <c r="A183" s="12"/>
      <c r="B183" s="12"/>
      <c r="C183" s="12"/>
      <c r="D183" s="12" t="s">
        <v>148</v>
      </c>
      <c r="E183" s="12"/>
      <c r="F183" s="12"/>
      <c r="G183" s="12" t="s">
        <v>382</v>
      </c>
      <c r="H183" s="12"/>
      <c r="I183" s="12"/>
      <c r="J183" s="12"/>
      <c r="K183" s="12"/>
      <c r="L183" s="12"/>
      <c r="M183" s="12"/>
      <c r="N183" s="16"/>
      <c r="O183" s="12"/>
      <c r="P183" s="16" t="s">
        <v>229</v>
      </c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6.8">
      <c r="A184" s="12"/>
      <c r="B184" s="12"/>
      <c r="C184" s="12"/>
      <c r="D184" s="12" t="s">
        <v>148</v>
      </c>
      <c r="E184" s="12"/>
      <c r="F184" s="12"/>
      <c r="G184" s="12" t="s">
        <v>383</v>
      </c>
      <c r="H184" s="12"/>
      <c r="I184" s="12"/>
      <c r="J184" s="12"/>
      <c r="K184" s="12"/>
      <c r="L184" s="12"/>
      <c r="M184" s="12"/>
      <c r="N184" s="16"/>
      <c r="O184" s="12"/>
      <c r="P184" s="16" t="s">
        <v>164</v>
      </c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6.8">
      <c r="A185" s="12"/>
      <c r="B185" s="12"/>
      <c r="C185" s="12"/>
      <c r="D185" s="12" t="s">
        <v>148</v>
      </c>
      <c r="E185" s="12"/>
      <c r="F185" s="12"/>
      <c r="G185" s="12" t="s">
        <v>384</v>
      </c>
      <c r="H185" s="12"/>
      <c r="I185" s="12"/>
      <c r="J185" s="12"/>
      <c r="K185" s="12"/>
      <c r="L185" s="12"/>
      <c r="M185" s="12"/>
      <c r="N185" s="16"/>
      <c r="O185" s="12"/>
      <c r="P185" s="16" t="s">
        <v>374</v>
      </c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6.8">
      <c r="A186" s="12"/>
      <c r="B186" s="12"/>
      <c r="C186" s="12"/>
      <c r="D186" s="12" t="s">
        <v>148</v>
      </c>
      <c r="E186" s="12"/>
      <c r="F186" s="12"/>
      <c r="G186" s="12" t="s">
        <v>385</v>
      </c>
      <c r="H186" s="12"/>
      <c r="I186" s="12"/>
      <c r="J186" s="12"/>
      <c r="K186" s="12"/>
      <c r="L186" s="12"/>
      <c r="M186" s="12"/>
      <c r="N186" s="16"/>
      <c r="O186" s="12"/>
      <c r="P186" s="16" t="s">
        <v>258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6.8">
      <c r="A187" s="12"/>
      <c r="B187" s="12"/>
      <c r="C187" s="12"/>
      <c r="D187" s="12" t="s">
        <v>148</v>
      </c>
      <c r="E187" s="12"/>
      <c r="F187" s="12"/>
      <c r="G187" s="12" t="s">
        <v>386</v>
      </c>
      <c r="H187" s="12"/>
      <c r="I187" s="12"/>
      <c r="J187" s="12"/>
      <c r="K187" s="12"/>
      <c r="L187" s="12"/>
      <c r="M187" s="12"/>
      <c r="N187" s="28"/>
      <c r="O187" s="12"/>
      <c r="P187" s="28" t="s">
        <v>202</v>
      </c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6.8">
      <c r="A188" s="12"/>
      <c r="B188" s="12"/>
      <c r="C188" s="12"/>
      <c r="D188" s="12" t="s">
        <v>148</v>
      </c>
      <c r="E188" s="12"/>
      <c r="F188" s="12"/>
      <c r="G188" s="12" t="s">
        <v>387</v>
      </c>
      <c r="H188" s="12"/>
      <c r="I188" s="12"/>
      <c r="J188" s="12"/>
      <c r="K188" s="12"/>
      <c r="L188" s="12"/>
      <c r="M188" s="12"/>
      <c r="N188" s="16"/>
      <c r="O188" s="12"/>
      <c r="P188" s="16" t="s">
        <v>229</v>
      </c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6.8">
      <c r="A189" s="12"/>
      <c r="B189" s="12"/>
      <c r="C189" s="12"/>
      <c r="D189" s="12" t="s">
        <v>148</v>
      </c>
      <c r="E189" s="12"/>
      <c r="F189" s="12"/>
      <c r="G189" s="12" t="s">
        <v>388</v>
      </c>
      <c r="H189" s="12"/>
      <c r="I189" s="12"/>
      <c r="J189" s="12"/>
      <c r="K189" s="12"/>
      <c r="L189" s="12"/>
      <c r="M189" s="12"/>
      <c r="N189" s="16"/>
      <c r="O189" s="12"/>
      <c r="P189" s="16" t="s">
        <v>365</v>
      </c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6.8">
      <c r="A190" s="12"/>
      <c r="B190" s="12"/>
      <c r="C190" s="12"/>
      <c r="D190" s="12" t="s">
        <v>148</v>
      </c>
      <c r="E190" s="12"/>
      <c r="F190" s="12"/>
      <c r="G190" s="12" t="s">
        <v>389</v>
      </c>
      <c r="H190" s="12"/>
      <c r="I190" s="12"/>
      <c r="J190" s="12"/>
      <c r="K190" s="12"/>
      <c r="L190" s="12"/>
      <c r="M190" s="12"/>
      <c r="N190" s="16"/>
      <c r="O190" s="12"/>
      <c r="P190" s="16" t="s">
        <v>367</v>
      </c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6.8">
      <c r="A191" s="12"/>
      <c r="B191" s="12"/>
      <c r="C191" s="12"/>
      <c r="D191" s="12" t="s">
        <v>148</v>
      </c>
      <c r="E191" s="12"/>
      <c r="F191" s="12"/>
      <c r="G191" s="12" t="s">
        <v>390</v>
      </c>
      <c r="H191" s="12"/>
      <c r="I191" s="12"/>
      <c r="J191" s="12"/>
      <c r="K191" s="12"/>
      <c r="L191" s="12"/>
      <c r="M191" s="12"/>
      <c r="N191" s="16"/>
      <c r="O191" s="12"/>
      <c r="P191" s="16" t="s">
        <v>369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6.8">
      <c r="A192" s="12"/>
      <c r="B192" s="12"/>
      <c r="C192" s="12"/>
      <c r="D192" s="12" t="s">
        <v>148</v>
      </c>
      <c r="E192" s="12"/>
      <c r="F192" s="12"/>
      <c r="G192" s="12" t="s">
        <v>391</v>
      </c>
      <c r="H192" s="12"/>
      <c r="I192" s="12"/>
      <c r="J192" s="12"/>
      <c r="K192" s="12"/>
      <c r="L192" s="12"/>
      <c r="M192" s="12"/>
      <c r="N192" s="16"/>
      <c r="O192" s="12"/>
      <c r="P192" s="16" t="s">
        <v>229</v>
      </c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6.8">
      <c r="A193" s="12"/>
      <c r="B193" s="12"/>
      <c r="C193" s="12"/>
      <c r="D193" s="12" t="s">
        <v>148</v>
      </c>
      <c r="E193" s="12"/>
      <c r="F193" s="12"/>
      <c r="G193" s="12" t="s">
        <v>392</v>
      </c>
      <c r="H193" s="12"/>
      <c r="I193" s="12"/>
      <c r="J193" s="12"/>
      <c r="K193" s="12"/>
      <c r="L193" s="12"/>
      <c r="M193" s="12"/>
      <c r="N193" s="16"/>
      <c r="O193" s="12"/>
      <c r="P193" s="16" t="s">
        <v>229</v>
      </c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6.8">
      <c r="A194" s="12"/>
      <c r="B194" s="12"/>
      <c r="C194" s="12"/>
      <c r="D194" s="12" t="s">
        <v>148</v>
      </c>
      <c r="E194" s="12"/>
      <c r="F194" s="12"/>
      <c r="G194" s="12" t="s">
        <v>393</v>
      </c>
      <c r="H194" s="12"/>
      <c r="I194" s="12"/>
      <c r="J194" s="12"/>
      <c r="K194" s="12"/>
      <c r="L194" s="12"/>
      <c r="M194" s="12"/>
      <c r="N194" s="16"/>
      <c r="O194" s="12"/>
      <c r="P194" s="16" t="s">
        <v>164</v>
      </c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6.8">
      <c r="A195" s="12"/>
      <c r="B195" s="12"/>
      <c r="C195" s="12"/>
      <c r="D195" s="12" t="s">
        <v>148</v>
      </c>
      <c r="E195" s="12"/>
      <c r="F195" s="12"/>
      <c r="G195" s="12" t="s">
        <v>394</v>
      </c>
      <c r="H195" s="12"/>
      <c r="I195" s="12"/>
      <c r="J195" s="12"/>
      <c r="K195" s="12"/>
      <c r="L195" s="12"/>
      <c r="M195" s="12"/>
      <c r="N195" s="16"/>
      <c r="O195" s="12"/>
      <c r="P195" s="16" t="s">
        <v>374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6.8">
      <c r="A196" s="12"/>
      <c r="B196" s="12"/>
      <c r="C196" s="12"/>
      <c r="D196" s="12" t="s">
        <v>148</v>
      </c>
      <c r="E196" s="12"/>
      <c r="F196" s="12"/>
      <c r="G196" s="12" t="s">
        <v>395</v>
      </c>
      <c r="H196" s="12"/>
      <c r="I196" s="12"/>
      <c r="J196" s="12"/>
      <c r="K196" s="12"/>
      <c r="L196" s="12"/>
      <c r="M196" s="12"/>
      <c r="N196" s="16"/>
      <c r="O196" s="12"/>
      <c r="P196" s="16" t="s">
        <v>258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6.8">
      <c r="A197" s="12"/>
      <c r="B197" s="12"/>
      <c r="C197" s="12"/>
      <c r="D197" s="12" t="s">
        <v>148</v>
      </c>
      <c r="E197" s="12"/>
      <c r="F197" s="12"/>
      <c r="G197" s="12" t="s">
        <v>396</v>
      </c>
      <c r="H197" s="12"/>
      <c r="I197" s="12"/>
      <c r="J197" s="12"/>
      <c r="K197" s="12"/>
      <c r="L197" s="12"/>
      <c r="M197" s="12"/>
      <c r="N197" s="16"/>
      <c r="O197" s="12"/>
      <c r="P197" s="16" t="s">
        <v>258</v>
      </c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6.8">
      <c r="A198" s="12"/>
      <c r="B198" s="12"/>
      <c r="C198" s="12"/>
      <c r="D198" s="12" t="s">
        <v>148</v>
      </c>
      <c r="E198" s="12"/>
      <c r="F198" s="12"/>
      <c r="G198" s="12" t="s">
        <v>397</v>
      </c>
      <c r="H198" s="12"/>
      <c r="I198" s="12"/>
      <c r="J198" s="12"/>
      <c r="K198" s="12"/>
      <c r="L198" s="12"/>
      <c r="M198" s="12"/>
      <c r="N198" s="16"/>
      <c r="O198" s="12"/>
      <c r="P198" s="16" t="s">
        <v>398</v>
      </c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6.8">
      <c r="A199" s="12"/>
      <c r="B199" s="12"/>
      <c r="C199" s="12"/>
      <c r="D199" s="12" t="s">
        <v>148</v>
      </c>
      <c r="E199" s="12"/>
      <c r="F199" s="12"/>
      <c r="G199" s="12" t="s">
        <v>399</v>
      </c>
      <c r="H199" s="12"/>
      <c r="I199" s="12"/>
      <c r="J199" s="12"/>
      <c r="K199" s="12"/>
      <c r="L199" s="12"/>
      <c r="M199" s="12"/>
      <c r="N199" s="16"/>
      <c r="O199" s="12"/>
      <c r="P199" s="16" t="s">
        <v>400</v>
      </c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6.8">
      <c r="A200" s="12"/>
      <c r="B200" s="12"/>
      <c r="C200" s="12"/>
      <c r="D200" s="12" t="s">
        <v>148</v>
      </c>
      <c r="E200" s="12"/>
      <c r="F200" s="12"/>
      <c r="G200" s="12" t="s">
        <v>401</v>
      </c>
      <c r="H200" s="12"/>
      <c r="I200" s="12"/>
      <c r="J200" s="12"/>
      <c r="K200" s="12"/>
      <c r="L200" s="12"/>
      <c r="M200" s="12"/>
      <c r="N200" s="28"/>
      <c r="O200" s="12"/>
      <c r="P200" s="28" t="s">
        <v>202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6.8">
      <c r="A201" s="12"/>
      <c r="B201" s="12"/>
      <c r="C201" s="12"/>
      <c r="D201" s="12" t="s">
        <v>148</v>
      </c>
      <c r="E201" s="12"/>
      <c r="F201" s="12"/>
      <c r="G201" s="12" t="s">
        <v>402</v>
      </c>
      <c r="H201" s="12"/>
      <c r="I201" s="12"/>
      <c r="J201" s="12"/>
      <c r="K201" s="12"/>
      <c r="L201" s="12"/>
      <c r="M201" s="12"/>
      <c r="N201" s="16"/>
      <c r="O201" s="12"/>
      <c r="P201" s="16" t="s">
        <v>342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6.8">
      <c r="A202" s="12"/>
      <c r="B202" s="12"/>
      <c r="C202" s="12"/>
      <c r="D202" s="12" t="s">
        <v>148</v>
      </c>
      <c r="E202" s="12"/>
      <c r="F202" s="12"/>
      <c r="G202" s="12" t="s">
        <v>403</v>
      </c>
      <c r="H202" s="12"/>
      <c r="I202" s="12"/>
      <c r="J202" s="12"/>
      <c r="K202" s="12"/>
      <c r="L202" s="12"/>
      <c r="M202" s="12"/>
      <c r="N202" s="16"/>
      <c r="O202" s="12"/>
      <c r="P202" s="16" t="s">
        <v>404</v>
      </c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6.8">
      <c r="A203" s="12"/>
      <c r="B203" s="12"/>
      <c r="C203" s="12"/>
      <c r="D203" s="12" t="s">
        <v>148</v>
      </c>
      <c r="E203" s="12"/>
      <c r="F203" s="12"/>
      <c r="G203" s="12" t="s">
        <v>405</v>
      </c>
      <c r="H203" s="12"/>
      <c r="I203" s="12"/>
      <c r="J203" s="12"/>
      <c r="K203" s="12"/>
      <c r="L203" s="12"/>
      <c r="M203" s="12"/>
      <c r="N203" s="16"/>
      <c r="O203" s="12"/>
      <c r="P203" s="16" t="s">
        <v>406</v>
      </c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6.8">
      <c r="A204" s="12"/>
      <c r="B204" s="12"/>
      <c r="C204" s="12"/>
      <c r="D204" s="12" t="s">
        <v>148</v>
      </c>
      <c r="E204" s="12"/>
      <c r="F204" s="12"/>
      <c r="G204" s="12" t="s">
        <v>407</v>
      </c>
      <c r="H204" s="12"/>
      <c r="I204" s="12"/>
      <c r="J204" s="12"/>
      <c r="K204" s="12"/>
      <c r="L204" s="12"/>
      <c r="M204" s="12"/>
      <c r="N204" s="16"/>
      <c r="O204" s="12"/>
      <c r="P204" s="16" t="s">
        <v>408</v>
      </c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6.8">
      <c r="A205" s="12"/>
      <c r="B205" s="12"/>
      <c r="C205" s="12"/>
      <c r="D205" s="12" t="s">
        <v>148</v>
      </c>
      <c r="E205" s="12"/>
      <c r="F205" s="12"/>
      <c r="G205" s="12" t="s">
        <v>409</v>
      </c>
      <c r="H205" s="12"/>
      <c r="I205" s="12"/>
      <c r="J205" s="12"/>
      <c r="K205" s="12"/>
      <c r="L205" s="12"/>
      <c r="M205" s="12"/>
      <c r="N205" s="16"/>
      <c r="O205" s="12"/>
      <c r="P205" s="16" t="s">
        <v>258</v>
      </c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6.8">
      <c r="A206" s="12"/>
      <c r="B206" s="12"/>
      <c r="C206" s="12"/>
      <c r="D206" s="12" t="s">
        <v>148</v>
      </c>
      <c r="E206" s="12"/>
      <c r="F206" s="12"/>
      <c r="G206" s="12" t="s">
        <v>410</v>
      </c>
      <c r="H206" s="12"/>
      <c r="I206" s="12"/>
      <c r="J206" s="12"/>
      <c r="K206" s="12"/>
      <c r="L206" s="12"/>
      <c r="M206" s="12"/>
      <c r="N206" s="16"/>
      <c r="O206" s="12"/>
      <c r="P206" s="16" t="s">
        <v>398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6.8">
      <c r="A207" s="12"/>
      <c r="B207" s="12"/>
      <c r="C207" s="12"/>
      <c r="D207" s="12" t="s">
        <v>148</v>
      </c>
      <c r="E207" s="12"/>
      <c r="F207" s="12"/>
      <c r="G207" s="12" t="s">
        <v>411</v>
      </c>
      <c r="H207" s="12"/>
      <c r="I207" s="12"/>
      <c r="J207" s="12"/>
      <c r="K207" s="12"/>
      <c r="L207" s="12"/>
      <c r="M207" s="12"/>
      <c r="N207" s="16"/>
      <c r="O207" s="12"/>
      <c r="P207" s="16" t="s">
        <v>400</v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6.8">
      <c r="A208" s="12"/>
      <c r="B208" s="12"/>
      <c r="C208" s="12"/>
      <c r="D208" s="12" t="s">
        <v>148</v>
      </c>
      <c r="E208" s="12"/>
      <c r="F208" s="12"/>
      <c r="G208" s="12" t="s">
        <v>412</v>
      </c>
      <c r="H208" s="12"/>
      <c r="I208" s="12"/>
      <c r="J208" s="12"/>
      <c r="K208" s="12"/>
      <c r="L208" s="12"/>
      <c r="M208" s="12"/>
      <c r="N208" s="28"/>
      <c r="O208" s="12"/>
      <c r="P208" s="28" t="s">
        <v>202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6.8">
      <c r="A209" s="12"/>
      <c r="B209" s="12"/>
      <c r="C209" s="12"/>
      <c r="D209" s="12" t="s">
        <v>148</v>
      </c>
      <c r="E209" s="12"/>
      <c r="F209" s="12"/>
      <c r="G209" s="12" t="s">
        <v>413</v>
      </c>
      <c r="H209" s="12"/>
      <c r="I209" s="12"/>
      <c r="J209" s="12"/>
      <c r="K209" s="12"/>
      <c r="L209" s="12"/>
      <c r="M209" s="12"/>
      <c r="N209" s="16"/>
      <c r="O209" s="12"/>
      <c r="P209" s="16" t="s">
        <v>342</v>
      </c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6.8">
      <c r="A210" s="12"/>
      <c r="B210" s="12"/>
      <c r="C210" s="12"/>
      <c r="D210" s="12" t="s">
        <v>148</v>
      </c>
      <c r="E210" s="12"/>
      <c r="F210" s="12"/>
      <c r="G210" s="12" t="s">
        <v>414</v>
      </c>
      <c r="H210" s="12"/>
      <c r="I210" s="12"/>
      <c r="J210" s="12"/>
      <c r="K210" s="12"/>
      <c r="L210" s="12"/>
      <c r="M210" s="12"/>
      <c r="N210" s="16"/>
      <c r="O210" s="12"/>
      <c r="P210" s="16" t="s">
        <v>404</v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6.8">
      <c r="A211" s="12"/>
      <c r="B211" s="12"/>
      <c r="C211" s="12"/>
      <c r="D211" s="12" t="s">
        <v>148</v>
      </c>
      <c r="E211" s="12"/>
      <c r="F211" s="12"/>
      <c r="G211" s="12" t="s">
        <v>415</v>
      </c>
      <c r="H211" s="12"/>
      <c r="I211" s="12"/>
      <c r="J211" s="12"/>
      <c r="K211" s="12"/>
      <c r="L211" s="12"/>
      <c r="M211" s="12"/>
      <c r="N211" s="16"/>
      <c r="O211" s="12"/>
      <c r="P211" s="16" t="s">
        <v>406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6.8">
      <c r="A212" s="12"/>
      <c r="B212" s="12"/>
      <c r="C212" s="12"/>
      <c r="D212" s="12" t="s">
        <v>148</v>
      </c>
      <c r="E212" s="12"/>
      <c r="F212" s="12"/>
      <c r="G212" s="12" t="s">
        <v>416</v>
      </c>
      <c r="H212" s="12"/>
      <c r="I212" s="12"/>
      <c r="J212" s="12"/>
      <c r="K212" s="12"/>
      <c r="L212" s="12"/>
      <c r="M212" s="12"/>
      <c r="N212" s="16"/>
      <c r="O212" s="12"/>
      <c r="P212" s="16" t="s">
        <v>408</v>
      </c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6.8">
      <c r="A213" s="12"/>
      <c r="B213" s="12"/>
      <c r="C213" s="12"/>
      <c r="D213" s="12" t="s">
        <v>148</v>
      </c>
      <c r="E213" s="12"/>
      <c r="F213" s="12"/>
      <c r="G213" s="12" t="s">
        <v>417</v>
      </c>
      <c r="H213" s="12"/>
      <c r="I213" s="12"/>
      <c r="J213" s="12"/>
      <c r="K213" s="12"/>
      <c r="L213" s="12"/>
      <c r="M213" s="12"/>
      <c r="N213" s="16"/>
      <c r="O213" s="12"/>
      <c r="P213" s="16" t="s">
        <v>418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6.8">
      <c r="A214" s="12"/>
      <c r="B214" s="12"/>
      <c r="C214" s="12"/>
      <c r="D214" s="12" t="s">
        <v>148</v>
      </c>
      <c r="E214" s="12"/>
      <c r="F214" s="12"/>
      <c r="G214" s="12" t="s">
        <v>419</v>
      </c>
      <c r="H214" s="12"/>
      <c r="I214" s="12"/>
      <c r="J214" s="12"/>
      <c r="K214" s="12"/>
      <c r="L214" s="12"/>
      <c r="M214" s="12"/>
      <c r="N214" s="16"/>
      <c r="O214" s="12"/>
      <c r="P214" s="16" t="s">
        <v>420</v>
      </c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6.8">
      <c r="A215" s="12"/>
      <c r="B215" s="12"/>
      <c r="C215" s="12"/>
      <c r="D215" s="12" t="s">
        <v>148</v>
      </c>
      <c r="E215" s="12"/>
      <c r="F215" s="12"/>
      <c r="G215" s="12" t="s">
        <v>421</v>
      </c>
      <c r="H215" s="12"/>
      <c r="I215" s="12"/>
      <c r="J215" s="12"/>
      <c r="K215" s="12"/>
      <c r="L215" s="12"/>
      <c r="M215" s="12"/>
      <c r="N215" s="16"/>
      <c r="O215" s="12"/>
      <c r="P215" s="16" t="s">
        <v>342</v>
      </c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6.8">
      <c r="A216" s="12"/>
      <c r="B216" s="12"/>
      <c r="C216" s="12"/>
      <c r="D216" s="12" t="s">
        <v>148</v>
      </c>
      <c r="E216" s="12"/>
      <c r="F216" s="12"/>
      <c r="G216" s="12" t="s">
        <v>422</v>
      </c>
      <c r="H216" s="12"/>
      <c r="I216" s="12"/>
      <c r="J216" s="12"/>
      <c r="K216" s="12"/>
      <c r="L216" s="12"/>
      <c r="M216" s="12"/>
      <c r="N216" s="16"/>
      <c r="O216" s="12"/>
      <c r="P216" s="16" t="s">
        <v>423</v>
      </c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6.8">
      <c r="A217" s="12"/>
      <c r="B217" s="12"/>
      <c r="C217" s="12"/>
      <c r="D217" s="12" t="s">
        <v>148</v>
      </c>
      <c r="E217" s="12"/>
      <c r="F217" s="12"/>
      <c r="G217" s="12" t="s">
        <v>424</v>
      </c>
      <c r="H217" s="12"/>
      <c r="I217" s="12"/>
      <c r="J217" s="12"/>
      <c r="K217" s="12"/>
      <c r="L217" s="12"/>
      <c r="M217" s="12"/>
      <c r="N217" s="16"/>
      <c r="O217" s="12"/>
      <c r="P217" s="16" t="s">
        <v>425</v>
      </c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6.8">
      <c r="A218" s="12"/>
      <c r="B218" s="12"/>
      <c r="C218" s="12"/>
      <c r="D218" s="12" t="s">
        <v>148</v>
      </c>
      <c r="E218" s="12"/>
      <c r="F218" s="12"/>
      <c r="G218" s="12" t="s">
        <v>426</v>
      </c>
      <c r="H218" s="12"/>
      <c r="I218" s="12"/>
      <c r="J218" s="12"/>
      <c r="K218" s="12"/>
      <c r="L218" s="12"/>
      <c r="M218" s="12"/>
      <c r="N218" s="16"/>
      <c r="O218" s="12"/>
      <c r="P218" s="16" t="s">
        <v>408</v>
      </c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6.8">
      <c r="A219" s="83" t="s">
        <v>427</v>
      </c>
      <c r="B219" s="84" t="s">
        <v>427</v>
      </c>
      <c r="C219" s="84" t="s">
        <v>427</v>
      </c>
      <c r="D219" s="85" t="s">
        <v>148</v>
      </c>
      <c r="E219" s="84" t="s">
        <v>427</v>
      </c>
      <c r="F219" s="84" t="s">
        <v>427</v>
      </c>
      <c r="G219" s="86" t="s">
        <v>428</v>
      </c>
      <c r="H219" s="84" t="s">
        <v>427</v>
      </c>
      <c r="I219" s="84" t="s">
        <v>427</v>
      </c>
      <c r="J219" s="84" t="s">
        <v>427</v>
      </c>
      <c r="K219" s="84" t="s">
        <v>427</v>
      </c>
      <c r="L219" s="84" t="s">
        <v>427</v>
      </c>
      <c r="M219" s="84" t="s">
        <v>427</v>
      </c>
      <c r="N219" s="84" t="s">
        <v>427</v>
      </c>
      <c r="O219" s="84" t="s">
        <v>427</v>
      </c>
      <c r="P219" s="84" t="s">
        <v>204</v>
      </c>
      <c r="Q219" s="84" t="s">
        <v>427</v>
      </c>
      <c r="R219" s="84" t="s">
        <v>427</v>
      </c>
      <c r="S219" s="84" t="s">
        <v>427</v>
      </c>
      <c r="T219" s="84" t="s">
        <v>427</v>
      </c>
      <c r="U219" s="84" t="s">
        <v>427</v>
      </c>
      <c r="V219" s="84" t="s">
        <v>427</v>
      </c>
      <c r="W219" s="84" t="s">
        <v>427</v>
      </c>
      <c r="X219" s="84" t="s">
        <v>427</v>
      </c>
      <c r="Y219" s="84" t="s">
        <v>427</v>
      </c>
      <c r="Z219" s="84" t="s">
        <v>427</v>
      </c>
    </row>
    <row r="220" spans="1:26" ht="16.8">
      <c r="A220" s="87" t="s">
        <v>427</v>
      </c>
      <c r="B220" s="88" t="s">
        <v>427</v>
      </c>
      <c r="C220" s="88" t="s">
        <v>427</v>
      </c>
      <c r="D220" s="89" t="s">
        <v>148</v>
      </c>
      <c r="E220" s="88" t="s">
        <v>427</v>
      </c>
      <c r="F220" s="88" t="s">
        <v>427</v>
      </c>
      <c r="G220" s="90" t="s">
        <v>429</v>
      </c>
      <c r="H220" s="88" t="s">
        <v>427</v>
      </c>
      <c r="I220" s="88" t="s">
        <v>427</v>
      </c>
      <c r="J220" s="88" t="s">
        <v>427</v>
      </c>
      <c r="K220" s="88" t="s">
        <v>427</v>
      </c>
      <c r="L220" s="88" t="s">
        <v>427</v>
      </c>
      <c r="M220" s="88" t="s">
        <v>427</v>
      </c>
      <c r="N220" s="88" t="s">
        <v>427</v>
      </c>
      <c r="O220" s="88" t="s">
        <v>427</v>
      </c>
      <c r="P220" s="88" t="s">
        <v>204</v>
      </c>
      <c r="Q220" s="88" t="s">
        <v>427</v>
      </c>
      <c r="R220" s="88" t="s">
        <v>427</v>
      </c>
      <c r="S220" s="88" t="s">
        <v>427</v>
      </c>
      <c r="T220" s="88" t="s">
        <v>427</v>
      </c>
      <c r="U220" s="88" t="s">
        <v>427</v>
      </c>
      <c r="V220" s="88" t="s">
        <v>427</v>
      </c>
      <c r="W220" s="88" t="s">
        <v>427</v>
      </c>
      <c r="X220" s="88" t="s">
        <v>427</v>
      </c>
      <c r="Y220" s="88" t="s">
        <v>427</v>
      </c>
      <c r="Z220" s="88" t="s">
        <v>427</v>
      </c>
    </row>
    <row r="221" spans="1:26" ht="16.8">
      <c r="A221" s="87" t="s">
        <v>427</v>
      </c>
      <c r="B221" s="88" t="s">
        <v>427</v>
      </c>
      <c r="C221" s="88" t="s">
        <v>427</v>
      </c>
      <c r="D221" s="89" t="s">
        <v>148</v>
      </c>
      <c r="E221" s="88" t="s">
        <v>427</v>
      </c>
      <c r="F221" s="88" t="s">
        <v>427</v>
      </c>
      <c r="G221" s="90" t="s">
        <v>430</v>
      </c>
      <c r="H221" s="88" t="s">
        <v>427</v>
      </c>
      <c r="I221" s="88" t="s">
        <v>427</v>
      </c>
      <c r="J221" s="88" t="s">
        <v>427</v>
      </c>
      <c r="K221" s="88" t="s">
        <v>427</v>
      </c>
      <c r="L221" s="88" t="s">
        <v>427</v>
      </c>
      <c r="M221" s="88" t="s">
        <v>427</v>
      </c>
      <c r="N221" s="88" t="s">
        <v>427</v>
      </c>
      <c r="O221" s="88" t="s">
        <v>427</v>
      </c>
      <c r="P221" s="88" t="s">
        <v>204</v>
      </c>
      <c r="Q221" s="88" t="s">
        <v>427</v>
      </c>
      <c r="R221" s="88" t="s">
        <v>427</v>
      </c>
      <c r="S221" s="88" t="s">
        <v>427</v>
      </c>
      <c r="T221" s="88" t="s">
        <v>427</v>
      </c>
      <c r="U221" s="88" t="s">
        <v>427</v>
      </c>
      <c r="V221" s="88" t="s">
        <v>427</v>
      </c>
      <c r="W221" s="88" t="s">
        <v>427</v>
      </c>
      <c r="X221" s="88" t="s">
        <v>427</v>
      </c>
      <c r="Y221" s="88" t="s">
        <v>427</v>
      </c>
      <c r="Z221" s="88" t="s">
        <v>427</v>
      </c>
    </row>
    <row r="222" spans="1:26" ht="16.8">
      <c r="A222" s="87" t="s">
        <v>427</v>
      </c>
      <c r="B222" s="88" t="s">
        <v>427</v>
      </c>
      <c r="C222" s="88" t="s">
        <v>427</v>
      </c>
      <c r="D222" s="89" t="s">
        <v>148</v>
      </c>
      <c r="E222" s="88" t="s">
        <v>427</v>
      </c>
      <c r="F222" s="88" t="s">
        <v>427</v>
      </c>
      <c r="G222" s="90" t="s">
        <v>431</v>
      </c>
      <c r="H222" s="88" t="s">
        <v>427</v>
      </c>
      <c r="I222" s="88" t="s">
        <v>427</v>
      </c>
      <c r="J222" s="88" t="s">
        <v>427</v>
      </c>
      <c r="K222" s="88" t="s">
        <v>427</v>
      </c>
      <c r="L222" s="88" t="s">
        <v>427</v>
      </c>
      <c r="M222" s="88" t="s">
        <v>427</v>
      </c>
      <c r="N222" s="88" t="s">
        <v>427</v>
      </c>
      <c r="O222" s="88" t="s">
        <v>427</v>
      </c>
      <c r="P222" s="88" t="s">
        <v>204</v>
      </c>
      <c r="Q222" s="88" t="s">
        <v>427</v>
      </c>
      <c r="R222" s="88" t="s">
        <v>427</v>
      </c>
      <c r="S222" s="88" t="s">
        <v>427</v>
      </c>
      <c r="T222" s="88" t="s">
        <v>427</v>
      </c>
      <c r="U222" s="88" t="s">
        <v>427</v>
      </c>
      <c r="V222" s="88" t="s">
        <v>427</v>
      </c>
      <c r="W222" s="88" t="s">
        <v>427</v>
      </c>
      <c r="X222" s="88" t="s">
        <v>427</v>
      </c>
      <c r="Y222" s="88" t="s">
        <v>427</v>
      </c>
      <c r="Z222" s="88" t="s">
        <v>427</v>
      </c>
    </row>
    <row r="223" spans="1:26" ht="16.8">
      <c r="A223" s="87" t="s">
        <v>427</v>
      </c>
      <c r="B223" s="88" t="s">
        <v>427</v>
      </c>
      <c r="C223" s="88" t="s">
        <v>427</v>
      </c>
      <c r="D223" s="89" t="s">
        <v>148</v>
      </c>
      <c r="E223" s="88" t="s">
        <v>427</v>
      </c>
      <c r="F223" s="88" t="s">
        <v>427</v>
      </c>
      <c r="G223" s="90" t="s">
        <v>432</v>
      </c>
      <c r="H223" s="88" t="s">
        <v>427</v>
      </c>
      <c r="I223" s="88" t="s">
        <v>427</v>
      </c>
      <c r="J223" s="88" t="s">
        <v>427</v>
      </c>
      <c r="K223" s="88" t="s">
        <v>427</v>
      </c>
      <c r="L223" s="88" t="s">
        <v>427</v>
      </c>
      <c r="M223" s="88" t="s">
        <v>427</v>
      </c>
      <c r="N223" s="88" t="s">
        <v>427</v>
      </c>
      <c r="O223" s="88" t="s">
        <v>427</v>
      </c>
      <c r="P223" s="88" t="s">
        <v>204</v>
      </c>
      <c r="Q223" s="88" t="s">
        <v>427</v>
      </c>
      <c r="R223" s="88" t="s">
        <v>427</v>
      </c>
      <c r="S223" s="88" t="s">
        <v>427</v>
      </c>
      <c r="T223" s="88" t="s">
        <v>427</v>
      </c>
      <c r="U223" s="88" t="s">
        <v>427</v>
      </c>
      <c r="V223" s="88" t="s">
        <v>427</v>
      </c>
      <c r="W223" s="88" t="s">
        <v>427</v>
      </c>
      <c r="X223" s="88" t="s">
        <v>427</v>
      </c>
      <c r="Y223" s="88" t="s">
        <v>427</v>
      </c>
      <c r="Z223" s="88" t="s">
        <v>427</v>
      </c>
    </row>
    <row r="224" spans="1:26" ht="16.8">
      <c r="A224" s="87" t="s">
        <v>427</v>
      </c>
      <c r="B224" s="88" t="s">
        <v>427</v>
      </c>
      <c r="C224" s="88" t="s">
        <v>427</v>
      </c>
      <c r="D224" s="89" t="s">
        <v>148</v>
      </c>
      <c r="E224" s="88" t="s">
        <v>427</v>
      </c>
      <c r="F224" s="88" t="s">
        <v>427</v>
      </c>
      <c r="G224" s="90" t="s">
        <v>433</v>
      </c>
      <c r="H224" s="88" t="s">
        <v>427</v>
      </c>
      <c r="I224" s="88" t="s">
        <v>427</v>
      </c>
      <c r="J224" s="88" t="s">
        <v>427</v>
      </c>
      <c r="K224" s="88" t="s">
        <v>427</v>
      </c>
      <c r="L224" s="88" t="s">
        <v>427</v>
      </c>
      <c r="M224" s="88" t="s">
        <v>427</v>
      </c>
      <c r="N224" s="88" t="s">
        <v>427</v>
      </c>
      <c r="O224" s="88" t="s">
        <v>427</v>
      </c>
      <c r="P224" s="88" t="s">
        <v>204</v>
      </c>
      <c r="Q224" s="88" t="s">
        <v>427</v>
      </c>
      <c r="R224" s="88" t="s">
        <v>427</v>
      </c>
      <c r="S224" s="88" t="s">
        <v>427</v>
      </c>
      <c r="T224" s="88" t="s">
        <v>427</v>
      </c>
      <c r="U224" s="88" t="s">
        <v>427</v>
      </c>
      <c r="V224" s="88" t="s">
        <v>427</v>
      </c>
      <c r="W224" s="88" t="s">
        <v>427</v>
      </c>
      <c r="X224" s="88" t="s">
        <v>427</v>
      </c>
      <c r="Y224" s="88" t="s">
        <v>427</v>
      </c>
      <c r="Z224" s="88" t="s">
        <v>427</v>
      </c>
    </row>
    <row r="225" spans="1:26" ht="16.8">
      <c r="A225" s="87" t="s">
        <v>427</v>
      </c>
      <c r="B225" s="88" t="s">
        <v>427</v>
      </c>
      <c r="C225" s="88" t="s">
        <v>427</v>
      </c>
      <c r="D225" s="89" t="s">
        <v>148</v>
      </c>
      <c r="E225" s="88" t="s">
        <v>427</v>
      </c>
      <c r="F225" s="88" t="s">
        <v>427</v>
      </c>
      <c r="G225" s="90" t="s">
        <v>434</v>
      </c>
      <c r="H225" s="88" t="s">
        <v>427</v>
      </c>
      <c r="I225" s="88" t="s">
        <v>427</v>
      </c>
      <c r="J225" s="88" t="s">
        <v>427</v>
      </c>
      <c r="K225" s="88" t="s">
        <v>427</v>
      </c>
      <c r="L225" s="88" t="s">
        <v>427</v>
      </c>
      <c r="M225" s="88" t="s">
        <v>427</v>
      </c>
      <c r="N225" s="88" t="s">
        <v>427</v>
      </c>
      <c r="O225" s="88" t="s">
        <v>427</v>
      </c>
      <c r="P225" s="88" t="s">
        <v>204</v>
      </c>
      <c r="Q225" s="88" t="s">
        <v>427</v>
      </c>
      <c r="R225" s="88" t="s">
        <v>427</v>
      </c>
      <c r="S225" s="88" t="s">
        <v>427</v>
      </c>
      <c r="T225" s="88" t="s">
        <v>427</v>
      </c>
      <c r="U225" s="88" t="s">
        <v>427</v>
      </c>
      <c r="V225" s="88" t="s">
        <v>427</v>
      </c>
      <c r="W225" s="88" t="s">
        <v>427</v>
      </c>
      <c r="X225" s="88" t="s">
        <v>427</v>
      </c>
      <c r="Y225" s="88" t="s">
        <v>427</v>
      </c>
      <c r="Z225" s="88" t="s">
        <v>427</v>
      </c>
    </row>
    <row r="226" spans="1:26" ht="16.8">
      <c r="A226" s="87" t="s">
        <v>427</v>
      </c>
      <c r="B226" s="88" t="s">
        <v>427</v>
      </c>
      <c r="C226" s="88" t="s">
        <v>427</v>
      </c>
      <c r="D226" s="89" t="s">
        <v>148</v>
      </c>
      <c r="E226" s="88" t="s">
        <v>427</v>
      </c>
      <c r="F226" s="88" t="s">
        <v>427</v>
      </c>
      <c r="G226" s="90" t="s">
        <v>435</v>
      </c>
      <c r="H226" s="88" t="s">
        <v>427</v>
      </c>
      <c r="I226" s="88" t="s">
        <v>427</v>
      </c>
      <c r="J226" s="88" t="s">
        <v>427</v>
      </c>
      <c r="K226" s="88" t="s">
        <v>427</v>
      </c>
      <c r="L226" s="88" t="s">
        <v>427</v>
      </c>
      <c r="M226" s="88" t="s">
        <v>427</v>
      </c>
      <c r="N226" s="88" t="s">
        <v>427</v>
      </c>
      <c r="O226" s="88" t="s">
        <v>427</v>
      </c>
      <c r="P226" s="88" t="s">
        <v>204</v>
      </c>
      <c r="Q226" s="88" t="s">
        <v>427</v>
      </c>
      <c r="R226" s="88" t="s">
        <v>427</v>
      </c>
      <c r="S226" s="88" t="s">
        <v>427</v>
      </c>
      <c r="T226" s="88" t="s">
        <v>427</v>
      </c>
      <c r="U226" s="88" t="s">
        <v>427</v>
      </c>
      <c r="V226" s="88" t="s">
        <v>427</v>
      </c>
      <c r="W226" s="88" t="s">
        <v>427</v>
      </c>
      <c r="X226" s="88" t="s">
        <v>427</v>
      </c>
      <c r="Y226" s="88" t="s">
        <v>427</v>
      </c>
      <c r="Z226" s="88" t="s">
        <v>427</v>
      </c>
    </row>
    <row r="227" spans="1:26" ht="16.8">
      <c r="A227" s="87" t="s">
        <v>427</v>
      </c>
      <c r="B227" s="88" t="s">
        <v>427</v>
      </c>
      <c r="C227" s="88" t="s">
        <v>427</v>
      </c>
      <c r="D227" s="89" t="s">
        <v>148</v>
      </c>
      <c r="E227" s="88" t="s">
        <v>427</v>
      </c>
      <c r="F227" s="88" t="s">
        <v>427</v>
      </c>
      <c r="G227" s="90" t="s">
        <v>436</v>
      </c>
      <c r="H227" s="88" t="s">
        <v>427</v>
      </c>
      <c r="I227" s="88" t="s">
        <v>427</v>
      </c>
      <c r="J227" s="88" t="s">
        <v>427</v>
      </c>
      <c r="K227" s="88" t="s">
        <v>427</v>
      </c>
      <c r="L227" s="88" t="s">
        <v>427</v>
      </c>
      <c r="M227" s="88" t="s">
        <v>427</v>
      </c>
      <c r="N227" s="88" t="s">
        <v>427</v>
      </c>
      <c r="O227" s="88" t="s">
        <v>427</v>
      </c>
      <c r="P227" s="88" t="s">
        <v>204</v>
      </c>
      <c r="Q227" s="88" t="s">
        <v>427</v>
      </c>
      <c r="R227" s="88" t="s">
        <v>427</v>
      </c>
      <c r="S227" s="88" t="s">
        <v>427</v>
      </c>
      <c r="T227" s="88" t="s">
        <v>427</v>
      </c>
      <c r="U227" s="88" t="s">
        <v>427</v>
      </c>
      <c r="V227" s="88" t="s">
        <v>427</v>
      </c>
      <c r="W227" s="88" t="s">
        <v>427</v>
      </c>
      <c r="X227" s="88" t="s">
        <v>427</v>
      </c>
      <c r="Y227" s="88" t="s">
        <v>427</v>
      </c>
      <c r="Z227" s="88" t="s">
        <v>427</v>
      </c>
    </row>
    <row r="228" spans="1:26" ht="16.8">
      <c r="A228" s="87" t="s">
        <v>427</v>
      </c>
      <c r="B228" s="88" t="s">
        <v>427</v>
      </c>
      <c r="C228" s="88" t="s">
        <v>427</v>
      </c>
      <c r="D228" s="89" t="s">
        <v>148</v>
      </c>
      <c r="E228" s="88" t="s">
        <v>427</v>
      </c>
      <c r="F228" s="88" t="s">
        <v>427</v>
      </c>
      <c r="G228" s="90" t="s">
        <v>437</v>
      </c>
      <c r="H228" s="88" t="s">
        <v>427</v>
      </c>
      <c r="I228" s="88" t="s">
        <v>427</v>
      </c>
      <c r="J228" s="88" t="s">
        <v>427</v>
      </c>
      <c r="K228" s="88" t="s">
        <v>427</v>
      </c>
      <c r="L228" s="88" t="s">
        <v>427</v>
      </c>
      <c r="M228" s="88" t="s">
        <v>427</v>
      </c>
      <c r="N228" s="88" t="s">
        <v>427</v>
      </c>
      <c r="O228" s="88" t="s">
        <v>427</v>
      </c>
      <c r="P228" s="88" t="s">
        <v>204</v>
      </c>
      <c r="Q228" s="88" t="s">
        <v>427</v>
      </c>
      <c r="R228" s="88" t="s">
        <v>427</v>
      </c>
      <c r="S228" s="88" t="s">
        <v>427</v>
      </c>
      <c r="T228" s="88" t="s">
        <v>427</v>
      </c>
      <c r="U228" s="88" t="s">
        <v>427</v>
      </c>
      <c r="V228" s="88" t="s">
        <v>427</v>
      </c>
      <c r="W228" s="88" t="s">
        <v>427</v>
      </c>
      <c r="X228" s="88" t="s">
        <v>427</v>
      </c>
      <c r="Y228" s="88" t="s">
        <v>427</v>
      </c>
      <c r="Z228" s="88" t="s">
        <v>427</v>
      </c>
    </row>
    <row r="229" spans="1:26" ht="16.8">
      <c r="A229" s="87" t="s">
        <v>427</v>
      </c>
      <c r="B229" s="88" t="s">
        <v>427</v>
      </c>
      <c r="C229" s="88" t="s">
        <v>427</v>
      </c>
      <c r="D229" s="89" t="s">
        <v>148</v>
      </c>
      <c r="E229" s="88" t="s">
        <v>427</v>
      </c>
      <c r="F229" s="88" t="s">
        <v>427</v>
      </c>
      <c r="G229" s="90" t="s">
        <v>438</v>
      </c>
      <c r="H229" s="88" t="s">
        <v>427</v>
      </c>
      <c r="I229" s="88" t="s">
        <v>427</v>
      </c>
      <c r="J229" s="88" t="s">
        <v>427</v>
      </c>
      <c r="K229" s="88" t="s">
        <v>427</v>
      </c>
      <c r="L229" s="88" t="s">
        <v>427</v>
      </c>
      <c r="M229" s="88" t="s">
        <v>427</v>
      </c>
      <c r="N229" s="88" t="s">
        <v>427</v>
      </c>
      <c r="O229" s="88" t="s">
        <v>427</v>
      </c>
      <c r="P229" s="88" t="s">
        <v>204</v>
      </c>
      <c r="Q229" s="88" t="s">
        <v>427</v>
      </c>
      <c r="R229" s="88" t="s">
        <v>427</v>
      </c>
      <c r="S229" s="88" t="s">
        <v>427</v>
      </c>
      <c r="T229" s="88" t="s">
        <v>427</v>
      </c>
      <c r="U229" s="88" t="s">
        <v>427</v>
      </c>
      <c r="V229" s="88" t="s">
        <v>427</v>
      </c>
      <c r="W229" s="88" t="s">
        <v>427</v>
      </c>
      <c r="X229" s="88" t="s">
        <v>427</v>
      </c>
      <c r="Y229" s="88" t="s">
        <v>427</v>
      </c>
      <c r="Z229" s="88" t="s">
        <v>427</v>
      </c>
    </row>
    <row r="230" spans="1:26" ht="16.8">
      <c r="A230" s="87" t="s">
        <v>427</v>
      </c>
      <c r="B230" s="88" t="s">
        <v>427</v>
      </c>
      <c r="C230" s="88" t="s">
        <v>427</v>
      </c>
      <c r="D230" s="89" t="s">
        <v>148</v>
      </c>
      <c r="E230" s="88" t="s">
        <v>427</v>
      </c>
      <c r="F230" s="88" t="s">
        <v>427</v>
      </c>
      <c r="G230" s="90" t="s">
        <v>439</v>
      </c>
      <c r="H230" s="88" t="s">
        <v>427</v>
      </c>
      <c r="I230" s="88" t="s">
        <v>427</v>
      </c>
      <c r="J230" s="88" t="s">
        <v>427</v>
      </c>
      <c r="K230" s="88" t="s">
        <v>427</v>
      </c>
      <c r="L230" s="88" t="s">
        <v>427</v>
      </c>
      <c r="M230" s="88" t="s">
        <v>427</v>
      </c>
      <c r="N230" s="88" t="s">
        <v>427</v>
      </c>
      <c r="O230" s="88" t="s">
        <v>427</v>
      </c>
      <c r="P230" s="88" t="s">
        <v>204</v>
      </c>
      <c r="Q230" s="88" t="s">
        <v>427</v>
      </c>
      <c r="R230" s="88" t="s">
        <v>427</v>
      </c>
      <c r="S230" s="88" t="s">
        <v>427</v>
      </c>
      <c r="T230" s="88" t="s">
        <v>427</v>
      </c>
      <c r="U230" s="88" t="s">
        <v>427</v>
      </c>
      <c r="V230" s="88" t="s">
        <v>427</v>
      </c>
      <c r="W230" s="88" t="s">
        <v>427</v>
      </c>
      <c r="X230" s="88" t="s">
        <v>427</v>
      </c>
      <c r="Y230" s="88" t="s">
        <v>427</v>
      </c>
      <c r="Z230" s="88" t="s">
        <v>427</v>
      </c>
    </row>
    <row r="231" spans="1:26" ht="16.8">
      <c r="A231" s="87" t="s">
        <v>427</v>
      </c>
      <c r="B231" s="88" t="s">
        <v>427</v>
      </c>
      <c r="C231" s="88" t="s">
        <v>427</v>
      </c>
      <c r="D231" s="89" t="s">
        <v>148</v>
      </c>
      <c r="E231" s="88" t="s">
        <v>427</v>
      </c>
      <c r="F231" s="88" t="s">
        <v>427</v>
      </c>
      <c r="G231" s="90" t="s">
        <v>440</v>
      </c>
      <c r="H231" s="88" t="s">
        <v>427</v>
      </c>
      <c r="I231" s="88" t="s">
        <v>427</v>
      </c>
      <c r="J231" s="88" t="s">
        <v>427</v>
      </c>
      <c r="K231" s="88" t="s">
        <v>427</v>
      </c>
      <c r="L231" s="88" t="s">
        <v>427</v>
      </c>
      <c r="M231" s="88" t="s">
        <v>427</v>
      </c>
      <c r="N231" s="88" t="s">
        <v>427</v>
      </c>
      <c r="O231" s="88" t="s">
        <v>427</v>
      </c>
      <c r="P231" s="88" t="s">
        <v>204</v>
      </c>
      <c r="Q231" s="88" t="s">
        <v>427</v>
      </c>
      <c r="R231" s="88" t="s">
        <v>427</v>
      </c>
      <c r="S231" s="88" t="s">
        <v>427</v>
      </c>
      <c r="T231" s="88" t="s">
        <v>427</v>
      </c>
      <c r="U231" s="88" t="s">
        <v>427</v>
      </c>
      <c r="V231" s="88" t="s">
        <v>427</v>
      </c>
      <c r="W231" s="88" t="s">
        <v>427</v>
      </c>
      <c r="X231" s="88" t="s">
        <v>427</v>
      </c>
      <c r="Y231" s="88" t="s">
        <v>427</v>
      </c>
      <c r="Z231" s="88" t="s">
        <v>427</v>
      </c>
    </row>
    <row r="232" spans="1:26" ht="16.8">
      <c r="A232" s="87" t="s">
        <v>427</v>
      </c>
      <c r="B232" s="88" t="s">
        <v>427</v>
      </c>
      <c r="C232" s="88" t="s">
        <v>427</v>
      </c>
      <c r="D232" s="89" t="s">
        <v>148</v>
      </c>
      <c r="E232" s="88" t="s">
        <v>427</v>
      </c>
      <c r="F232" s="88" t="s">
        <v>427</v>
      </c>
      <c r="G232" s="90" t="s">
        <v>441</v>
      </c>
      <c r="H232" s="88" t="s">
        <v>427</v>
      </c>
      <c r="I232" s="88" t="s">
        <v>427</v>
      </c>
      <c r="J232" s="88" t="s">
        <v>427</v>
      </c>
      <c r="K232" s="88" t="s">
        <v>427</v>
      </c>
      <c r="L232" s="88" t="s">
        <v>427</v>
      </c>
      <c r="M232" s="88" t="s">
        <v>427</v>
      </c>
      <c r="N232" s="88" t="s">
        <v>427</v>
      </c>
      <c r="O232" s="88" t="s">
        <v>427</v>
      </c>
      <c r="P232" s="88" t="s">
        <v>204</v>
      </c>
      <c r="Q232" s="88" t="s">
        <v>427</v>
      </c>
      <c r="R232" s="88" t="s">
        <v>427</v>
      </c>
      <c r="S232" s="88" t="s">
        <v>427</v>
      </c>
      <c r="T232" s="88" t="s">
        <v>427</v>
      </c>
      <c r="U232" s="88" t="s">
        <v>427</v>
      </c>
      <c r="V232" s="88" t="s">
        <v>427</v>
      </c>
      <c r="W232" s="88" t="s">
        <v>427</v>
      </c>
      <c r="X232" s="88" t="s">
        <v>427</v>
      </c>
      <c r="Y232" s="88" t="s">
        <v>427</v>
      </c>
      <c r="Z232" s="88" t="s">
        <v>427</v>
      </c>
    </row>
    <row r="233" spans="1:26" ht="16.8">
      <c r="A233" s="87" t="s">
        <v>427</v>
      </c>
      <c r="B233" s="88" t="s">
        <v>427</v>
      </c>
      <c r="C233" s="88" t="s">
        <v>427</v>
      </c>
      <c r="D233" s="89" t="s">
        <v>148</v>
      </c>
      <c r="E233" s="88" t="s">
        <v>427</v>
      </c>
      <c r="F233" s="88" t="s">
        <v>427</v>
      </c>
      <c r="G233" s="90" t="s">
        <v>442</v>
      </c>
      <c r="H233" s="88" t="s">
        <v>427</v>
      </c>
      <c r="I233" s="88" t="s">
        <v>427</v>
      </c>
      <c r="J233" s="88" t="s">
        <v>427</v>
      </c>
      <c r="K233" s="88" t="s">
        <v>427</v>
      </c>
      <c r="L233" s="88" t="s">
        <v>427</v>
      </c>
      <c r="M233" s="88" t="s">
        <v>427</v>
      </c>
      <c r="N233" s="88" t="s">
        <v>427</v>
      </c>
      <c r="O233" s="88" t="s">
        <v>427</v>
      </c>
      <c r="P233" s="88" t="s">
        <v>204</v>
      </c>
      <c r="Q233" s="88" t="s">
        <v>427</v>
      </c>
      <c r="R233" s="88" t="s">
        <v>427</v>
      </c>
      <c r="S233" s="88" t="s">
        <v>427</v>
      </c>
      <c r="T233" s="88" t="s">
        <v>427</v>
      </c>
      <c r="U233" s="88" t="s">
        <v>427</v>
      </c>
      <c r="V233" s="88" t="s">
        <v>427</v>
      </c>
      <c r="W233" s="88" t="s">
        <v>427</v>
      </c>
      <c r="X233" s="88" t="s">
        <v>427</v>
      </c>
      <c r="Y233" s="88" t="s">
        <v>427</v>
      </c>
      <c r="Z233" s="88" t="s">
        <v>427</v>
      </c>
    </row>
    <row r="234" spans="1:26" ht="16.8">
      <c r="A234" s="87" t="s">
        <v>427</v>
      </c>
      <c r="B234" s="88" t="s">
        <v>427</v>
      </c>
      <c r="C234" s="88" t="s">
        <v>427</v>
      </c>
      <c r="D234" s="89" t="s">
        <v>148</v>
      </c>
      <c r="E234" s="88" t="s">
        <v>427</v>
      </c>
      <c r="F234" s="88" t="s">
        <v>427</v>
      </c>
      <c r="G234" s="90" t="s">
        <v>443</v>
      </c>
      <c r="H234" s="88" t="s">
        <v>427</v>
      </c>
      <c r="I234" s="88" t="s">
        <v>427</v>
      </c>
      <c r="J234" s="88" t="s">
        <v>427</v>
      </c>
      <c r="K234" s="88" t="s">
        <v>427</v>
      </c>
      <c r="L234" s="88" t="s">
        <v>427</v>
      </c>
      <c r="M234" s="88" t="s">
        <v>427</v>
      </c>
      <c r="N234" s="88" t="s">
        <v>427</v>
      </c>
      <c r="O234" s="88" t="s">
        <v>427</v>
      </c>
      <c r="P234" s="88" t="s">
        <v>204</v>
      </c>
      <c r="Q234" s="88" t="s">
        <v>427</v>
      </c>
      <c r="R234" s="88" t="s">
        <v>427</v>
      </c>
      <c r="S234" s="88" t="s">
        <v>427</v>
      </c>
      <c r="T234" s="88" t="s">
        <v>427</v>
      </c>
      <c r="U234" s="88" t="s">
        <v>427</v>
      </c>
      <c r="V234" s="88" t="s">
        <v>427</v>
      </c>
      <c r="W234" s="88" t="s">
        <v>427</v>
      </c>
      <c r="X234" s="88" t="s">
        <v>427</v>
      </c>
      <c r="Y234" s="88" t="s">
        <v>427</v>
      </c>
      <c r="Z234" s="88" t="s">
        <v>427</v>
      </c>
    </row>
    <row r="235" spans="1:26" ht="16.8">
      <c r="A235" s="87" t="s">
        <v>427</v>
      </c>
      <c r="B235" s="88" t="s">
        <v>427</v>
      </c>
      <c r="C235" s="88" t="s">
        <v>427</v>
      </c>
      <c r="D235" s="89" t="s">
        <v>148</v>
      </c>
      <c r="E235" s="88" t="s">
        <v>427</v>
      </c>
      <c r="F235" s="88" t="s">
        <v>427</v>
      </c>
      <c r="G235" s="90" t="s">
        <v>444</v>
      </c>
      <c r="H235" s="88" t="s">
        <v>427</v>
      </c>
      <c r="I235" s="88" t="s">
        <v>427</v>
      </c>
      <c r="J235" s="88" t="s">
        <v>427</v>
      </c>
      <c r="K235" s="88" t="s">
        <v>427</v>
      </c>
      <c r="L235" s="88" t="s">
        <v>427</v>
      </c>
      <c r="M235" s="88" t="s">
        <v>427</v>
      </c>
      <c r="N235" s="88" t="s">
        <v>427</v>
      </c>
      <c r="O235" s="88" t="s">
        <v>427</v>
      </c>
      <c r="P235" s="88" t="s">
        <v>204</v>
      </c>
      <c r="Q235" s="88" t="s">
        <v>427</v>
      </c>
      <c r="R235" s="88" t="s">
        <v>427</v>
      </c>
      <c r="S235" s="88" t="s">
        <v>427</v>
      </c>
      <c r="T235" s="88" t="s">
        <v>427</v>
      </c>
      <c r="U235" s="88" t="s">
        <v>427</v>
      </c>
      <c r="V235" s="88" t="s">
        <v>427</v>
      </c>
      <c r="W235" s="88" t="s">
        <v>427</v>
      </c>
      <c r="X235" s="88" t="s">
        <v>427</v>
      </c>
      <c r="Y235" s="88" t="s">
        <v>427</v>
      </c>
      <c r="Z235" s="88" t="s">
        <v>427</v>
      </c>
    </row>
    <row r="236" spans="1:26" ht="16.8">
      <c r="A236" s="87" t="s">
        <v>427</v>
      </c>
      <c r="B236" s="88" t="s">
        <v>427</v>
      </c>
      <c r="C236" s="88" t="s">
        <v>427</v>
      </c>
      <c r="D236" s="89" t="s">
        <v>148</v>
      </c>
      <c r="E236" s="88" t="s">
        <v>427</v>
      </c>
      <c r="F236" s="88" t="s">
        <v>427</v>
      </c>
      <c r="G236" s="90" t="s">
        <v>445</v>
      </c>
      <c r="H236" s="88" t="s">
        <v>427</v>
      </c>
      <c r="I236" s="88" t="s">
        <v>427</v>
      </c>
      <c r="J236" s="88" t="s">
        <v>427</v>
      </c>
      <c r="K236" s="88" t="s">
        <v>427</v>
      </c>
      <c r="L236" s="88" t="s">
        <v>427</v>
      </c>
      <c r="M236" s="88" t="s">
        <v>427</v>
      </c>
      <c r="N236" s="88" t="s">
        <v>427</v>
      </c>
      <c r="O236" s="88" t="s">
        <v>427</v>
      </c>
      <c r="P236" s="88" t="s">
        <v>204</v>
      </c>
      <c r="Q236" s="88" t="s">
        <v>427</v>
      </c>
      <c r="R236" s="88" t="s">
        <v>427</v>
      </c>
      <c r="S236" s="88" t="s">
        <v>427</v>
      </c>
      <c r="T236" s="88" t="s">
        <v>427</v>
      </c>
      <c r="U236" s="88" t="s">
        <v>427</v>
      </c>
      <c r="V236" s="88" t="s">
        <v>427</v>
      </c>
      <c r="W236" s="88" t="s">
        <v>427</v>
      </c>
      <c r="X236" s="88" t="s">
        <v>427</v>
      </c>
      <c r="Y236" s="88" t="s">
        <v>427</v>
      </c>
      <c r="Z236" s="88" t="s">
        <v>427</v>
      </c>
    </row>
    <row r="237" spans="1:26" ht="16.8">
      <c r="A237" s="87" t="s">
        <v>427</v>
      </c>
      <c r="B237" s="88" t="s">
        <v>427</v>
      </c>
      <c r="C237" s="88" t="s">
        <v>427</v>
      </c>
      <c r="D237" s="89" t="s">
        <v>148</v>
      </c>
      <c r="E237" s="88" t="s">
        <v>427</v>
      </c>
      <c r="F237" s="88" t="s">
        <v>427</v>
      </c>
      <c r="G237" s="90" t="s">
        <v>446</v>
      </c>
      <c r="H237" s="88" t="s">
        <v>427</v>
      </c>
      <c r="I237" s="88" t="s">
        <v>427</v>
      </c>
      <c r="J237" s="88" t="s">
        <v>427</v>
      </c>
      <c r="K237" s="88" t="s">
        <v>427</v>
      </c>
      <c r="L237" s="88" t="s">
        <v>427</v>
      </c>
      <c r="M237" s="88" t="s">
        <v>427</v>
      </c>
      <c r="N237" s="88" t="s">
        <v>427</v>
      </c>
      <c r="O237" s="88" t="s">
        <v>427</v>
      </c>
      <c r="P237" s="88" t="s">
        <v>204</v>
      </c>
      <c r="Q237" s="88" t="s">
        <v>427</v>
      </c>
      <c r="R237" s="88" t="s">
        <v>427</v>
      </c>
      <c r="S237" s="88" t="s">
        <v>427</v>
      </c>
      <c r="T237" s="88" t="s">
        <v>427</v>
      </c>
      <c r="U237" s="88" t="s">
        <v>427</v>
      </c>
      <c r="V237" s="88" t="s">
        <v>427</v>
      </c>
      <c r="W237" s="88" t="s">
        <v>427</v>
      </c>
      <c r="X237" s="88" t="s">
        <v>427</v>
      </c>
      <c r="Y237" s="88" t="s">
        <v>427</v>
      </c>
      <c r="Z237" s="88" t="s">
        <v>427</v>
      </c>
    </row>
    <row r="238" spans="1:26" ht="16.8">
      <c r="A238" s="87" t="s">
        <v>427</v>
      </c>
      <c r="B238" s="88" t="s">
        <v>427</v>
      </c>
      <c r="C238" s="88" t="s">
        <v>427</v>
      </c>
      <c r="D238" s="89" t="s">
        <v>148</v>
      </c>
      <c r="E238" s="88" t="s">
        <v>427</v>
      </c>
      <c r="F238" s="88" t="s">
        <v>427</v>
      </c>
      <c r="G238" s="90" t="s">
        <v>447</v>
      </c>
      <c r="H238" s="88" t="s">
        <v>427</v>
      </c>
      <c r="I238" s="88" t="s">
        <v>427</v>
      </c>
      <c r="J238" s="88" t="s">
        <v>427</v>
      </c>
      <c r="K238" s="88" t="s">
        <v>427</v>
      </c>
      <c r="L238" s="88" t="s">
        <v>427</v>
      </c>
      <c r="M238" s="88" t="s">
        <v>427</v>
      </c>
      <c r="N238" s="88" t="s">
        <v>427</v>
      </c>
      <c r="O238" s="88" t="s">
        <v>427</v>
      </c>
      <c r="P238" s="88" t="s">
        <v>204</v>
      </c>
      <c r="Q238" s="88" t="s">
        <v>427</v>
      </c>
      <c r="R238" s="88" t="s">
        <v>427</v>
      </c>
      <c r="S238" s="88" t="s">
        <v>427</v>
      </c>
      <c r="T238" s="88" t="s">
        <v>427</v>
      </c>
      <c r="U238" s="88" t="s">
        <v>427</v>
      </c>
      <c r="V238" s="88" t="s">
        <v>427</v>
      </c>
      <c r="W238" s="88" t="s">
        <v>427</v>
      </c>
      <c r="X238" s="88" t="s">
        <v>427</v>
      </c>
      <c r="Y238" s="88" t="s">
        <v>427</v>
      </c>
      <c r="Z238" s="88" t="s">
        <v>427</v>
      </c>
    </row>
    <row r="239" spans="1:26" ht="16.8">
      <c r="A239" s="87" t="s">
        <v>427</v>
      </c>
      <c r="B239" s="88" t="s">
        <v>427</v>
      </c>
      <c r="C239" s="88" t="s">
        <v>427</v>
      </c>
      <c r="D239" s="89" t="s">
        <v>148</v>
      </c>
      <c r="E239" s="88" t="s">
        <v>427</v>
      </c>
      <c r="F239" s="88" t="s">
        <v>427</v>
      </c>
      <c r="G239" s="90" t="s">
        <v>448</v>
      </c>
      <c r="H239" s="88" t="s">
        <v>427</v>
      </c>
      <c r="I239" s="88" t="s">
        <v>427</v>
      </c>
      <c r="J239" s="88" t="s">
        <v>427</v>
      </c>
      <c r="K239" s="88" t="s">
        <v>427</v>
      </c>
      <c r="L239" s="88" t="s">
        <v>427</v>
      </c>
      <c r="M239" s="88" t="s">
        <v>427</v>
      </c>
      <c r="N239" s="88" t="s">
        <v>427</v>
      </c>
      <c r="O239" s="88" t="s">
        <v>427</v>
      </c>
      <c r="P239" s="88" t="s">
        <v>155</v>
      </c>
      <c r="Q239" s="88" t="s">
        <v>427</v>
      </c>
      <c r="R239" s="88" t="s">
        <v>427</v>
      </c>
      <c r="S239" s="88" t="s">
        <v>427</v>
      </c>
      <c r="T239" s="88" t="s">
        <v>427</v>
      </c>
      <c r="U239" s="88" t="s">
        <v>427</v>
      </c>
      <c r="V239" s="88" t="s">
        <v>427</v>
      </c>
      <c r="W239" s="88" t="s">
        <v>427</v>
      </c>
      <c r="X239" s="88" t="s">
        <v>427</v>
      </c>
      <c r="Y239" s="88" t="s">
        <v>427</v>
      </c>
      <c r="Z239" s="88" t="s">
        <v>427</v>
      </c>
    </row>
    <row r="240" spans="1:26" ht="16.8">
      <c r="A240" s="87" t="s">
        <v>427</v>
      </c>
      <c r="B240" s="88" t="s">
        <v>427</v>
      </c>
      <c r="C240" s="88" t="s">
        <v>427</v>
      </c>
      <c r="D240" s="89" t="s">
        <v>148</v>
      </c>
      <c r="E240" s="88" t="s">
        <v>427</v>
      </c>
      <c r="F240" s="88" t="s">
        <v>427</v>
      </c>
      <c r="G240" s="90" t="s">
        <v>449</v>
      </c>
      <c r="H240" s="88" t="s">
        <v>427</v>
      </c>
      <c r="I240" s="88" t="s">
        <v>427</v>
      </c>
      <c r="J240" s="88" t="s">
        <v>427</v>
      </c>
      <c r="K240" s="88" t="s">
        <v>427</v>
      </c>
      <c r="L240" s="88" t="s">
        <v>427</v>
      </c>
      <c r="M240" s="88" t="s">
        <v>427</v>
      </c>
      <c r="N240" s="88" t="s">
        <v>427</v>
      </c>
      <c r="O240" s="88" t="s">
        <v>427</v>
      </c>
      <c r="P240" s="88" t="s">
        <v>155</v>
      </c>
      <c r="Q240" s="88" t="s">
        <v>427</v>
      </c>
      <c r="R240" s="88" t="s">
        <v>427</v>
      </c>
      <c r="S240" s="88" t="s">
        <v>427</v>
      </c>
      <c r="T240" s="88" t="s">
        <v>427</v>
      </c>
      <c r="U240" s="88" t="s">
        <v>427</v>
      </c>
      <c r="V240" s="88" t="s">
        <v>427</v>
      </c>
      <c r="W240" s="88" t="s">
        <v>427</v>
      </c>
      <c r="X240" s="88" t="s">
        <v>427</v>
      </c>
      <c r="Y240" s="88" t="s">
        <v>427</v>
      </c>
      <c r="Z240" s="88" t="s">
        <v>427</v>
      </c>
    </row>
    <row r="241" spans="1:26" ht="16.8">
      <c r="A241" s="87" t="s">
        <v>427</v>
      </c>
      <c r="B241" s="88" t="s">
        <v>427</v>
      </c>
      <c r="C241" s="88" t="s">
        <v>427</v>
      </c>
      <c r="D241" s="89" t="s">
        <v>148</v>
      </c>
      <c r="E241" s="88" t="s">
        <v>427</v>
      </c>
      <c r="F241" s="88" t="s">
        <v>427</v>
      </c>
      <c r="G241" s="90" t="s">
        <v>450</v>
      </c>
      <c r="H241" s="88" t="s">
        <v>427</v>
      </c>
      <c r="I241" s="88" t="s">
        <v>427</v>
      </c>
      <c r="J241" s="88" t="s">
        <v>427</v>
      </c>
      <c r="K241" s="88" t="s">
        <v>427</v>
      </c>
      <c r="L241" s="88" t="s">
        <v>427</v>
      </c>
      <c r="M241" s="88" t="s">
        <v>427</v>
      </c>
      <c r="N241" s="88" t="s">
        <v>427</v>
      </c>
      <c r="O241" s="88" t="s">
        <v>427</v>
      </c>
      <c r="P241" s="88" t="s">
        <v>155</v>
      </c>
      <c r="Q241" s="88" t="s">
        <v>427</v>
      </c>
      <c r="R241" s="88" t="s">
        <v>427</v>
      </c>
      <c r="S241" s="88" t="s">
        <v>427</v>
      </c>
      <c r="T241" s="88" t="s">
        <v>427</v>
      </c>
      <c r="U241" s="88" t="s">
        <v>427</v>
      </c>
      <c r="V241" s="88" t="s">
        <v>427</v>
      </c>
      <c r="W241" s="88" t="s">
        <v>427</v>
      </c>
      <c r="X241" s="88" t="s">
        <v>427</v>
      </c>
      <c r="Y241" s="88" t="s">
        <v>427</v>
      </c>
      <c r="Z241" s="88" t="s">
        <v>427</v>
      </c>
    </row>
    <row r="242" spans="1:26" ht="16.8">
      <c r="A242" s="87" t="s">
        <v>427</v>
      </c>
      <c r="B242" s="88" t="s">
        <v>427</v>
      </c>
      <c r="C242" s="88" t="s">
        <v>427</v>
      </c>
      <c r="D242" s="89" t="s">
        <v>148</v>
      </c>
      <c r="E242" s="88" t="s">
        <v>427</v>
      </c>
      <c r="F242" s="88" t="s">
        <v>427</v>
      </c>
      <c r="G242" s="90" t="s">
        <v>451</v>
      </c>
      <c r="H242" s="88" t="s">
        <v>427</v>
      </c>
      <c r="I242" s="88" t="s">
        <v>427</v>
      </c>
      <c r="J242" s="88" t="s">
        <v>427</v>
      </c>
      <c r="K242" s="88" t="s">
        <v>427</v>
      </c>
      <c r="L242" s="88" t="s">
        <v>427</v>
      </c>
      <c r="M242" s="88" t="s">
        <v>427</v>
      </c>
      <c r="N242" s="88" t="s">
        <v>427</v>
      </c>
      <c r="O242" s="88" t="s">
        <v>427</v>
      </c>
      <c r="P242" s="88" t="s">
        <v>204</v>
      </c>
      <c r="Q242" s="88" t="s">
        <v>427</v>
      </c>
      <c r="R242" s="88" t="s">
        <v>427</v>
      </c>
      <c r="S242" s="88" t="s">
        <v>427</v>
      </c>
      <c r="T242" s="88" t="s">
        <v>427</v>
      </c>
      <c r="U242" s="88" t="s">
        <v>427</v>
      </c>
      <c r="V242" s="88" t="s">
        <v>427</v>
      </c>
      <c r="W242" s="88" t="s">
        <v>427</v>
      </c>
      <c r="X242" s="88" t="s">
        <v>427</v>
      </c>
      <c r="Y242" s="88" t="s">
        <v>427</v>
      </c>
      <c r="Z242" s="88" t="s">
        <v>427</v>
      </c>
    </row>
    <row r="243" spans="1:26" ht="16.8">
      <c r="A243" s="87" t="s">
        <v>427</v>
      </c>
      <c r="B243" s="88" t="s">
        <v>427</v>
      </c>
      <c r="C243" s="88" t="s">
        <v>427</v>
      </c>
      <c r="D243" s="89" t="s">
        <v>148</v>
      </c>
      <c r="E243" s="88" t="s">
        <v>427</v>
      </c>
      <c r="F243" s="88" t="s">
        <v>427</v>
      </c>
      <c r="G243" s="90" t="s">
        <v>452</v>
      </c>
      <c r="H243" s="88" t="s">
        <v>427</v>
      </c>
      <c r="I243" s="88" t="s">
        <v>427</v>
      </c>
      <c r="J243" s="88" t="s">
        <v>427</v>
      </c>
      <c r="K243" s="88" t="s">
        <v>427</v>
      </c>
      <c r="L243" s="88" t="s">
        <v>427</v>
      </c>
      <c r="M243" s="88" t="s">
        <v>427</v>
      </c>
      <c r="N243" s="88" t="s">
        <v>427</v>
      </c>
      <c r="O243" s="88" t="s">
        <v>427</v>
      </c>
      <c r="P243" s="88" t="s">
        <v>204</v>
      </c>
      <c r="Q243" s="88" t="s">
        <v>427</v>
      </c>
      <c r="R243" s="88" t="s">
        <v>427</v>
      </c>
      <c r="S243" s="88" t="s">
        <v>427</v>
      </c>
      <c r="T243" s="88" t="s">
        <v>427</v>
      </c>
      <c r="U243" s="88" t="s">
        <v>427</v>
      </c>
      <c r="V243" s="88" t="s">
        <v>427</v>
      </c>
      <c r="W243" s="88" t="s">
        <v>427</v>
      </c>
      <c r="X243" s="88" t="s">
        <v>427</v>
      </c>
      <c r="Y243" s="88" t="s">
        <v>427</v>
      </c>
      <c r="Z243" s="88" t="s">
        <v>427</v>
      </c>
    </row>
    <row r="244" spans="1:26" ht="16.8">
      <c r="A244" s="87" t="s">
        <v>427</v>
      </c>
      <c r="B244" s="88" t="s">
        <v>427</v>
      </c>
      <c r="C244" s="88" t="s">
        <v>427</v>
      </c>
      <c r="D244" s="89" t="s">
        <v>148</v>
      </c>
      <c r="E244" s="88" t="s">
        <v>427</v>
      </c>
      <c r="F244" s="88" t="s">
        <v>427</v>
      </c>
      <c r="G244" s="90" t="s">
        <v>453</v>
      </c>
      <c r="H244" s="88" t="s">
        <v>427</v>
      </c>
      <c r="I244" s="88" t="s">
        <v>427</v>
      </c>
      <c r="J244" s="88" t="s">
        <v>427</v>
      </c>
      <c r="K244" s="88" t="s">
        <v>427</v>
      </c>
      <c r="L244" s="88" t="s">
        <v>427</v>
      </c>
      <c r="M244" s="88" t="s">
        <v>427</v>
      </c>
      <c r="N244" s="88" t="s">
        <v>427</v>
      </c>
      <c r="O244" s="88" t="s">
        <v>427</v>
      </c>
      <c r="P244" s="88" t="s">
        <v>204</v>
      </c>
      <c r="Q244" s="88" t="s">
        <v>427</v>
      </c>
      <c r="R244" s="88" t="s">
        <v>427</v>
      </c>
      <c r="S244" s="88" t="s">
        <v>427</v>
      </c>
      <c r="T244" s="88" t="s">
        <v>427</v>
      </c>
      <c r="U244" s="88" t="s">
        <v>427</v>
      </c>
      <c r="V244" s="88" t="s">
        <v>427</v>
      </c>
      <c r="W244" s="88" t="s">
        <v>427</v>
      </c>
      <c r="X244" s="88" t="s">
        <v>427</v>
      </c>
      <c r="Y244" s="88" t="s">
        <v>427</v>
      </c>
      <c r="Z244" s="88" t="s">
        <v>427</v>
      </c>
    </row>
    <row r="245" spans="1:26" ht="16.8">
      <c r="A245" s="87" t="s">
        <v>427</v>
      </c>
      <c r="B245" s="88" t="s">
        <v>427</v>
      </c>
      <c r="C245" s="88" t="s">
        <v>427</v>
      </c>
      <c r="D245" s="89" t="s">
        <v>148</v>
      </c>
      <c r="E245" s="88" t="s">
        <v>427</v>
      </c>
      <c r="F245" s="88" t="s">
        <v>427</v>
      </c>
      <c r="G245" s="90" t="s">
        <v>454</v>
      </c>
      <c r="H245" s="88" t="s">
        <v>427</v>
      </c>
      <c r="I245" s="88" t="s">
        <v>427</v>
      </c>
      <c r="J245" s="88" t="s">
        <v>427</v>
      </c>
      <c r="K245" s="88" t="s">
        <v>427</v>
      </c>
      <c r="L245" s="88" t="s">
        <v>427</v>
      </c>
      <c r="M245" s="88" t="s">
        <v>427</v>
      </c>
      <c r="N245" s="88" t="s">
        <v>427</v>
      </c>
      <c r="O245" s="88" t="s">
        <v>427</v>
      </c>
      <c r="P245" s="88" t="s">
        <v>204</v>
      </c>
      <c r="Q245" s="88" t="s">
        <v>427</v>
      </c>
      <c r="R245" s="88" t="s">
        <v>427</v>
      </c>
      <c r="S245" s="88" t="s">
        <v>427</v>
      </c>
      <c r="T245" s="88" t="s">
        <v>427</v>
      </c>
      <c r="U245" s="88" t="s">
        <v>427</v>
      </c>
      <c r="V245" s="88" t="s">
        <v>427</v>
      </c>
      <c r="W245" s="88" t="s">
        <v>427</v>
      </c>
      <c r="X245" s="88" t="s">
        <v>427</v>
      </c>
      <c r="Y245" s="88" t="s">
        <v>427</v>
      </c>
      <c r="Z245" s="88" t="s">
        <v>427</v>
      </c>
    </row>
    <row r="246" spans="1:26" ht="16.8">
      <c r="A246" s="87" t="s">
        <v>427</v>
      </c>
      <c r="B246" s="88" t="s">
        <v>427</v>
      </c>
      <c r="C246" s="88" t="s">
        <v>427</v>
      </c>
      <c r="D246" s="89" t="s">
        <v>148</v>
      </c>
      <c r="E246" s="88" t="s">
        <v>427</v>
      </c>
      <c r="F246" s="88" t="s">
        <v>427</v>
      </c>
      <c r="G246" s="90" t="s">
        <v>455</v>
      </c>
      <c r="H246" s="88" t="s">
        <v>427</v>
      </c>
      <c r="I246" s="88" t="s">
        <v>427</v>
      </c>
      <c r="J246" s="88" t="s">
        <v>427</v>
      </c>
      <c r="K246" s="88" t="s">
        <v>427</v>
      </c>
      <c r="L246" s="88" t="s">
        <v>427</v>
      </c>
      <c r="M246" s="88" t="s">
        <v>427</v>
      </c>
      <c r="N246" s="88" t="s">
        <v>427</v>
      </c>
      <c r="O246" s="88" t="s">
        <v>427</v>
      </c>
      <c r="P246" s="88" t="s">
        <v>204</v>
      </c>
      <c r="Q246" s="88" t="s">
        <v>427</v>
      </c>
      <c r="R246" s="88" t="s">
        <v>427</v>
      </c>
      <c r="S246" s="88" t="s">
        <v>427</v>
      </c>
      <c r="T246" s="88" t="s">
        <v>427</v>
      </c>
      <c r="U246" s="88" t="s">
        <v>427</v>
      </c>
      <c r="V246" s="88" t="s">
        <v>427</v>
      </c>
      <c r="W246" s="88" t="s">
        <v>427</v>
      </c>
      <c r="X246" s="88" t="s">
        <v>427</v>
      </c>
      <c r="Y246" s="88" t="s">
        <v>427</v>
      </c>
      <c r="Z246" s="88" t="s">
        <v>427</v>
      </c>
    </row>
    <row r="247" spans="1:26" ht="16.8">
      <c r="A247" s="87" t="s">
        <v>427</v>
      </c>
      <c r="B247" s="88" t="s">
        <v>427</v>
      </c>
      <c r="C247" s="88" t="s">
        <v>427</v>
      </c>
      <c r="D247" s="89" t="s">
        <v>148</v>
      </c>
      <c r="E247" s="88" t="s">
        <v>427</v>
      </c>
      <c r="F247" s="88" t="s">
        <v>427</v>
      </c>
      <c r="G247" s="90" t="s">
        <v>456</v>
      </c>
      <c r="H247" s="88" t="s">
        <v>427</v>
      </c>
      <c r="I247" s="88" t="s">
        <v>427</v>
      </c>
      <c r="J247" s="88" t="s">
        <v>427</v>
      </c>
      <c r="K247" s="88" t="s">
        <v>427</v>
      </c>
      <c r="L247" s="88" t="s">
        <v>427</v>
      </c>
      <c r="M247" s="88" t="s">
        <v>427</v>
      </c>
      <c r="N247" s="88" t="s">
        <v>427</v>
      </c>
      <c r="O247" s="88" t="s">
        <v>427</v>
      </c>
      <c r="P247" s="88" t="s">
        <v>204</v>
      </c>
      <c r="Q247" s="88" t="s">
        <v>427</v>
      </c>
      <c r="R247" s="88" t="s">
        <v>427</v>
      </c>
      <c r="S247" s="88" t="s">
        <v>427</v>
      </c>
      <c r="T247" s="88" t="s">
        <v>427</v>
      </c>
      <c r="U247" s="88" t="s">
        <v>427</v>
      </c>
      <c r="V247" s="88" t="s">
        <v>427</v>
      </c>
      <c r="W247" s="88" t="s">
        <v>427</v>
      </c>
      <c r="X247" s="88" t="s">
        <v>427</v>
      </c>
      <c r="Y247" s="88" t="s">
        <v>427</v>
      </c>
      <c r="Z247" s="88" t="s">
        <v>427</v>
      </c>
    </row>
    <row r="248" spans="1:26" ht="16.8">
      <c r="A248" s="87" t="s">
        <v>427</v>
      </c>
      <c r="B248" s="88" t="s">
        <v>427</v>
      </c>
      <c r="C248" s="88" t="s">
        <v>427</v>
      </c>
      <c r="D248" s="89" t="s">
        <v>148</v>
      </c>
      <c r="E248" s="88" t="s">
        <v>427</v>
      </c>
      <c r="F248" s="88" t="s">
        <v>427</v>
      </c>
      <c r="G248" s="90" t="s">
        <v>457</v>
      </c>
      <c r="H248" s="88" t="s">
        <v>427</v>
      </c>
      <c r="I248" s="88" t="s">
        <v>427</v>
      </c>
      <c r="J248" s="88" t="s">
        <v>427</v>
      </c>
      <c r="K248" s="88" t="s">
        <v>427</v>
      </c>
      <c r="L248" s="88" t="s">
        <v>427</v>
      </c>
      <c r="M248" s="88" t="s">
        <v>427</v>
      </c>
      <c r="N248" s="88" t="s">
        <v>427</v>
      </c>
      <c r="O248" s="88" t="s">
        <v>427</v>
      </c>
      <c r="P248" s="88" t="s">
        <v>204</v>
      </c>
      <c r="Q248" s="88" t="s">
        <v>427</v>
      </c>
      <c r="R248" s="88" t="s">
        <v>427</v>
      </c>
      <c r="S248" s="88" t="s">
        <v>427</v>
      </c>
      <c r="T248" s="88" t="s">
        <v>427</v>
      </c>
      <c r="U248" s="88" t="s">
        <v>427</v>
      </c>
      <c r="V248" s="88" t="s">
        <v>427</v>
      </c>
      <c r="W248" s="88" t="s">
        <v>427</v>
      </c>
      <c r="X248" s="88" t="s">
        <v>427</v>
      </c>
      <c r="Y248" s="88" t="s">
        <v>427</v>
      </c>
      <c r="Z248" s="88" t="s">
        <v>427</v>
      </c>
    </row>
    <row r="249" spans="1:26" ht="16.8">
      <c r="A249" s="87" t="s">
        <v>427</v>
      </c>
      <c r="B249" s="88" t="s">
        <v>427</v>
      </c>
      <c r="C249" s="88" t="s">
        <v>427</v>
      </c>
      <c r="D249" s="89" t="s">
        <v>148</v>
      </c>
      <c r="E249" s="88" t="s">
        <v>427</v>
      </c>
      <c r="F249" s="88" t="s">
        <v>427</v>
      </c>
      <c r="G249" s="90" t="s">
        <v>458</v>
      </c>
      <c r="H249" s="88" t="s">
        <v>427</v>
      </c>
      <c r="I249" s="88" t="s">
        <v>427</v>
      </c>
      <c r="J249" s="88" t="s">
        <v>427</v>
      </c>
      <c r="K249" s="88" t="s">
        <v>427</v>
      </c>
      <c r="L249" s="88" t="s">
        <v>427</v>
      </c>
      <c r="M249" s="88" t="s">
        <v>427</v>
      </c>
      <c r="N249" s="88" t="s">
        <v>427</v>
      </c>
      <c r="O249" s="88" t="s">
        <v>427</v>
      </c>
      <c r="P249" s="88" t="s">
        <v>204</v>
      </c>
      <c r="Q249" s="88" t="s">
        <v>427</v>
      </c>
      <c r="R249" s="88" t="s">
        <v>427</v>
      </c>
      <c r="S249" s="88" t="s">
        <v>427</v>
      </c>
      <c r="T249" s="88" t="s">
        <v>427</v>
      </c>
      <c r="U249" s="88" t="s">
        <v>427</v>
      </c>
      <c r="V249" s="88" t="s">
        <v>427</v>
      </c>
      <c r="W249" s="88" t="s">
        <v>427</v>
      </c>
      <c r="X249" s="88" t="s">
        <v>427</v>
      </c>
      <c r="Y249" s="88" t="s">
        <v>427</v>
      </c>
      <c r="Z249" s="88" t="s">
        <v>427</v>
      </c>
    </row>
    <row r="250" spans="1:26" ht="16.8">
      <c r="A250" s="87" t="s">
        <v>427</v>
      </c>
      <c r="B250" s="88" t="s">
        <v>427</v>
      </c>
      <c r="C250" s="88" t="s">
        <v>427</v>
      </c>
      <c r="D250" s="89" t="s">
        <v>148</v>
      </c>
      <c r="E250" s="88" t="s">
        <v>427</v>
      </c>
      <c r="F250" s="88" t="s">
        <v>427</v>
      </c>
      <c r="G250" s="90" t="s">
        <v>459</v>
      </c>
      <c r="H250" s="88" t="s">
        <v>427</v>
      </c>
      <c r="I250" s="88" t="s">
        <v>427</v>
      </c>
      <c r="J250" s="88" t="s">
        <v>427</v>
      </c>
      <c r="K250" s="88" t="s">
        <v>427</v>
      </c>
      <c r="L250" s="88" t="s">
        <v>427</v>
      </c>
      <c r="M250" s="88" t="s">
        <v>427</v>
      </c>
      <c r="N250" s="88" t="s">
        <v>427</v>
      </c>
      <c r="O250" s="88" t="s">
        <v>427</v>
      </c>
      <c r="P250" s="88" t="s">
        <v>204</v>
      </c>
      <c r="Q250" s="88" t="s">
        <v>427</v>
      </c>
      <c r="R250" s="88" t="s">
        <v>427</v>
      </c>
      <c r="S250" s="88" t="s">
        <v>427</v>
      </c>
      <c r="T250" s="88" t="s">
        <v>427</v>
      </c>
      <c r="U250" s="88" t="s">
        <v>427</v>
      </c>
      <c r="V250" s="88" t="s">
        <v>427</v>
      </c>
      <c r="W250" s="88" t="s">
        <v>427</v>
      </c>
      <c r="X250" s="88" t="s">
        <v>427</v>
      </c>
      <c r="Y250" s="88" t="s">
        <v>427</v>
      </c>
      <c r="Z250" s="88" t="s">
        <v>427</v>
      </c>
    </row>
    <row r="251" spans="1:26" ht="16.8">
      <c r="A251" s="87" t="s">
        <v>427</v>
      </c>
      <c r="B251" s="88" t="s">
        <v>427</v>
      </c>
      <c r="C251" s="88" t="s">
        <v>427</v>
      </c>
      <c r="D251" s="89" t="s">
        <v>148</v>
      </c>
      <c r="E251" s="88" t="s">
        <v>427</v>
      </c>
      <c r="F251" s="88" t="s">
        <v>427</v>
      </c>
      <c r="G251" s="90" t="s">
        <v>460</v>
      </c>
      <c r="H251" s="88" t="s">
        <v>427</v>
      </c>
      <c r="I251" s="88" t="s">
        <v>427</v>
      </c>
      <c r="J251" s="88" t="s">
        <v>427</v>
      </c>
      <c r="K251" s="88" t="s">
        <v>427</v>
      </c>
      <c r="L251" s="88" t="s">
        <v>427</v>
      </c>
      <c r="M251" s="88" t="s">
        <v>427</v>
      </c>
      <c r="N251" s="88" t="s">
        <v>427</v>
      </c>
      <c r="O251" s="88" t="s">
        <v>427</v>
      </c>
      <c r="P251" s="88" t="s">
        <v>204</v>
      </c>
      <c r="Q251" s="88" t="s">
        <v>427</v>
      </c>
      <c r="R251" s="88" t="s">
        <v>427</v>
      </c>
      <c r="S251" s="88" t="s">
        <v>427</v>
      </c>
      <c r="T251" s="88" t="s">
        <v>427</v>
      </c>
      <c r="U251" s="88" t="s">
        <v>427</v>
      </c>
      <c r="V251" s="88" t="s">
        <v>427</v>
      </c>
      <c r="W251" s="88" t="s">
        <v>427</v>
      </c>
      <c r="X251" s="88" t="s">
        <v>427</v>
      </c>
      <c r="Y251" s="88" t="s">
        <v>427</v>
      </c>
      <c r="Z251" s="88" t="s">
        <v>427</v>
      </c>
    </row>
    <row r="252" spans="1:26" ht="16.8">
      <c r="A252" s="87" t="s">
        <v>427</v>
      </c>
      <c r="B252" s="88" t="s">
        <v>427</v>
      </c>
      <c r="C252" s="88" t="s">
        <v>427</v>
      </c>
      <c r="D252" s="89" t="s">
        <v>148</v>
      </c>
      <c r="E252" s="88" t="s">
        <v>427</v>
      </c>
      <c r="F252" s="88" t="s">
        <v>427</v>
      </c>
      <c r="G252" s="90" t="s">
        <v>461</v>
      </c>
      <c r="H252" s="88" t="s">
        <v>427</v>
      </c>
      <c r="I252" s="88" t="s">
        <v>427</v>
      </c>
      <c r="J252" s="88" t="s">
        <v>427</v>
      </c>
      <c r="K252" s="88" t="s">
        <v>427</v>
      </c>
      <c r="L252" s="88" t="s">
        <v>427</v>
      </c>
      <c r="M252" s="88" t="s">
        <v>427</v>
      </c>
      <c r="N252" s="88" t="s">
        <v>427</v>
      </c>
      <c r="O252" s="88" t="s">
        <v>427</v>
      </c>
      <c r="P252" s="88" t="s">
        <v>204</v>
      </c>
      <c r="Q252" s="88" t="s">
        <v>427</v>
      </c>
      <c r="R252" s="88" t="s">
        <v>427</v>
      </c>
      <c r="S252" s="88" t="s">
        <v>427</v>
      </c>
      <c r="T252" s="88" t="s">
        <v>427</v>
      </c>
      <c r="U252" s="88" t="s">
        <v>427</v>
      </c>
      <c r="V252" s="88" t="s">
        <v>427</v>
      </c>
      <c r="W252" s="88" t="s">
        <v>427</v>
      </c>
      <c r="X252" s="88" t="s">
        <v>427</v>
      </c>
      <c r="Y252" s="88" t="s">
        <v>427</v>
      </c>
      <c r="Z252" s="88" t="s">
        <v>427</v>
      </c>
    </row>
    <row r="253" spans="1:26" ht="16.8">
      <c r="A253" s="87" t="s">
        <v>427</v>
      </c>
      <c r="B253" s="88" t="s">
        <v>427</v>
      </c>
      <c r="C253" s="88" t="s">
        <v>427</v>
      </c>
      <c r="D253" s="89" t="s">
        <v>148</v>
      </c>
      <c r="E253" s="88" t="s">
        <v>427</v>
      </c>
      <c r="F253" s="88" t="s">
        <v>427</v>
      </c>
      <c r="G253" s="90" t="s">
        <v>462</v>
      </c>
      <c r="H253" s="88" t="s">
        <v>427</v>
      </c>
      <c r="I253" s="88" t="s">
        <v>427</v>
      </c>
      <c r="J253" s="88" t="s">
        <v>427</v>
      </c>
      <c r="K253" s="88" t="s">
        <v>427</v>
      </c>
      <c r="L253" s="88" t="s">
        <v>427</v>
      </c>
      <c r="M253" s="88" t="s">
        <v>427</v>
      </c>
      <c r="N253" s="88" t="s">
        <v>427</v>
      </c>
      <c r="O253" s="88" t="s">
        <v>427</v>
      </c>
      <c r="P253" s="88" t="s">
        <v>204</v>
      </c>
      <c r="Q253" s="88" t="s">
        <v>427</v>
      </c>
      <c r="R253" s="88" t="s">
        <v>427</v>
      </c>
      <c r="S253" s="88" t="s">
        <v>427</v>
      </c>
      <c r="T253" s="88" t="s">
        <v>427</v>
      </c>
      <c r="U253" s="88" t="s">
        <v>427</v>
      </c>
      <c r="V253" s="88" t="s">
        <v>427</v>
      </c>
      <c r="W253" s="88" t="s">
        <v>427</v>
      </c>
      <c r="X253" s="88" t="s">
        <v>427</v>
      </c>
      <c r="Y253" s="88" t="s">
        <v>427</v>
      </c>
      <c r="Z253" s="88" t="s">
        <v>427</v>
      </c>
    </row>
    <row r="254" spans="1:26" ht="16.8">
      <c r="A254" s="87" t="s">
        <v>427</v>
      </c>
      <c r="B254" s="88" t="s">
        <v>427</v>
      </c>
      <c r="C254" s="88" t="s">
        <v>427</v>
      </c>
      <c r="D254" s="89" t="s">
        <v>148</v>
      </c>
      <c r="E254" s="88" t="s">
        <v>427</v>
      </c>
      <c r="F254" s="88" t="s">
        <v>427</v>
      </c>
      <c r="G254" s="90" t="s">
        <v>463</v>
      </c>
      <c r="H254" s="88" t="s">
        <v>427</v>
      </c>
      <c r="I254" s="88" t="s">
        <v>427</v>
      </c>
      <c r="J254" s="88" t="s">
        <v>427</v>
      </c>
      <c r="K254" s="88" t="s">
        <v>427</v>
      </c>
      <c r="L254" s="88" t="s">
        <v>427</v>
      </c>
      <c r="M254" s="88" t="s">
        <v>427</v>
      </c>
      <c r="N254" s="88" t="s">
        <v>427</v>
      </c>
      <c r="O254" s="88" t="s">
        <v>427</v>
      </c>
      <c r="P254" s="88" t="s">
        <v>204</v>
      </c>
      <c r="Q254" s="88" t="s">
        <v>427</v>
      </c>
      <c r="R254" s="88" t="s">
        <v>427</v>
      </c>
      <c r="S254" s="88" t="s">
        <v>427</v>
      </c>
      <c r="T254" s="88" t="s">
        <v>427</v>
      </c>
      <c r="U254" s="88" t="s">
        <v>427</v>
      </c>
      <c r="V254" s="88" t="s">
        <v>427</v>
      </c>
      <c r="W254" s="88" t="s">
        <v>427</v>
      </c>
      <c r="X254" s="88" t="s">
        <v>427</v>
      </c>
      <c r="Y254" s="88" t="s">
        <v>427</v>
      </c>
      <c r="Z254" s="88" t="s">
        <v>427</v>
      </c>
    </row>
    <row r="255" spans="1:26" ht="16.8">
      <c r="A255" s="87" t="s">
        <v>427</v>
      </c>
      <c r="B255" s="88" t="s">
        <v>427</v>
      </c>
      <c r="C255" s="88" t="s">
        <v>427</v>
      </c>
      <c r="D255" s="89" t="s">
        <v>148</v>
      </c>
      <c r="E255" s="88" t="s">
        <v>427</v>
      </c>
      <c r="F255" s="88" t="s">
        <v>427</v>
      </c>
      <c r="G255" s="90" t="s">
        <v>464</v>
      </c>
      <c r="H255" s="88" t="s">
        <v>427</v>
      </c>
      <c r="I255" s="88" t="s">
        <v>427</v>
      </c>
      <c r="J255" s="88" t="s">
        <v>427</v>
      </c>
      <c r="K255" s="88" t="s">
        <v>427</v>
      </c>
      <c r="L255" s="88" t="s">
        <v>427</v>
      </c>
      <c r="M255" s="88" t="s">
        <v>427</v>
      </c>
      <c r="N255" s="88" t="s">
        <v>427</v>
      </c>
      <c r="O255" s="88" t="s">
        <v>427</v>
      </c>
      <c r="P255" s="88" t="s">
        <v>204</v>
      </c>
      <c r="Q255" s="88" t="s">
        <v>427</v>
      </c>
      <c r="R255" s="88" t="s">
        <v>427</v>
      </c>
      <c r="S255" s="88" t="s">
        <v>427</v>
      </c>
      <c r="T255" s="88" t="s">
        <v>427</v>
      </c>
      <c r="U255" s="88" t="s">
        <v>427</v>
      </c>
      <c r="V255" s="88" t="s">
        <v>427</v>
      </c>
      <c r="W255" s="88" t="s">
        <v>427</v>
      </c>
      <c r="X255" s="88" t="s">
        <v>427</v>
      </c>
      <c r="Y255" s="88" t="s">
        <v>427</v>
      </c>
      <c r="Z255" s="88" t="s">
        <v>427</v>
      </c>
    </row>
    <row r="256" spans="1:26" ht="16.8">
      <c r="A256" s="87" t="s">
        <v>427</v>
      </c>
      <c r="B256" s="88" t="s">
        <v>427</v>
      </c>
      <c r="C256" s="88" t="s">
        <v>427</v>
      </c>
      <c r="D256" s="89" t="s">
        <v>148</v>
      </c>
      <c r="E256" s="88" t="s">
        <v>427</v>
      </c>
      <c r="F256" s="88" t="s">
        <v>427</v>
      </c>
      <c r="G256" s="90" t="s">
        <v>465</v>
      </c>
      <c r="H256" s="88" t="s">
        <v>427</v>
      </c>
      <c r="I256" s="88" t="s">
        <v>427</v>
      </c>
      <c r="J256" s="88" t="s">
        <v>427</v>
      </c>
      <c r="K256" s="88" t="s">
        <v>427</v>
      </c>
      <c r="L256" s="88" t="s">
        <v>427</v>
      </c>
      <c r="M256" s="88" t="s">
        <v>427</v>
      </c>
      <c r="N256" s="88" t="s">
        <v>427</v>
      </c>
      <c r="O256" s="88" t="s">
        <v>427</v>
      </c>
      <c r="P256" s="88" t="s">
        <v>204</v>
      </c>
      <c r="Q256" s="88" t="s">
        <v>427</v>
      </c>
      <c r="R256" s="88" t="s">
        <v>427</v>
      </c>
      <c r="S256" s="88" t="s">
        <v>427</v>
      </c>
      <c r="T256" s="88" t="s">
        <v>427</v>
      </c>
      <c r="U256" s="88" t="s">
        <v>427</v>
      </c>
      <c r="V256" s="88" t="s">
        <v>427</v>
      </c>
      <c r="W256" s="88" t="s">
        <v>427</v>
      </c>
      <c r="X256" s="88" t="s">
        <v>427</v>
      </c>
      <c r="Y256" s="88" t="s">
        <v>427</v>
      </c>
      <c r="Z256" s="88" t="s">
        <v>427</v>
      </c>
    </row>
    <row r="257" spans="1:26" ht="16.8">
      <c r="A257" s="87" t="s">
        <v>427</v>
      </c>
      <c r="B257" s="88" t="s">
        <v>427</v>
      </c>
      <c r="C257" s="88" t="s">
        <v>427</v>
      </c>
      <c r="D257" s="89" t="s">
        <v>148</v>
      </c>
      <c r="E257" s="88" t="s">
        <v>427</v>
      </c>
      <c r="F257" s="88" t="s">
        <v>427</v>
      </c>
      <c r="G257" s="90" t="s">
        <v>466</v>
      </c>
      <c r="H257" s="88" t="s">
        <v>427</v>
      </c>
      <c r="I257" s="88" t="s">
        <v>427</v>
      </c>
      <c r="J257" s="88" t="s">
        <v>427</v>
      </c>
      <c r="K257" s="88" t="s">
        <v>427</v>
      </c>
      <c r="L257" s="88" t="s">
        <v>427</v>
      </c>
      <c r="M257" s="88" t="s">
        <v>427</v>
      </c>
      <c r="N257" s="88" t="s">
        <v>427</v>
      </c>
      <c r="O257" s="88" t="s">
        <v>427</v>
      </c>
      <c r="P257" s="88" t="s">
        <v>204</v>
      </c>
      <c r="Q257" s="88" t="s">
        <v>427</v>
      </c>
      <c r="R257" s="88" t="s">
        <v>427</v>
      </c>
      <c r="S257" s="88" t="s">
        <v>427</v>
      </c>
      <c r="T257" s="88" t="s">
        <v>427</v>
      </c>
      <c r="U257" s="88" t="s">
        <v>427</v>
      </c>
      <c r="V257" s="88" t="s">
        <v>427</v>
      </c>
      <c r="W257" s="88" t="s">
        <v>427</v>
      </c>
      <c r="X257" s="88" t="s">
        <v>427</v>
      </c>
      <c r="Y257" s="88" t="s">
        <v>427</v>
      </c>
      <c r="Z257" s="88" t="s">
        <v>427</v>
      </c>
    </row>
    <row r="258" spans="1:26" ht="16.8">
      <c r="A258" s="87" t="s">
        <v>427</v>
      </c>
      <c r="B258" s="88" t="s">
        <v>427</v>
      </c>
      <c r="C258" s="88" t="s">
        <v>427</v>
      </c>
      <c r="D258" s="89" t="s">
        <v>148</v>
      </c>
      <c r="E258" s="88" t="s">
        <v>427</v>
      </c>
      <c r="F258" s="88" t="s">
        <v>427</v>
      </c>
      <c r="G258" s="90" t="s">
        <v>467</v>
      </c>
      <c r="H258" s="88" t="s">
        <v>427</v>
      </c>
      <c r="I258" s="88" t="s">
        <v>427</v>
      </c>
      <c r="J258" s="88" t="s">
        <v>427</v>
      </c>
      <c r="K258" s="88" t="s">
        <v>427</v>
      </c>
      <c r="L258" s="88" t="s">
        <v>427</v>
      </c>
      <c r="M258" s="88" t="s">
        <v>427</v>
      </c>
      <c r="N258" s="88" t="s">
        <v>427</v>
      </c>
      <c r="O258" s="88" t="s">
        <v>427</v>
      </c>
      <c r="P258" s="88" t="s">
        <v>204</v>
      </c>
      <c r="Q258" s="88" t="s">
        <v>427</v>
      </c>
      <c r="R258" s="88" t="s">
        <v>427</v>
      </c>
      <c r="S258" s="88" t="s">
        <v>427</v>
      </c>
      <c r="T258" s="88" t="s">
        <v>427</v>
      </c>
      <c r="U258" s="88" t="s">
        <v>427</v>
      </c>
      <c r="V258" s="88" t="s">
        <v>427</v>
      </c>
      <c r="W258" s="88" t="s">
        <v>427</v>
      </c>
      <c r="X258" s="88" t="s">
        <v>427</v>
      </c>
      <c r="Y258" s="88" t="s">
        <v>427</v>
      </c>
      <c r="Z258" s="88" t="s">
        <v>427</v>
      </c>
    </row>
    <row r="259" spans="1:26" ht="16.8">
      <c r="A259" s="92" t="s">
        <v>427</v>
      </c>
      <c r="B259" s="93" t="s">
        <v>427</v>
      </c>
      <c r="C259" s="93" t="s">
        <v>427</v>
      </c>
      <c r="D259" s="94" t="s">
        <v>148</v>
      </c>
      <c r="E259" s="93" t="s">
        <v>427</v>
      </c>
      <c r="F259" s="93" t="s">
        <v>427</v>
      </c>
      <c r="G259" s="95" t="s">
        <v>468</v>
      </c>
      <c r="H259" s="93" t="s">
        <v>427</v>
      </c>
      <c r="I259" s="93" t="s">
        <v>427</v>
      </c>
      <c r="J259" s="93" t="s">
        <v>427</v>
      </c>
      <c r="K259" s="93" t="s">
        <v>427</v>
      </c>
      <c r="L259" s="93" t="s">
        <v>427</v>
      </c>
      <c r="M259" s="93" t="s">
        <v>427</v>
      </c>
      <c r="N259" s="93" t="s">
        <v>427</v>
      </c>
      <c r="O259" s="93" t="s">
        <v>427</v>
      </c>
      <c r="P259" s="93" t="s">
        <v>204</v>
      </c>
      <c r="Q259" s="93" t="s">
        <v>427</v>
      </c>
      <c r="R259" s="93" t="s">
        <v>427</v>
      </c>
      <c r="S259" s="93" t="s">
        <v>427</v>
      </c>
      <c r="T259" s="93" t="s">
        <v>427</v>
      </c>
      <c r="U259" s="93" t="s">
        <v>427</v>
      </c>
      <c r="V259" s="93" t="s">
        <v>427</v>
      </c>
      <c r="W259" s="93" t="s">
        <v>427</v>
      </c>
      <c r="X259" s="93" t="s">
        <v>427</v>
      </c>
      <c r="Y259" s="93" t="s">
        <v>427</v>
      </c>
      <c r="Z259" s="93" t="s">
        <v>427</v>
      </c>
    </row>
    <row r="260" spans="1:26">
      <c r="A260" s="96"/>
      <c r="B260" s="96"/>
      <c r="C260" s="96"/>
      <c r="D260" s="96" t="s">
        <v>148</v>
      </c>
      <c r="E260" s="96"/>
      <c r="F260" s="96"/>
      <c r="G260" s="96" t="s">
        <v>469</v>
      </c>
      <c r="H260" s="96"/>
      <c r="I260" s="96"/>
      <c r="J260" s="96"/>
      <c r="K260" s="96"/>
      <c r="L260" s="96"/>
      <c r="M260" s="96"/>
      <c r="N260" s="96"/>
      <c r="O260" s="96"/>
      <c r="P260" s="96" t="s">
        <v>189</v>
      </c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>
      <c r="A261" s="96"/>
      <c r="B261" s="96"/>
      <c r="C261" s="96"/>
      <c r="D261" s="96" t="s">
        <v>148</v>
      </c>
      <c r="E261" s="96"/>
      <c r="F261" s="96"/>
      <c r="G261" s="96" t="s">
        <v>470</v>
      </c>
      <c r="H261" s="96"/>
      <c r="I261" s="96"/>
      <c r="J261" s="96"/>
      <c r="K261" s="96"/>
      <c r="L261" s="96"/>
      <c r="M261" s="96"/>
      <c r="N261" s="96"/>
      <c r="O261" s="96"/>
      <c r="P261" s="96" t="s">
        <v>191</v>
      </c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</sheetData>
  <phoneticPr fontId="29" type="noConversion"/>
  <conditionalFormatting sqref="F1">
    <cfRule type="duplicateValues" dxfId="16" priority="3"/>
  </conditionalFormatting>
  <conditionalFormatting sqref="G1">
    <cfRule type="duplicateValues" priority="4"/>
  </conditionalFormatting>
  <conditionalFormatting sqref="Z1">
    <cfRule type="cellIs" dxfId="15" priority="5" operator="equal">
      <formula>"Y"</formula>
    </cfRule>
    <cfRule type="cellIs" dxfId="14" priority="6" operator="equal">
      <formula>"N"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9ED7-A316-4498-9527-8A136E6C679B}">
  <dimension ref="A1:AB59"/>
  <sheetViews>
    <sheetView zoomScale="70" zoomScaleNormal="70" workbookViewId="0">
      <pane ySplit="1" topLeftCell="A35" activePane="bottomLeft" state="frozen"/>
      <selection activeCell="I1" sqref="I1"/>
      <selection pane="bottomLeft" activeCell="G58" sqref="G58"/>
    </sheetView>
  </sheetViews>
  <sheetFormatPr defaultRowHeight="13.8"/>
  <cols>
    <col min="1" max="1" width="3.5546875" bestFit="1" customWidth="1"/>
    <col min="2" max="2" width="12.6640625" bestFit="1" customWidth="1"/>
    <col min="3" max="3" width="4.33203125" bestFit="1" customWidth="1"/>
    <col min="4" max="4" width="9.33203125" bestFit="1" customWidth="1"/>
    <col min="5" max="5" width="11.88671875" bestFit="1" customWidth="1"/>
    <col min="6" max="7" width="29.109375" bestFit="1" customWidth="1"/>
    <col min="8" max="8" width="11" bestFit="1" customWidth="1"/>
    <col min="9" max="9" width="17.44140625" bestFit="1" customWidth="1"/>
    <col min="10" max="10" width="11.44140625" bestFit="1" customWidth="1"/>
    <col min="11" max="11" width="17.88671875" bestFit="1" customWidth="1"/>
    <col min="12" max="12" width="12.6640625" bestFit="1" customWidth="1"/>
    <col min="13" max="13" width="17" bestFit="1" customWidth="1"/>
    <col min="14" max="14" width="10.109375" bestFit="1" customWidth="1"/>
    <col min="15" max="15" width="11" bestFit="1" customWidth="1"/>
    <col min="16" max="16" width="21.5546875" bestFit="1" customWidth="1"/>
    <col min="17" max="17" width="4.44140625" bestFit="1" customWidth="1"/>
    <col min="18" max="18" width="4.6640625" bestFit="1" customWidth="1"/>
    <col min="19" max="20" width="6.5546875" bestFit="1" customWidth="1"/>
    <col min="21" max="21" width="12" bestFit="1" customWidth="1"/>
    <col min="22" max="22" width="4.6640625" bestFit="1" customWidth="1"/>
    <col min="23" max="23" width="13.33203125" bestFit="1" customWidth="1"/>
    <col min="24" max="24" width="9.6640625" bestFit="1" customWidth="1"/>
    <col min="25" max="25" width="8.33203125" bestFit="1" customWidth="1"/>
    <col min="26" max="26" width="12.33203125" bestFit="1" customWidth="1"/>
  </cols>
  <sheetData>
    <row r="1" spans="1:28" s="25" customFormat="1" ht="15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  <c r="M1" s="9" t="s">
        <v>60</v>
      </c>
      <c r="N1" s="9" t="s">
        <v>61</v>
      </c>
      <c r="O1" s="9" t="s">
        <v>62</v>
      </c>
      <c r="P1" s="9" t="s">
        <v>63</v>
      </c>
      <c r="Q1" s="65" t="s">
        <v>64</v>
      </c>
      <c r="R1" s="9" t="s">
        <v>65</v>
      </c>
      <c r="S1" s="9" t="s">
        <v>66</v>
      </c>
      <c r="T1" s="9" t="s">
        <v>67</v>
      </c>
      <c r="U1" s="9" t="s">
        <v>68</v>
      </c>
      <c r="V1" s="9" t="s">
        <v>69</v>
      </c>
      <c r="W1" s="9" t="s">
        <v>70</v>
      </c>
      <c r="X1" s="9" t="s">
        <v>71</v>
      </c>
      <c r="Y1" s="9" t="s">
        <v>72</v>
      </c>
      <c r="Z1" s="9" t="s">
        <v>74</v>
      </c>
      <c r="AA1" s="4"/>
      <c r="AB1" s="4"/>
    </row>
    <row r="2" spans="1:28" s="20" customFormat="1" ht="16.8">
      <c r="A2" s="12"/>
      <c r="B2" s="12"/>
      <c r="C2" s="12"/>
      <c r="D2" s="12"/>
      <c r="E2" s="12"/>
      <c r="F2" s="12"/>
      <c r="G2" s="12" t="s">
        <v>471</v>
      </c>
      <c r="H2" s="12"/>
      <c r="I2" s="12"/>
      <c r="J2" s="12"/>
      <c r="K2" s="12"/>
      <c r="L2" s="12"/>
      <c r="M2" s="12"/>
      <c r="N2" s="12"/>
      <c r="O2" s="12">
        <v>0</v>
      </c>
      <c r="P2" s="12" t="s">
        <v>204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s="20" customFormat="1" ht="16.8">
      <c r="A3" s="12"/>
      <c r="B3" s="12"/>
      <c r="C3" s="12"/>
      <c r="D3" s="12"/>
      <c r="E3" s="12"/>
      <c r="F3" s="12"/>
      <c r="G3" s="12" t="s">
        <v>78</v>
      </c>
      <c r="H3" s="12"/>
      <c r="I3" s="12"/>
      <c r="J3" s="12"/>
      <c r="K3" s="12"/>
      <c r="L3" s="12"/>
      <c r="M3" s="12"/>
      <c r="N3" s="12"/>
      <c r="O3" s="12">
        <v>0</v>
      </c>
      <c r="P3" s="12" t="s">
        <v>204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20" customFormat="1" ht="16.8">
      <c r="A4" s="12"/>
      <c r="B4" s="12"/>
      <c r="C4" s="12"/>
      <c r="D4" s="12"/>
      <c r="E4" s="12"/>
      <c r="F4" s="12"/>
      <c r="G4" s="12" t="s">
        <v>79</v>
      </c>
      <c r="H4" s="12"/>
      <c r="I4" s="12"/>
      <c r="J4" s="12"/>
      <c r="K4" s="12"/>
      <c r="L4" s="12"/>
      <c r="M4" s="12"/>
      <c r="N4" s="12"/>
      <c r="O4" s="12">
        <v>0</v>
      </c>
      <c r="P4" s="12" t="s">
        <v>315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s="20" customFormat="1" ht="16.8">
      <c r="A5" s="12"/>
      <c r="B5" s="12"/>
      <c r="C5" s="12"/>
      <c r="D5" s="12"/>
      <c r="E5" s="12"/>
      <c r="F5" s="12"/>
      <c r="G5" s="12" t="s">
        <v>81</v>
      </c>
      <c r="H5" s="12"/>
      <c r="I5" s="12"/>
      <c r="J5" s="12"/>
      <c r="K5" s="12"/>
      <c r="L5" s="12"/>
      <c r="M5" s="12"/>
      <c r="N5" s="12"/>
      <c r="O5" s="12">
        <v>0</v>
      </c>
      <c r="P5" s="12" t="s">
        <v>315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s="20" customFormat="1" ht="16.8">
      <c r="A6" s="12"/>
      <c r="B6" s="12"/>
      <c r="C6" s="12"/>
      <c r="D6" s="12"/>
      <c r="E6" s="12"/>
      <c r="F6" s="12"/>
      <c r="G6" s="12" t="s">
        <v>82</v>
      </c>
      <c r="H6" s="12"/>
      <c r="I6" s="12"/>
      <c r="J6" s="12"/>
      <c r="K6" s="12"/>
      <c r="L6" s="12"/>
      <c r="M6" s="12"/>
      <c r="N6" s="12"/>
      <c r="O6" s="12">
        <v>0</v>
      </c>
      <c r="P6" s="12" t="s">
        <v>204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s="20" customFormat="1" ht="16.8">
      <c r="A7" s="12"/>
      <c r="B7" s="12"/>
      <c r="C7" s="12"/>
      <c r="D7" s="12"/>
      <c r="E7" s="12"/>
      <c r="F7" s="12"/>
      <c r="G7" s="12" t="s">
        <v>83</v>
      </c>
      <c r="H7" s="12"/>
      <c r="I7" s="12"/>
      <c r="J7" s="12"/>
      <c r="K7" s="12"/>
      <c r="L7" s="12"/>
      <c r="M7" s="12"/>
      <c r="N7" s="12"/>
      <c r="O7" s="12">
        <v>0</v>
      </c>
      <c r="P7" s="12" t="s">
        <v>204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s="20" customFormat="1" ht="16.8">
      <c r="A8" s="12"/>
      <c r="B8" s="12"/>
      <c r="C8" s="12"/>
      <c r="D8" s="12"/>
      <c r="E8" s="12"/>
      <c r="F8" s="12"/>
      <c r="G8" s="12" t="s">
        <v>84</v>
      </c>
      <c r="H8" s="12"/>
      <c r="I8" s="12"/>
      <c r="J8" s="12"/>
      <c r="K8" s="12"/>
      <c r="L8" s="12"/>
      <c r="M8" s="12"/>
      <c r="N8" s="12"/>
      <c r="O8" s="12">
        <v>0</v>
      </c>
      <c r="P8" s="12" t="s">
        <v>204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s="20" customFormat="1" ht="16.8">
      <c r="A9" s="12"/>
      <c r="B9" s="12"/>
      <c r="C9" s="12"/>
      <c r="D9" s="12"/>
      <c r="E9" s="12"/>
      <c r="F9" s="12"/>
      <c r="G9" s="12" t="s">
        <v>86</v>
      </c>
      <c r="H9" s="12"/>
      <c r="I9" s="12"/>
      <c r="J9" s="12"/>
      <c r="K9" s="12"/>
      <c r="L9" s="12"/>
      <c r="M9" s="12"/>
      <c r="N9" s="12"/>
      <c r="O9" s="12">
        <v>0</v>
      </c>
      <c r="P9" s="12" t="s">
        <v>204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s="20" customFormat="1" ht="16.8">
      <c r="A10" s="12"/>
      <c r="B10" s="12"/>
      <c r="C10" s="12"/>
      <c r="D10" s="12"/>
      <c r="E10" s="12"/>
      <c r="F10" s="12"/>
      <c r="G10" s="12" t="s">
        <v>87</v>
      </c>
      <c r="H10" s="12"/>
      <c r="I10" s="12"/>
      <c r="J10" s="12"/>
      <c r="K10" s="12"/>
      <c r="L10" s="12"/>
      <c r="M10" s="12"/>
      <c r="N10" s="12"/>
      <c r="O10" s="12">
        <v>0</v>
      </c>
      <c r="P10" s="12" t="s">
        <v>204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s="20" customFormat="1" ht="16.8">
      <c r="A11" s="12"/>
      <c r="B11" s="12"/>
      <c r="C11" s="12"/>
      <c r="D11" s="12"/>
      <c r="E11" s="12"/>
      <c r="F11" s="12"/>
      <c r="G11" s="12" t="s">
        <v>88</v>
      </c>
      <c r="H11" s="12"/>
      <c r="I11" s="12"/>
      <c r="J11" s="12"/>
      <c r="K11" s="12"/>
      <c r="L11" s="12"/>
      <c r="M11" s="12"/>
      <c r="N11" s="12"/>
      <c r="O11" s="12">
        <v>0</v>
      </c>
      <c r="P11" s="12" t="s">
        <v>204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s="20" customFormat="1" ht="16.8">
      <c r="A12" s="12"/>
      <c r="B12" s="12"/>
      <c r="C12" s="12"/>
      <c r="D12" s="12"/>
      <c r="E12" s="12"/>
      <c r="F12" s="12"/>
      <c r="G12" s="67" t="s">
        <v>89</v>
      </c>
      <c r="H12" s="12"/>
      <c r="I12" s="12"/>
      <c r="J12" s="12"/>
      <c r="K12" s="12"/>
      <c r="L12" s="12"/>
      <c r="M12" s="12"/>
      <c r="N12" s="12"/>
      <c r="O12" s="68">
        <v>0</v>
      </c>
      <c r="P12" s="68" t="s">
        <v>204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s="20" customFormat="1" ht="16.8">
      <c r="A13" s="12"/>
      <c r="B13" s="12"/>
      <c r="C13" s="12"/>
      <c r="D13" s="12"/>
      <c r="E13" s="12"/>
      <c r="F13" s="12"/>
      <c r="G13" s="12" t="s">
        <v>90</v>
      </c>
      <c r="H13" s="12"/>
      <c r="I13" s="12"/>
      <c r="J13" s="12"/>
      <c r="K13" s="12"/>
      <c r="L13" s="12"/>
      <c r="M13" s="12"/>
      <c r="N13" s="12"/>
      <c r="O13" s="12">
        <v>0</v>
      </c>
      <c r="P13" s="12" t="s">
        <v>204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s="20" customFormat="1" ht="16.8">
      <c r="A14" s="12"/>
      <c r="B14" s="12"/>
      <c r="C14" s="12"/>
      <c r="D14" s="12"/>
      <c r="E14" s="12"/>
      <c r="F14" s="12"/>
      <c r="G14" s="67" t="s">
        <v>91</v>
      </c>
      <c r="H14" s="12"/>
      <c r="I14" s="12"/>
      <c r="J14" s="12"/>
      <c r="K14" s="12"/>
      <c r="L14" s="12"/>
      <c r="M14" s="12"/>
      <c r="N14" s="12"/>
      <c r="O14" s="68">
        <v>0</v>
      </c>
      <c r="P14" s="68" t="s">
        <v>204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s="20" customFormat="1" ht="16.8">
      <c r="A15" s="12"/>
      <c r="B15" s="12"/>
      <c r="C15" s="12"/>
      <c r="D15" s="12"/>
      <c r="E15" s="12"/>
      <c r="F15" s="12"/>
      <c r="G15" s="67" t="s">
        <v>92</v>
      </c>
      <c r="H15" s="12"/>
      <c r="I15" s="12"/>
      <c r="J15" s="12"/>
      <c r="K15" s="12"/>
      <c r="L15" s="12"/>
      <c r="M15" s="12"/>
      <c r="N15" s="12"/>
      <c r="O15" s="68">
        <v>0</v>
      </c>
      <c r="P15" s="68" t="s">
        <v>204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s="20" customFormat="1" ht="16.8">
      <c r="A16" s="12"/>
      <c r="B16" s="12"/>
      <c r="C16" s="12"/>
      <c r="D16" s="12"/>
      <c r="E16" s="12"/>
      <c r="F16" s="12"/>
      <c r="G16" s="12" t="s">
        <v>93</v>
      </c>
      <c r="H16" s="12"/>
      <c r="I16" s="12"/>
      <c r="J16" s="12"/>
      <c r="K16" s="12"/>
      <c r="L16" s="12"/>
      <c r="M16" s="12"/>
      <c r="N16" s="12"/>
      <c r="O16" s="12">
        <v>0</v>
      </c>
      <c r="P16" s="12" t="s">
        <v>204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7:16" s="20" customFormat="1" ht="16.8">
      <c r="G17" s="12" t="s">
        <v>94</v>
      </c>
      <c r="H17" s="12"/>
      <c r="I17" s="12"/>
      <c r="J17" s="12"/>
      <c r="K17" s="12"/>
      <c r="L17" s="12"/>
      <c r="M17" s="12"/>
      <c r="N17" s="12"/>
      <c r="O17" s="12">
        <v>0</v>
      </c>
      <c r="P17" s="12" t="s">
        <v>204</v>
      </c>
    </row>
    <row r="18" spans="7:16" s="20" customFormat="1" ht="16.8">
      <c r="G18" s="12" t="s">
        <v>95</v>
      </c>
      <c r="H18" s="12"/>
      <c r="I18" s="12"/>
      <c r="J18" s="12"/>
      <c r="K18" s="12"/>
      <c r="L18" s="12"/>
      <c r="M18" s="12"/>
      <c r="N18" s="12"/>
      <c r="O18" s="12">
        <v>0</v>
      </c>
      <c r="P18" s="12" t="s">
        <v>204</v>
      </c>
    </row>
    <row r="19" spans="7:16" s="20" customFormat="1" ht="16.8">
      <c r="G19" s="12" t="s">
        <v>96</v>
      </c>
      <c r="H19" s="12"/>
      <c r="I19" s="12"/>
      <c r="J19" s="12"/>
      <c r="K19" s="12"/>
      <c r="L19" s="12"/>
      <c r="M19" s="12"/>
      <c r="N19" s="12"/>
      <c r="O19" s="12">
        <v>0</v>
      </c>
      <c r="P19" s="12" t="s">
        <v>204</v>
      </c>
    </row>
    <row r="20" spans="7:16" s="20" customFormat="1" ht="16.8">
      <c r="G20" s="12" t="s">
        <v>97</v>
      </c>
      <c r="H20" s="12"/>
      <c r="I20" s="12"/>
      <c r="J20" s="12"/>
      <c r="K20" s="12"/>
      <c r="L20" s="12"/>
      <c r="M20" s="12"/>
      <c r="N20" s="12"/>
      <c r="O20" s="12">
        <v>0</v>
      </c>
      <c r="P20" s="12" t="s">
        <v>204</v>
      </c>
    </row>
    <row r="21" spans="7:16" s="20" customFormat="1" ht="16.8">
      <c r="G21" s="12" t="s">
        <v>98</v>
      </c>
      <c r="H21" s="12"/>
      <c r="I21" s="12"/>
      <c r="J21" s="12"/>
      <c r="K21" s="12"/>
      <c r="L21" s="12"/>
      <c r="M21" s="12"/>
      <c r="N21" s="12"/>
      <c r="O21" s="12">
        <v>0</v>
      </c>
      <c r="P21" s="12" t="s">
        <v>204</v>
      </c>
    </row>
    <row r="22" spans="7:16" s="20" customFormat="1" ht="16.8">
      <c r="G22" s="12" t="s">
        <v>99</v>
      </c>
      <c r="H22" s="12"/>
      <c r="I22" s="12"/>
      <c r="J22" s="12"/>
      <c r="K22" s="12"/>
      <c r="L22" s="12"/>
      <c r="M22" s="12"/>
      <c r="N22" s="12"/>
      <c r="O22" s="12">
        <v>0</v>
      </c>
      <c r="P22" s="12" t="s">
        <v>204</v>
      </c>
    </row>
    <row r="23" spans="7:16" s="20" customFormat="1" ht="16.8">
      <c r="G23" s="12" t="s">
        <v>100</v>
      </c>
      <c r="H23" s="12"/>
      <c r="I23" s="12"/>
      <c r="J23" s="12"/>
      <c r="K23" s="12"/>
      <c r="L23" s="12"/>
      <c r="M23" s="12"/>
      <c r="N23" s="12"/>
      <c r="O23" s="12">
        <v>0</v>
      </c>
      <c r="P23" s="12" t="s">
        <v>204</v>
      </c>
    </row>
    <row r="24" spans="7:16" s="20" customFormat="1" ht="16.8">
      <c r="G24" s="12" t="s">
        <v>101</v>
      </c>
      <c r="H24" s="12"/>
      <c r="I24" s="12"/>
      <c r="J24" s="12"/>
      <c r="K24" s="12"/>
      <c r="L24" s="12"/>
      <c r="M24" s="12"/>
      <c r="N24" s="12"/>
      <c r="O24" s="12">
        <v>0</v>
      </c>
      <c r="P24" s="12" t="s">
        <v>204</v>
      </c>
    </row>
    <row r="25" spans="7:16" s="20" customFormat="1" ht="16.8">
      <c r="G25" s="12" t="s">
        <v>102</v>
      </c>
      <c r="H25" s="12"/>
      <c r="I25" s="12"/>
      <c r="J25" s="12"/>
      <c r="K25" s="12"/>
      <c r="L25" s="12"/>
      <c r="M25" s="12"/>
      <c r="N25" s="12"/>
      <c r="O25" s="12">
        <v>0</v>
      </c>
      <c r="P25" s="12" t="s">
        <v>204</v>
      </c>
    </row>
    <row r="26" spans="7:16" s="20" customFormat="1" ht="16.8">
      <c r="G26" s="12" t="s">
        <v>103</v>
      </c>
      <c r="H26" s="12"/>
      <c r="I26" s="12"/>
      <c r="J26" s="12"/>
      <c r="K26" s="12"/>
      <c r="L26" s="12"/>
      <c r="M26" s="12"/>
      <c r="N26" s="12"/>
      <c r="O26" s="12">
        <v>0</v>
      </c>
      <c r="P26" s="12" t="s">
        <v>204</v>
      </c>
    </row>
    <row r="27" spans="7:16" s="20" customFormat="1" ht="16.8">
      <c r="G27" s="12" t="s">
        <v>104</v>
      </c>
      <c r="H27" s="12"/>
      <c r="I27" s="12"/>
      <c r="J27" s="12"/>
      <c r="K27" s="12"/>
      <c r="L27" s="12"/>
      <c r="M27" s="12"/>
      <c r="N27" s="12"/>
      <c r="O27" s="12">
        <v>0</v>
      </c>
      <c r="P27" s="12" t="s">
        <v>204</v>
      </c>
    </row>
    <row r="28" spans="7:16" s="20" customFormat="1" ht="16.8">
      <c r="G28" s="12" t="s">
        <v>105</v>
      </c>
      <c r="H28" s="12"/>
      <c r="I28" s="12"/>
      <c r="J28" s="12"/>
      <c r="K28" s="12"/>
      <c r="L28" s="12"/>
      <c r="M28" s="12"/>
      <c r="N28" s="12"/>
      <c r="O28" s="12">
        <v>22</v>
      </c>
      <c r="P28" s="12" t="s">
        <v>472</v>
      </c>
    </row>
    <row r="29" spans="7:16" s="20" customFormat="1" ht="16.8">
      <c r="G29" s="12" t="s">
        <v>106</v>
      </c>
      <c r="H29" s="12"/>
      <c r="I29" s="12"/>
      <c r="J29" s="12"/>
      <c r="K29" s="12"/>
      <c r="L29" s="12"/>
      <c r="M29" s="12"/>
      <c r="N29" s="12"/>
      <c r="O29" s="12">
        <v>22</v>
      </c>
      <c r="P29" s="12" t="s">
        <v>472</v>
      </c>
    </row>
    <row r="30" spans="7:16" s="20" customFormat="1" ht="16.8">
      <c r="G30" s="12" t="s">
        <v>107</v>
      </c>
      <c r="H30" s="12"/>
      <c r="I30" s="12"/>
      <c r="J30" s="12"/>
      <c r="K30" s="12"/>
      <c r="L30" s="12"/>
      <c r="M30" s="12"/>
      <c r="N30" s="12"/>
      <c r="O30" s="12">
        <v>22</v>
      </c>
      <c r="P30" s="12" t="s">
        <v>472</v>
      </c>
    </row>
    <row r="31" spans="7:16" s="20" customFormat="1" ht="16.8">
      <c r="G31" s="12" t="s">
        <v>108</v>
      </c>
      <c r="H31" s="12"/>
      <c r="I31" s="12"/>
      <c r="J31" s="12"/>
      <c r="K31" s="12"/>
      <c r="L31" s="12"/>
      <c r="M31" s="12"/>
      <c r="N31" s="12"/>
      <c r="O31" s="12">
        <v>22</v>
      </c>
      <c r="P31" s="12" t="s">
        <v>472</v>
      </c>
    </row>
    <row r="32" spans="7:16" s="20" customFormat="1" ht="16.8">
      <c r="G32" s="12" t="s">
        <v>109</v>
      </c>
      <c r="H32" s="12"/>
      <c r="I32" s="12"/>
      <c r="J32" s="12"/>
      <c r="K32" s="12"/>
      <c r="L32" s="12"/>
      <c r="M32" s="12"/>
      <c r="N32" s="12"/>
      <c r="O32" s="12">
        <v>22</v>
      </c>
      <c r="P32" s="12" t="s">
        <v>472</v>
      </c>
    </row>
    <row r="33" spans="1:28" s="20" customFormat="1" ht="16.8">
      <c r="A33" s="12"/>
      <c r="B33" s="12"/>
      <c r="C33" s="12"/>
      <c r="D33" s="12"/>
      <c r="E33" s="12"/>
      <c r="F33" s="12"/>
      <c r="G33" s="12" t="s">
        <v>110</v>
      </c>
      <c r="H33" s="12"/>
      <c r="I33" s="12"/>
      <c r="J33" s="12"/>
      <c r="K33" s="12"/>
      <c r="L33" s="12"/>
      <c r="M33" s="12"/>
      <c r="N33" s="12"/>
      <c r="O33" s="12">
        <v>22</v>
      </c>
      <c r="P33" s="12" t="s">
        <v>472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s="20" customFormat="1" ht="16.8">
      <c r="A34" s="12"/>
      <c r="B34" s="12"/>
      <c r="C34" s="12"/>
      <c r="D34" s="12"/>
      <c r="E34" s="12"/>
      <c r="F34" s="12"/>
      <c r="G34" s="12" t="s">
        <v>111</v>
      </c>
      <c r="H34" s="12"/>
      <c r="I34" s="12"/>
      <c r="J34" s="12"/>
      <c r="K34" s="12"/>
      <c r="L34" s="12"/>
      <c r="M34" s="12"/>
      <c r="N34" s="12"/>
      <c r="O34" s="12">
        <v>0</v>
      </c>
      <c r="P34" s="12" t="s">
        <v>204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s="20" customFormat="1" ht="16.8">
      <c r="A35" s="12"/>
      <c r="B35" s="12"/>
      <c r="C35" s="12"/>
      <c r="D35" s="12"/>
      <c r="E35" s="12"/>
      <c r="F35" s="12"/>
      <c r="G35" s="12" t="s">
        <v>113</v>
      </c>
      <c r="H35" s="12"/>
      <c r="I35" s="12"/>
      <c r="J35" s="12"/>
      <c r="K35" s="12"/>
      <c r="L35" s="12"/>
      <c r="M35" s="12"/>
      <c r="N35" s="12"/>
      <c r="O35" s="12">
        <v>0</v>
      </c>
      <c r="P35" s="12" t="s">
        <v>204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s="20" customFormat="1" ht="16.8">
      <c r="A36" s="12"/>
      <c r="B36" s="12"/>
      <c r="C36" s="12"/>
      <c r="D36" s="12"/>
      <c r="E36" s="12"/>
      <c r="F36" s="12"/>
      <c r="G36" s="12" t="s">
        <v>114</v>
      </c>
      <c r="H36" s="12"/>
      <c r="I36" s="12"/>
      <c r="J36" s="12"/>
      <c r="K36" s="12"/>
      <c r="L36" s="12"/>
      <c r="M36" s="12"/>
      <c r="N36" s="12"/>
      <c r="O36" s="12">
        <v>0</v>
      </c>
      <c r="P36" s="12" t="s">
        <v>204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s="20" customFormat="1" ht="16.8">
      <c r="A37" s="12"/>
      <c r="B37" s="12"/>
      <c r="C37" s="12"/>
      <c r="D37" s="12"/>
      <c r="E37" s="12"/>
      <c r="F37" s="12"/>
      <c r="G37" s="12" t="s">
        <v>115</v>
      </c>
      <c r="H37" s="12"/>
      <c r="I37" s="12"/>
      <c r="J37" s="12"/>
      <c r="K37" s="12"/>
      <c r="L37" s="12"/>
      <c r="M37" s="12"/>
      <c r="N37" s="12"/>
      <c r="O37" s="12">
        <v>0</v>
      </c>
      <c r="P37" s="12" t="s">
        <v>204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s="20" customFormat="1" ht="16.8">
      <c r="A38" s="12"/>
      <c r="B38" s="12"/>
      <c r="C38" s="12"/>
      <c r="D38" s="12"/>
      <c r="E38" s="12"/>
      <c r="F38" s="12"/>
      <c r="G38" s="12" t="s">
        <v>117</v>
      </c>
      <c r="H38" s="12"/>
      <c r="I38" s="12"/>
      <c r="J38" s="12"/>
      <c r="K38" s="12"/>
      <c r="L38" s="12"/>
      <c r="M38" s="12"/>
      <c r="N38" s="12"/>
      <c r="O38" s="12">
        <v>0</v>
      </c>
      <c r="P38" s="12" t="s">
        <v>204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s="20" customFormat="1" ht="16.8">
      <c r="A39" s="12"/>
      <c r="B39" s="12"/>
      <c r="C39" s="12"/>
      <c r="D39" s="12"/>
      <c r="E39" s="12"/>
      <c r="F39" s="12"/>
      <c r="G39" s="12" t="s">
        <v>118</v>
      </c>
      <c r="H39" s="12"/>
      <c r="I39" s="12"/>
      <c r="J39" s="12"/>
      <c r="K39" s="12"/>
      <c r="L39" s="12"/>
      <c r="M39" s="12"/>
      <c r="N39" s="12"/>
      <c r="O39" s="12">
        <v>0</v>
      </c>
      <c r="P39" s="12" t="s">
        <v>204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s="20" customFormat="1" ht="16.8">
      <c r="A40" s="12"/>
      <c r="B40" s="12"/>
      <c r="C40" s="12"/>
      <c r="D40" s="12"/>
      <c r="E40" s="12"/>
      <c r="F40" s="12"/>
      <c r="G40" s="19" t="s">
        <v>473</v>
      </c>
      <c r="H40" s="19"/>
      <c r="I40" s="19"/>
      <c r="J40" s="19"/>
      <c r="K40" s="19"/>
      <c r="L40" s="19"/>
      <c r="M40" s="19"/>
      <c r="N40" s="19"/>
      <c r="O40" s="19">
        <v>0</v>
      </c>
      <c r="P40" s="19" t="s">
        <v>204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s="20" customFormat="1" ht="16.8">
      <c r="A41" s="12"/>
      <c r="B41" s="12"/>
      <c r="C41" s="12"/>
      <c r="D41" s="12"/>
      <c r="E41" s="12"/>
      <c r="F41" s="12"/>
      <c r="G41" s="12" t="s">
        <v>474</v>
      </c>
      <c r="H41" s="12"/>
      <c r="I41" s="12"/>
      <c r="J41" s="12"/>
      <c r="K41" s="12"/>
      <c r="L41" s="12"/>
      <c r="M41" s="12"/>
      <c r="N41" s="12"/>
      <c r="O41" s="12">
        <v>0</v>
      </c>
      <c r="P41" s="12" t="s">
        <v>204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s="20" customFormat="1" ht="16.8">
      <c r="A42" s="12"/>
      <c r="B42" s="12"/>
      <c r="C42" s="12"/>
      <c r="D42" s="12"/>
      <c r="E42" s="12"/>
      <c r="F42" s="12"/>
      <c r="G42" s="12" t="s">
        <v>121</v>
      </c>
      <c r="H42" s="12"/>
      <c r="I42" s="12"/>
      <c r="J42" s="12"/>
      <c r="K42" s="12"/>
      <c r="L42" s="12"/>
      <c r="M42" s="12"/>
      <c r="N42" s="12"/>
      <c r="O42" s="12">
        <v>0</v>
      </c>
      <c r="P42" s="12" t="s">
        <v>204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s="20" customFormat="1" ht="16.8">
      <c r="A43" s="12"/>
      <c r="B43" s="12"/>
      <c r="C43" s="12"/>
      <c r="D43" s="12"/>
      <c r="E43" s="12"/>
      <c r="F43" s="12"/>
      <c r="G43" s="66" t="s">
        <v>475</v>
      </c>
      <c r="H43" s="19"/>
      <c r="I43" s="19"/>
      <c r="J43" s="19"/>
      <c r="K43" s="19"/>
      <c r="L43" s="19"/>
      <c r="M43" s="19"/>
      <c r="N43" s="19"/>
      <c r="O43" s="19">
        <v>0</v>
      </c>
      <c r="P43" s="19" t="s">
        <v>204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s="20" customFormat="1" ht="16.8">
      <c r="A44" s="12"/>
      <c r="B44" s="12"/>
      <c r="C44" s="12"/>
      <c r="D44" s="12"/>
      <c r="E44" s="12"/>
      <c r="F44" s="12"/>
      <c r="G44" s="12" t="s">
        <v>123</v>
      </c>
      <c r="H44" s="12"/>
      <c r="I44" s="12"/>
      <c r="J44" s="12"/>
      <c r="K44" s="12"/>
      <c r="L44" s="12"/>
      <c r="M44" s="12"/>
      <c r="N44" s="12"/>
      <c r="O44" s="12">
        <v>0</v>
      </c>
      <c r="P44" s="12" t="s">
        <v>204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s="20" customFormat="1" ht="16.8">
      <c r="A45" s="12"/>
      <c r="B45" s="12"/>
      <c r="C45" s="12"/>
      <c r="D45" s="12"/>
      <c r="E45" s="12"/>
      <c r="F45" s="12"/>
      <c r="G45" s="12" t="s">
        <v>125</v>
      </c>
      <c r="H45" s="12"/>
      <c r="I45" s="12"/>
      <c r="J45" s="12"/>
      <c r="K45" s="12"/>
      <c r="L45" s="12"/>
      <c r="M45" s="12"/>
      <c r="N45" s="12"/>
      <c r="O45" s="12">
        <v>0</v>
      </c>
      <c r="P45" s="12" t="s">
        <v>204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s="20" customFormat="1" ht="16.8">
      <c r="A46" s="12"/>
      <c r="B46" s="12"/>
      <c r="C46" s="12"/>
      <c r="D46" s="12"/>
      <c r="E46" s="12"/>
      <c r="F46" s="12"/>
      <c r="G46" s="12" t="s">
        <v>127</v>
      </c>
      <c r="H46" s="12"/>
      <c r="I46" s="12"/>
      <c r="J46" s="12"/>
      <c r="K46" s="12"/>
      <c r="L46" s="12"/>
      <c r="M46" s="12"/>
      <c r="N46" s="12"/>
      <c r="O46" s="12">
        <v>0</v>
      </c>
      <c r="P46" s="12" t="s">
        <v>204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s="20" customFormat="1" ht="16.8">
      <c r="A47" s="12"/>
      <c r="B47" s="12"/>
      <c r="C47" s="12"/>
      <c r="D47" s="12"/>
      <c r="E47" s="12"/>
      <c r="F47" s="12"/>
      <c r="G47" s="12" t="s">
        <v>128</v>
      </c>
      <c r="H47" s="12"/>
      <c r="I47" s="12"/>
      <c r="J47" s="12"/>
      <c r="K47" s="12"/>
      <c r="L47" s="12"/>
      <c r="M47" s="12"/>
      <c r="N47" s="12"/>
      <c r="O47" s="12">
        <v>0</v>
      </c>
      <c r="P47" s="12" t="s">
        <v>204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s="20" customFormat="1" ht="16.8">
      <c r="A48" s="12"/>
      <c r="B48" s="12"/>
      <c r="C48" s="12"/>
      <c r="D48" s="12"/>
      <c r="E48" s="12"/>
      <c r="F48" s="12"/>
      <c r="G48" s="12" t="s">
        <v>129</v>
      </c>
      <c r="H48" s="12"/>
      <c r="I48" s="12"/>
      <c r="J48" s="12"/>
      <c r="K48" s="12"/>
      <c r="L48" s="12"/>
      <c r="M48" s="12"/>
      <c r="N48" s="12"/>
      <c r="O48" s="12">
        <v>0</v>
      </c>
      <c r="P48" s="12" t="s">
        <v>204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s="20" customFormat="1" ht="16.8">
      <c r="A49" s="12"/>
      <c r="B49" s="12"/>
      <c r="C49" s="12"/>
      <c r="D49" s="12"/>
      <c r="E49" s="12"/>
      <c r="F49" s="12"/>
      <c r="G49" s="12" t="s">
        <v>131</v>
      </c>
      <c r="H49" s="12"/>
      <c r="I49" s="12"/>
      <c r="J49" s="12"/>
      <c r="K49" s="12"/>
      <c r="L49" s="12"/>
      <c r="M49" s="12"/>
      <c r="N49" s="12"/>
      <c r="O49" s="12">
        <v>0</v>
      </c>
      <c r="P49" s="12" t="s">
        <v>204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s="20" customFormat="1" ht="16.8">
      <c r="A50" s="12"/>
      <c r="B50" s="12"/>
      <c r="C50" s="12"/>
      <c r="D50" s="12"/>
      <c r="E50" s="12"/>
      <c r="F50" s="12"/>
      <c r="G50" s="12" t="s">
        <v>132</v>
      </c>
      <c r="H50" s="12"/>
      <c r="I50" s="12"/>
      <c r="J50" s="12"/>
      <c r="K50" s="12"/>
      <c r="L50" s="12"/>
      <c r="M50" s="12"/>
      <c r="N50" s="12"/>
      <c r="O50" s="12">
        <v>0</v>
      </c>
      <c r="P50" s="12" t="s">
        <v>204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s="20" customFormat="1" ht="16.8">
      <c r="A51" s="12"/>
      <c r="B51" s="12"/>
      <c r="C51" s="12"/>
      <c r="D51" s="12"/>
      <c r="E51" s="12"/>
      <c r="F51" s="12"/>
      <c r="G51" s="12" t="s">
        <v>133</v>
      </c>
      <c r="H51" s="12"/>
      <c r="I51" s="12"/>
      <c r="J51" s="12"/>
      <c r="K51" s="12"/>
      <c r="L51" s="12"/>
      <c r="M51" s="12"/>
      <c r="N51" s="12"/>
      <c r="O51" s="12">
        <v>0</v>
      </c>
      <c r="P51" s="12" t="s">
        <v>204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s="20" customFormat="1" ht="16.8">
      <c r="A52" s="12"/>
      <c r="B52" s="12"/>
      <c r="C52" s="12"/>
      <c r="D52" s="12"/>
      <c r="E52" s="12"/>
      <c r="F52" s="12"/>
      <c r="G52" s="12" t="s">
        <v>134</v>
      </c>
      <c r="H52" s="12"/>
      <c r="I52" s="12"/>
      <c r="J52" s="12"/>
      <c r="K52" s="12"/>
      <c r="L52" s="12"/>
      <c r="M52" s="12"/>
      <c r="N52" s="12"/>
      <c r="O52" s="12">
        <v>0</v>
      </c>
      <c r="P52" s="12" t="s">
        <v>204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s="20" customFormat="1" ht="16.8">
      <c r="A53" s="12"/>
      <c r="B53" s="12"/>
      <c r="C53" s="12"/>
      <c r="D53" s="12"/>
      <c r="E53" s="12"/>
      <c r="F53" s="12"/>
      <c r="G53" s="12" t="s">
        <v>135</v>
      </c>
      <c r="H53" s="12"/>
      <c r="I53" s="12"/>
      <c r="J53" s="12"/>
      <c r="K53" s="12"/>
      <c r="L53" s="12"/>
      <c r="M53" s="12"/>
      <c r="N53" s="12"/>
      <c r="O53" s="12">
        <v>0</v>
      </c>
      <c r="P53" s="12" t="s">
        <v>204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s="20" customFormat="1" ht="16.8">
      <c r="A54" s="12"/>
      <c r="B54" s="12"/>
      <c r="C54" s="12"/>
      <c r="D54" s="12"/>
      <c r="E54" s="12"/>
      <c r="F54" s="12"/>
      <c r="G54" s="12" t="s">
        <v>136</v>
      </c>
      <c r="H54" s="12"/>
      <c r="I54" s="12"/>
      <c r="J54" s="12"/>
      <c r="K54" s="12"/>
      <c r="L54" s="12"/>
      <c r="M54" s="12"/>
      <c r="N54" s="12"/>
      <c r="O54" s="12">
        <v>0</v>
      </c>
      <c r="P54" s="12" t="s">
        <v>204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s="20" customFormat="1" ht="16.8">
      <c r="A55" s="12"/>
      <c r="B55" s="12"/>
      <c r="C55" s="12"/>
      <c r="D55" s="12"/>
      <c r="E55" s="12"/>
      <c r="F55" s="12"/>
      <c r="G55" s="12" t="s">
        <v>137</v>
      </c>
      <c r="H55" s="12"/>
      <c r="I55" s="12"/>
      <c r="J55" s="12"/>
      <c r="K55" s="12"/>
      <c r="L55" s="12"/>
      <c r="M55" s="12"/>
      <c r="N55" s="12"/>
      <c r="O55" s="12">
        <v>0</v>
      </c>
      <c r="P55" s="12" t="s">
        <v>204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s="20" customFormat="1" ht="16.8">
      <c r="A56" s="12"/>
      <c r="B56" s="12"/>
      <c r="C56" s="12"/>
      <c r="D56" s="12"/>
      <c r="E56" s="12"/>
      <c r="F56" s="12"/>
      <c r="G56" s="12" t="s">
        <v>138</v>
      </c>
      <c r="H56" s="12"/>
      <c r="I56" s="12"/>
      <c r="J56" s="12"/>
      <c r="K56" s="12"/>
      <c r="L56" s="12"/>
      <c r="M56" s="12"/>
      <c r="N56" s="12"/>
      <c r="O56" s="12">
        <v>0</v>
      </c>
      <c r="P56" s="12" t="s">
        <v>204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s="20" customFormat="1" ht="16.8">
      <c r="A57" s="12"/>
      <c r="B57" s="12"/>
      <c r="C57" s="12"/>
      <c r="D57" s="12"/>
      <c r="E57" s="12"/>
      <c r="F57" s="12"/>
      <c r="G57" s="12" t="s">
        <v>140</v>
      </c>
      <c r="H57" s="12"/>
      <c r="I57" s="12"/>
      <c r="J57" s="12"/>
      <c r="K57" s="12"/>
      <c r="L57" s="12"/>
      <c r="M57" s="12"/>
      <c r="N57" s="12"/>
      <c r="O57" s="12">
        <v>0</v>
      </c>
      <c r="P57" s="12" t="s">
        <v>204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s="20" customFormat="1" ht="16.8">
      <c r="A58" s="12"/>
      <c r="B58" s="12"/>
      <c r="C58" s="12"/>
      <c r="D58" s="12"/>
      <c r="E58" s="12"/>
      <c r="F58" s="12"/>
      <c r="G58" s="12" t="s">
        <v>141</v>
      </c>
      <c r="H58" s="12"/>
      <c r="I58" s="12"/>
      <c r="J58" s="12"/>
      <c r="K58" s="12"/>
      <c r="L58" s="12"/>
      <c r="M58" s="12"/>
      <c r="N58" s="12"/>
      <c r="O58" s="12">
        <v>0</v>
      </c>
      <c r="P58" s="12" t="s">
        <v>204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s="20" customFormat="1" ht="16.8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</sheetData>
  <phoneticPr fontId="29" type="noConversion"/>
  <conditionalFormatting sqref="F1">
    <cfRule type="duplicateValues" dxfId="13" priority="1"/>
  </conditionalFormatting>
  <conditionalFormatting sqref="G1">
    <cfRule type="duplicateValues" priority="2"/>
  </conditionalFormatting>
  <conditionalFormatting sqref="Z1">
    <cfRule type="cellIs" dxfId="12" priority="3" operator="equal">
      <formula>"Y"</formula>
    </cfRule>
    <cfRule type="cellIs" dxfId="11" priority="4" operator="equal">
      <formula>"N"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05D6-FE77-4C80-804B-A3BD7DE1CABC}">
  <dimension ref="A1:AB88"/>
  <sheetViews>
    <sheetView topLeftCell="G1" zoomScale="85" zoomScaleNormal="85" workbookViewId="0">
      <pane ySplit="1" topLeftCell="A2" activePane="bottomLeft" state="frozen"/>
      <selection pane="bottomLeft" activeCell="L24" sqref="L24"/>
    </sheetView>
  </sheetViews>
  <sheetFormatPr defaultRowHeight="13.8"/>
  <cols>
    <col min="1" max="1" width="3.6640625" bestFit="1" customWidth="1"/>
    <col min="2" max="2" width="12.5546875" bestFit="1" customWidth="1"/>
    <col min="3" max="3" width="4.33203125" bestFit="1" customWidth="1"/>
    <col min="5" max="5" width="11.88671875" bestFit="1" customWidth="1"/>
    <col min="6" max="6" width="17.6640625" bestFit="1" customWidth="1"/>
    <col min="7" max="7" width="33" bestFit="1" customWidth="1"/>
    <col min="8" max="8" width="10.88671875" bestFit="1" customWidth="1"/>
    <col min="9" max="9" width="17" bestFit="1" customWidth="1"/>
    <col min="10" max="10" width="11.33203125" bestFit="1" customWidth="1"/>
    <col min="11" max="11" width="17.6640625" bestFit="1" customWidth="1"/>
    <col min="12" max="12" width="12.5546875" bestFit="1" customWidth="1"/>
    <col min="13" max="13" width="17" bestFit="1" customWidth="1"/>
    <col min="14" max="14" width="10" bestFit="1" customWidth="1"/>
    <col min="15" max="15" width="11" bestFit="1" customWidth="1"/>
    <col min="16" max="16" width="16.44140625" bestFit="1" customWidth="1"/>
    <col min="17" max="17" width="4.5546875" bestFit="1" customWidth="1"/>
    <col min="18" max="18" width="5" bestFit="1" customWidth="1"/>
    <col min="19" max="20" width="6.6640625" bestFit="1" customWidth="1"/>
    <col min="21" max="21" width="12" bestFit="1" customWidth="1"/>
    <col min="22" max="22" width="4.88671875" bestFit="1" customWidth="1"/>
    <col min="23" max="23" width="13.33203125" bestFit="1" customWidth="1"/>
    <col min="24" max="24" width="9.6640625" bestFit="1" customWidth="1"/>
    <col min="25" max="25" width="8.109375" bestFit="1" customWidth="1"/>
    <col min="26" max="26" width="12.109375" bestFit="1" customWidth="1"/>
  </cols>
  <sheetData>
    <row r="1" spans="1:28" ht="15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10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  <c r="M1" s="9" t="s">
        <v>60</v>
      </c>
      <c r="N1" s="9" t="s">
        <v>61</v>
      </c>
      <c r="O1" s="9" t="s">
        <v>62</v>
      </c>
      <c r="P1" s="9" t="s">
        <v>63</v>
      </c>
      <c r="Q1" s="9" t="s">
        <v>64</v>
      </c>
      <c r="R1" s="9" t="s">
        <v>65</v>
      </c>
      <c r="S1" s="9" t="s">
        <v>66</v>
      </c>
      <c r="T1" s="9" t="s">
        <v>67</v>
      </c>
      <c r="U1" s="9" t="s">
        <v>68</v>
      </c>
      <c r="V1" s="9" t="s">
        <v>69</v>
      </c>
      <c r="W1" s="9" t="s">
        <v>70</v>
      </c>
      <c r="X1" s="9" t="s">
        <v>71</v>
      </c>
      <c r="Y1" s="9" t="s">
        <v>72</v>
      </c>
      <c r="Z1" s="9" t="s">
        <v>74</v>
      </c>
      <c r="AA1" s="4"/>
      <c r="AB1" s="4"/>
    </row>
    <row r="2" spans="1:28" ht="16.8">
      <c r="A2" s="17"/>
      <c r="B2" s="17"/>
      <c r="C2" s="17"/>
      <c r="D2" s="17" t="s">
        <v>148</v>
      </c>
      <c r="E2" s="17"/>
      <c r="F2" s="17"/>
      <c r="G2" s="16" t="s">
        <v>476</v>
      </c>
      <c r="H2" s="17"/>
      <c r="I2" s="17"/>
      <c r="J2" s="17"/>
      <c r="K2" s="17"/>
      <c r="L2" s="17"/>
      <c r="M2" s="17"/>
      <c r="N2" s="17"/>
      <c r="O2" s="17"/>
      <c r="P2" s="17" t="s">
        <v>477</v>
      </c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8" ht="16.8">
      <c r="A3" s="17"/>
      <c r="B3" s="17"/>
      <c r="C3" s="17"/>
      <c r="D3" s="17" t="s">
        <v>148</v>
      </c>
      <c r="E3" s="17"/>
      <c r="F3" s="17"/>
      <c r="G3" s="16" t="s">
        <v>478</v>
      </c>
      <c r="H3" s="17"/>
      <c r="I3" s="17"/>
      <c r="J3" s="17"/>
      <c r="K3" s="17"/>
      <c r="L3" s="17"/>
      <c r="M3" s="17"/>
      <c r="N3" s="17"/>
      <c r="O3" s="17"/>
      <c r="P3" s="17" t="s">
        <v>477</v>
      </c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8" ht="16.8">
      <c r="A4" s="17"/>
      <c r="B4" s="17"/>
      <c r="C4" s="17"/>
      <c r="D4" s="17" t="s">
        <v>148</v>
      </c>
      <c r="E4" s="17"/>
      <c r="F4" s="17"/>
      <c r="G4" s="16" t="s">
        <v>479</v>
      </c>
      <c r="H4" s="17"/>
      <c r="I4" s="17"/>
      <c r="J4" s="17"/>
      <c r="K4" s="17"/>
      <c r="L4" s="17"/>
      <c r="M4" s="17"/>
      <c r="N4" s="17"/>
      <c r="O4" s="17"/>
      <c r="P4" s="16" t="s">
        <v>202</v>
      </c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8" ht="16.8">
      <c r="A5" s="17"/>
      <c r="B5" s="17"/>
      <c r="C5" s="17"/>
      <c r="D5" s="17" t="s">
        <v>148</v>
      </c>
      <c r="E5" s="17"/>
      <c r="F5" s="17"/>
      <c r="G5" s="16" t="s">
        <v>480</v>
      </c>
      <c r="H5" s="17"/>
      <c r="I5" s="17"/>
      <c r="J5" s="17"/>
      <c r="K5" s="17"/>
      <c r="L5" s="17"/>
      <c r="M5" s="17"/>
      <c r="N5" s="17"/>
      <c r="O5" s="17"/>
      <c r="P5" s="16" t="s">
        <v>202</v>
      </c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8" ht="16.8">
      <c r="A6" s="17"/>
      <c r="B6" s="17"/>
      <c r="C6" s="17"/>
      <c r="D6" s="17" t="s">
        <v>148</v>
      </c>
      <c r="E6" s="17"/>
      <c r="F6" s="17"/>
      <c r="G6" s="16" t="s">
        <v>481</v>
      </c>
      <c r="H6" s="17"/>
      <c r="I6" s="17"/>
      <c r="J6" s="17"/>
      <c r="K6" s="17"/>
      <c r="L6" s="17"/>
      <c r="M6" s="17"/>
      <c r="N6" s="17"/>
      <c r="O6" s="17"/>
      <c r="P6" s="16" t="s">
        <v>202</v>
      </c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8" ht="16.8">
      <c r="A7" s="17"/>
      <c r="B7" s="17"/>
      <c r="C7" s="17"/>
      <c r="D7" s="17" t="s">
        <v>148</v>
      </c>
      <c r="E7" s="17"/>
      <c r="F7" s="17"/>
      <c r="G7" s="16" t="s">
        <v>482</v>
      </c>
      <c r="H7" s="17"/>
      <c r="I7" s="17"/>
      <c r="J7" s="17"/>
      <c r="K7" s="17"/>
      <c r="L7" s="17"/>
      <c r="M7" s="17"/>
      <c r="N7" s="17"/>
      <c r="O7" s="17"/>
      <c r="P7" s="16" t="s">
        <v>202</v>
      </c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8" ht="16.8">
      <c r="A8" s="17"/>
      <c r="B8" s="17"/>
      <c r="C8" s="17"/>
      <c r="D8" s="17" t="s">
        <v>148</v>
      </c>
      <c r="E8" s="17"/>
      <c r="F8" s="17"/>
      <c r="G8" s="16" t="s">
        <v>483</v>
      </c>
      <c r="H8" s="17"/>
      <c r="I8" s="17"/>
      <c r="J8" s="17"/>
      <c r="K8" s="17"/>
      <c r="L8" s="17"/>
      <c r="M8" s="17"/>
      <c r="N8" s="17"/>
      <c r="O8" s="17"/>
      <c r="P8" s="16" t="s">
        <v>202</v>
      </c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8" ht="16.8">
      <c r="A9" s="17"/>
      <c r="B9" s="17"/>
      <c r="C9" s="17"/>
      <c r="D9" s="17" t="s">
        <v>148</v>
      </c>
      <c r="E9" s="17"/>
      <c r="F9" s="17"/>
      <c r="G9" s="16" t="s">
        <v>484</v>
      </c>
      <c r="H9" s="17"/>
      <c r="I9" s="17"/>
      <c r="J9" s="17"/>
      <c r="K9" s="17"/>
      <c r="L9" s="17"/>
      <c r="M9" s="17"/>
      <c r="N9" s="17"/>
      <c r="O9" s="17"/>
      <c r="P9" s="16" t="s">
        <v>202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8" ht="16.8">
      <c r="A10" s="17"/>
      <c r="B10" s="17"/>
      <c r="C10" s="17"/>
      <c r="D10" s="17" t="s">
        <v>148</v>
      </c>
      <c r="E10" s="17"/>
      <c r="F10" s="17"/>
      <c r="G10" s="16" t="s">
        <v>485</v>
      </c>
      <c r="H10" s="17"/>
      <c r="I10" s="17"/>
      <c r="J10" s="17"/>
      <c r="K10" s="17"/>
      <c r="L10" s="17"/>
      <c r="M10" s="17"/>
      <c r="N10" s="17"/>
      <c r="O10" s="17"/>
      <c r="P10" s="16" t="s">
        <v>202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8" ht="16.8">
      <c r="A11" s="17"/>
      <c r="B11" s="17"/>
      <c r="C11" s="17"/>
      <c r="D11" s="17" t="s">
        <v>148</v>
      </c>
      <c r="E11" s="17"/>
      <c r="F11" s="17"/>
      <c r="G11" s="16" t="s">
        <v>486</v>
      </c>
      <c r="H11" s="17"/>
      <c r="I11" s="17"/>
      <c r="J11" s="17"/>
      <c r="K11" s="17"/>
      <c r="L11" s="17"/>
      <c r="M11" s="17"/>
      <c r="N11" s="17"/>
      <c r="O11" s="17"/>
      <c r="P11" s="17" t="s">
        <v>150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8" ht="16.8">
      <c r="A12" s="17"/>
      <c r="B12" s="17"/>
      <c r="C12" s="17"/>
      <c r="D12" s="17" t="s">
        <v>148</v>
      </c>
      <c r="E12" s="17"/>
      <c r="F12" s="17"/>
      <c r="G12" s="39" t="s">
        <v>487</v>
      </c>
      <c r="H12" s="17"/>
      <c r="I12" s="17"/>
      <c r="J12" s="17"/>
      <c r="K12" s="17"/>
      <c r="L12" s="17"/>
      <c r="M12" s="17"/>
      <c r="N12" s="17"/>
      <c r="O12" s="17"/>
      <c r="P12" s="17" t="s">
        <v>150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8" ht="16.8">
      <c r="A13" s="17"/>
      <c r="B13" s="17"/>
      <c r="C13" s="17"/>
      <c r="D13" s="17" t="s">
        <v>148</v>
      </c>
      <c r="E13" s="17"/>
      <c r="F13" s="17"/>
      <c r="G13" s="16" t="s">
        <v>488</v>
      </c>
      <c r="H13" s="17"/>
      <c r="I13" s="17"/>
      <c r="J13" s="17"/>
      <c r="K13" s="17"/>
      <c r="L13" s="17"/>
      <c r="M13" s="17"/>
      <c r="N13" s="17"/>
      <c r="O13" s="17"/>
      <c r="P13" s="17" t="s">
        <v>150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8" ht="16.8">
      <c r="A14" s="17"/>
      <c r="B14" s="17"/>
      <c r="C14" s="17"/>
      <c r="D14" s="17" t="s">
        <v>148</v>
      </c>
      <c r="E14" s="17"/>
      <c r="F14" s="17"/>
      <c r="G14" s="16" t="s">
        <v>489</v>
      </c>
      <c r="H14" s="17"/>
      <c r="I14" s="17"/>
      <c r="J14" s="17"/>
      <c r="K14" s="17"/>
      <c r="L14" s="17"/>
      <c r="M14" s="17"/>
      <c r="N14" s="17"/>
      <c r="O14" s="17"/>
      <c r="P14" s="17" t="s">
        <v>150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8" ht="16.8">
      <c r="A15" s="17"/>
      <c r="B15" s="17"/>
      <c r="C15" s="17"/>
      <c r="D15" s="17" t="s">
        <v>148</v>
      </c>
      <c r="E15" s="17"/>
      <c r="F15" s="17"/>
      <c r="G15" s="16" t="s">
        <v>490</v>
      </c>
      <c r="H15" s="17"/>
      <c r="I15" s="17"/>
      <c r="J15" s="17"/>
      <c r="K15" s="17"/>
      <c r="L15" s="17"/>
      <c r="M15" s="17"/>
      <c r="N15" s="17"/>
      <c r="O15" s="17"/>
      <c r="P15" s="17" t="s">
        <v>150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8" ht="16.8">
      <c r="A16" s="17"/>
      <c r="B16" s="17"/>
      <c r="C16" s="17"/>
      <c r="D16" s="17" t="s">
        <v>148</v>
      </c>
      <c r="E16" s="17"/>
      <c r="F16" s="17"/>
      <c r="G16" s="16" t="s">
        <v>491</v>
      </c>
      <c r="H16" s="17"/>
      <c r="I16" s="17"/>
      <c r="J16" s="17"/>
      <c r="K16" s="17"/>
      <c r="L16" s="17"/>
      <c r="M16" s="17"/>
      <c r="N16" s="17"/>
      <c r="O16" s="17"/>
      <c r="P16" s="17" t="s">
        <v>150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6.8">
      <c r="A17" s="17"/>
      <c r="B17" s="17"/>
      <c r="C17" s="17"/>
      <c r="D17" s="17" t="s">
        <v>148</v>
      </c>
      <c r="E17" s="17"/>
      <c r="F17" s="17"/>
      <c r="G17" s="16" t="s">
        <v>492</v>
      </c>
      <c r="H17" s="17"/>
      <c r="I17" s="17"/>
      <c r="J17" s="17"/>
      <c r="K17" s="17"/>
      <c r="L17" s="17"/>
      <c r="M17" s="17"/>
      <c r="N17" s="17"/>
      <c r="O17" s="17"/>
      <c r="P17" s="17" t="s">
        <v>150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6.8">
      <c r="A18" s="17"/>
      <c r="B18" s="17"/>
      <c r="C18" s="17"/>
      <c r="D18" s="17" t="s">
        <v>148</v>
      </c>
      <c r="E18" s="17"/>
      <c r="F18" s="17"/>
      <c r="G18" s="16" t="s">
        <v>493</v>
      </c>
      <c r="H18" s="17"/>
      <c r="I18" s="17"/>
      <c r="J18" s="17"/>
      <c r="K18" s="17"/>
      <c r="L18" s="17"/>
      <c r="M18" s="17"/>
      <c r="N18" s="17"/>
      <c r="O18" s="17"/>
      <c r="P18" s="17" t="s">
        <v>150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6.8">
      <c r="A19" s="17"/>
      <c r="B19" s="17"/>
      <c r="C19" s="17"/>
      <c r="D19" s="17" t="s">
        <v>148</v>
      </c>
      <c r="E19" s="17"/>
      <c r="F19" s="17"/>
      <c r="G19" s="16" t="s">
        <v>494</v>
      </c>
      <c r="H19" s="17"/>
      <c r="I19" s="17"/>
      <c r="J19" s="17"/>
      <c r="K19" s="17"/>
      <c r="L19" s="17"/>
      <c r="M19" s="17"/>
      <c r="N19" s="17"/>
      <c r="O19" s="17"/>
      <c r="P19" s="17" t="s">
        <v>150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6.8">
      <c r="A20" s="17"/>
      <c r="B20" s="17"/>
      <c r="C20" s="17"/>
      <c r="D20" s="17" t="s">
        <v>148</v>
      </c>
      <c r="E20" s="17"/>
      <c r="F20" s="17"/>
      <c r="G20" s="16" t="s">
        <v>495</v>
      </c>
      <c r="H20" s="17"/>
      <c r="I20" s="17"/>
      <c r="J20" s="17"/>
      <c r="K20" s="17"/>
      <c r="L20" s="17"/>
      <c r="M20" s="17"/>
      <c r="N20" s="17"/>
      <c r="O20" s="17"/>
      <c r="P20" s="17" t="s">
        <v>150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6.8">
      <c r="A21" s="17"/>
      <c r="B21" s="17"/>
      <c r="C21" s="17"/>
      <c r="D21" s="17" t="s">
        <v>148</v>
      </c>
      <c r="E21" s="17"/>
      <c r="F21" s="17"/>
      <c r="G21" s="16" t="s">
        <v>496</v>
      </c>
      <c r="H21" s="17"/>
      <c r="I21" s="17"/>
      <c r="J21" s="17"/>
      <c r="K21" s="17"/>
      <c r="L21" s="17"/>
      <c r="M21" s="17"/>
      <c r="N21" s="17"/>
      <c r="O21" s="17"/>
      <c r="P21" s="16" t="s">
        <v>315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6.8">
      <c r="A22" s="17"/>
      <c r="B22" s="17"/>
      <c r="C22" s="17"/>
      <c r="D22" s="17" t="s">
        <v>148</v>
      </c>
      <c r="E22" s="17"/>
      <c r="F22" s="17"/>
      <c r="G22" s="16" t="s">
        <v>497</v>
      </c>
      <c r="H22" s="17"/>
      <c r="I22" s="17"/>
      <c r="J22" s="17"/>
      <c r="K22" s="17"/>
      <c r="L22" s="17"/>
      <c r="M22" s="17"/>
      <c r="N22" s="17"/>
      <c r="O22" s="17"/>
      <c r="P22" s="16" t="s">
        <v>315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6.8">
      <c r="A23" s="17"/>
      <c r="B23" s="17"/>
      <c r="C23" s="17"/>
      <c r="D23" s="17" t="s">
        <v>148</v>
      </c>
      <c r="E23" s="17"/>
      <c r="F23" s="17"/>
      <c r="G23" s="16" t="s">
        <v>498</v>
      </c>
      <c r="H23" s="17"/>
      <c r="I23" s="17"/>
      <c r="J23" s="17"/>
      <c r="K23" s="17"/>
      <c r="L23" s="17"/>
      <c r="M23" s="17"/>
      <c r="N23" s="17"/>
      <c r="O23" s="17"/>
      <c r="P23" s="16" t="s">
        <v>315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6.8">
      <c r="A24" s="17"/>
      <c r="B24" s="17"/>
      <c r="C24" s="17"/>
      <c r="D24" s="17" t="s">
        <v>148</v>
      </c>
      <c r="E24" s="17"/>
      <c r="F24" s="17"/>
      <c r="G24" s="16" t="s">
        <v>499</v>
      </c>
      <c r="H24" s="17"/>
      <c r="I24" s="17"/>
      <c r="J24" s="17"/>
      <c r="K24" s="17"/>
      <c r="L24" s="17"/>
      <c r="M24" s="17"/>
      <c r="N24" s="17"/>
      <c r="O24" s="17"/>
      <c r="P24" s="16" t="s">
        <v>315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6.8">
      <c r="A25" s="17"/>
      <c r="B25" s="17"/>
      <c r="C25" s="17"/>
      <c r="D25" s="17" t="s">
        <v>148</v>
      </c>
      <c r="E25" s="17"/>
      <c r="F25" s="17"/>
      <c r="G25" s="16" t="s">
        <v>500</v>
      </c>
      <c r="H25" s="17"/>
      <c r="I25" s="17"/>
      <c r="J25" s="17"/>
      <c r="K25" s="17"/>
      <c r="L25" s="17"/>
      <c r="M25" s="17"/>
      <c r="N25" s="17"/>
      <c r="O25" s="17"/>
      <c r="P25" s="16" t="s">
        <v>315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6.8">
      <c r="A26" s="17"/>
      <c r="B26" s="17"/>
      <c r="C26" s="17"/>
      <c r="D26" s="17" t="s">
        <v>148</v>
      </c>
      <c r="E26" s="17"/>
      <c r="F26" s="17"/>
      <c r="G26" s="16" t="s">
        <v>501</v>
      </c>
      <c r="H26" s="17"/>
      <c r="I26" s="17"/>
      <c r="J26" s="17"/>
      <c r="K26" s="17"/>
      <c r="L26" s="17"/>
      <c r="M26" s="17"/>
      <c r="N26" s="17"/>
      <c r="O26" s="17"/>
      <c r="P26" s="16" t="s">
        <v>315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6.8">
      <c r="A27" s="17"/>
      <c r="B27" s="17"/>
      <c r="C27" s="17"/>
      <c r="D27" s="17" t="s">
        <v>148</v>
      </c>
      <c r="E27" s="17"/>
      <c r="F27" s="17"/>
      <c r="G27" s="16" t="s">
        <v>502</v>
      </c>
      <c r="H27" s="17"/>
      <c r="I27" s="17"/>
      <c r="J27" s="17"/>
      <c r="K27" s="17"/>
      <c r="L27" s="17"/>
      <c r="M27" s="17"/>
      <c r="N27" s="17"/>
      <c r="O27" s="17"/>
      <c r="P27" s="16" t="s">
        <v>315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6.8">
      <c r="A28" s="17"/>
      <c r="B28" s="17"/>
      <c r="C28" s="17"/>
      <c r="D28" s="17" t="s">
        <v>148</v>
      </c>
      <c r="E28" s="17"/>
      <c r="F28" s="17"/>
      <c r="G28" s="16" t="s">
        <v>503</v>
      </c>
      <c r="H28" s="17"/>
      <c r="I28" s="17"/>
      <c r="J28" s="17"/>
      <c r="K28" s="17"/>
      <c r="L28" s="17"/>
      <c r="M28" s="17"/>
      <c r="N28" s="17"/>
      <c r="O28" s="17"/>
      <c r="P28" s="16" t="s">
        <v>315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6.8">
      <c r="A29" s="17"/>
      <c r="B29" s="17"/>
      <c r="C29" s="17"/>
      <c r="D29" s="17" t="s">
        <v>148</v>
      </c>
      <c r="E29" s="17"/>
      <c r="F29" s="17"/>
      <c r="G29" s="16" t="s">
        <v>504</v>
      </c>
      <c r="H29" s="17"/>
      <c r="I29" s="17"/>
      <c r="J29" s="17"/>
      <c r="K29" s="17"/>
      <c r="L29" s="17"/>
      <c r="M29" s="17"/>
      <c r="N29" s="17"/>
      <c r="O29" s="17"/>
      <c r="P29" s="16" t="s">
        <v>315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6.8">
      <c r="A30" s="17"/>
      <c r="B30" s="17"/>
      <c r="C30" s="17"/>
      <c r="D30" s="17" t="s">
        <v>148</v>
      </c>
      <c r="E30" s="17"/>
      <c r="F30" s="17"/>
      <c r="G30" s="16" t="s">
        <v>505</v>
      </c>
      <c r="H30" s="17"/>
      <c r="I30" s="17"/>
      <c r="J30" s="17"/>
      <c r="K30" s="17"/>
      <c r="L30" s="17"/>
      <c r="M30" s="17"/>
      <c r="N30" s="17"/>
      <c r="O30" s="17"/>
      <c r="P30" s="16" t="s">
        <v>315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6.8">
      <c r="A31" s="17"/>
      <c r="B31" s="17"/>
      <c r="C31" s="17"/>
      <c r="D31" s="17" t="s">
        <v>148</v>
      </c>
      <c r="E31" s="17"/>
      <c r="F31" s="17"/>
      <c r="G31" s="12" t="s">
        <v>506</v>
      </c>
      <c r="H31" s="17"/>
      <c r="I31" s="17"/>
      <c r="J31" s="17"/>
      <c r="K31" s="17"/>
      <c r="L31" s="17"/>
      <c r="M31" s="17"/>
      <c r="N31" s="17"/>
      <c r="O31" s="17"/>
      <c r="P31" s="16" t="s">
        <v>202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6.8">
      <c r="A32" s="17"/>
      <c r="B32" s="17"/>
      <c r="C32" s="17"/>
      <c r="D32" s="17" t="s">
        <v>148</v>
      </c>
      <c r="E32" s="17"/>
      <c r="F32" s="17"/>
      <c r="G32" s="12" t="s">
        <v>507</v>
      </c>
      <c r="H32" s="17"/>
      <c r="I32" s="17"/>
      <c r="J32" s="17"/>
      <c r="K32" s="17"/>
      <c r="L32" s="17"/>
      <c r="M32" s="17"/>
      <c r="N32" s="17"/>
      <c r="O32" s="17"/>
      <c r="P32" s="16" t="s">
        <v>204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6.8">
      <c r="A33" s="17"/>
      <c r="B33" s="17"/>
      <c r="C33" s="17"/>
      <c r="D33" s="17" t="s">
        <v>148</v>
      </c>
      <c r="E33" s="17"/>
      <c r="F33" s="17"/>
      <c r="G33" s="12" t="s">
        <v>508</v>
      </c>
      <c r="H33" s="17"/>
      <c r="I33" s="17"/>
      <c r="J33" s="17"/>
      <c r="K33" s="17"/>
      <c r="L33" s="17"/>
      <c r="M33" s="17"/>
      <c r="N33" s="17"/>
      <c r="O33" s="17"/>
      <c r="P33" s="16" t="s">
        <v>509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6.8">
      <c r="A34" s="17"/>
      <c r="B34" s="17"/>
      <c r="C34" s="17"/>
      <c r="D34" s="17" t="s">
        <v>148</v>
      </c>
      <c r="E34" s="17"/>
      <c r="F34" s="17"/>
      <c r="G34" s="12" t="s">
        <v>510</v>
      </c>
      <c r="H34" s="17"/>
      <c r="I34" s="17"/>
      <c r="J34" s="17"/>
      <c r="K34" s="17"/>
      <c r="L34" s="17"/>
      <c r="M34" s="17"/>
      <c r="N34" s="17"/>
      <c r="O34" s="17"/>
      <c r="P34" s="17" t="s">
        <v>150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6.8">
      <c r="A35" s="17"/>
      <c r="B35" s="17"/>
      <c r="C35" s="17"/>
      <c r="D35" s="17" t="s">
        <v>148</v>
      </c>
      <c r="E35" s="17"/>
      <c r="F35" s="17"/>
      <c r="G35" s="12" t="s">
        <v>511</v>
      </c>
      <c r="H35" s="17"/>
      <c r="I35" s="17"/>
      <c r="J35" s="17"/>
      <c r="K35" s="17"/>
      <c r="L35" s="17"/>
      <c r="M35" s="17"/>
      <c r="N35" s="17"/>
      <c r="O35" s="17"/>
      <c r="P35" s="17" t="s">
        <v>150</v>
      </c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6.8">
      <c r="A36" s="17"/>
      <c r="B36" s="17"/>
      <c r="C36" s="17"/>
      <c r="D36" s="17" t="s">
        <v>148</v>
      </c>
      <c r="E36" s="17"/>
      <c r="F36" s="17"/>
      <c r="G36" s="12" t="s">
        <v>512</v>
      </c>
      <c r="H36" s="17"/>
      <c r="I36" s="17"/>
      <c r="J36" s="17"/>
      <c r="K36" s="17"/>
      <c r="L36" s="17"/>
      <c r="M36" s="17"/>
      <c r="N36" s="17"/>
      <c r="O36" s="17"/>
      <c r="P36" s="17" t="s">
        <v>150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6.8">
      <c r="A37" s="17"/>
      <c r="B37" s="17"/>
      <c r="C37" s="17"/>
      <c r="D37" s="17" t="s">
        <v>148</v>
      </c>
      <c r="E37" s="17"/>
      <c r="F37" s="17"/>
      <c r="G37" s="12" t="s">
        <v>513</v>
      </c>
      <c r="H37" s="17"/>
      <c r="I37" s="17"/>
      <c r="J37" s="17"/>
      <c r="K37" s="17"/>
      <c r="L37" s="17"/>
      <c r="M37" s="17"/>
      <c r="N37" s="17"/>
      <c r="O37" s="17"/>
      <c r="P37" s="17" t="s">
        <v>150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6.8">
      <c r="A38" s="17"/>
      <c r="B38" s="17"/>
      <c r="C38" s="17"/>
      <c r="D38" s="17" t="s">
        <v>148</v>
      </c>
      <c r="E38" s="17"/>
      <c r="F38" s="17"/>
      <c r="G38" s="12" t="s">
        <v>514</v>
      </c>
      <c r="H38" s="17"/>
      <c r="I38" s="17"/>
      <c r="J38" s="17"/>
      <c r="K38" s="17"/>
      <c r="L38" s="17"/>
      <c r="M38" s="17"/>
      <c r="N38" s="17"/>
      <c r="O38" s="17"/>
      <c r="P38" s="16" t="s">
        <v>509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6.8">
      <c r="A39" s="17"/>
      <c r="B39" s="17"/>
      <c r="C39" s="17"/>
      <c r="D39" s="17" t="s">
        <v>148</v>
      </c>
      <c r="E39" s="17"/>
      <c r="F39" s="17"/>
      <c r="G39" s="12" t="s">
        <v>515</v>
      </c>
      <c r="H39" s="17"/>
      <c r="I39" s="17"/>
      <c r="J39" s="17"/>
      <c r="K39" s="17"/>
      <c r="L39" s="17"/>
      <c r="M39" s="17"/>
      <c r="N39" s="17"/>
      <c r="O39" s="17"/>
      <c r="P39" s="17" t="s">
        <v>150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6.8">
      <c r="A40" s="17"/>
      <c r="B40" s="17"/>
      <c r="C40" s="17"/>
      <c r="D40" s="17" t="s">
        <v>148</v>
      </c>
      <c r="E40" s="17"/>
      <c r="F40" s="17"/>
      <c r="G40" s="12" t="s">
        <v>516</v>
      </c>
      <c r="H40" s="17"/>
      <c r="I40" s="17"/>
      <c r="J40" s="17"/>
      <c r="K40" s="17"/>
      <c r="L40" s="17"/>
      <c r="M40" s="17"/>
      <c r="N40" s="17"/>
      <c r="O40" s="17"/>
      <c r="P40" s="17" t="s">
        <v>150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6.8">
      <c r="A41" s="17"/>
      <c r="B41" s="17"/>
      <c r="C41" s="17"/>
      <c r="D41" s="17" t="s">
        <v>148</v>
      </c>
      <c r="E41" s="17"/>
      <c r="F41" s="17"/>
      <c r="G41" s="12" t="s">
        <v>517</v>
      </c>
      <c r="H41" s="17"/>
      <c r="I41" s="17"/>
      <c r="J41" s="17"/>
      <c r="K41" s="17"/>
      <c r="L41" s="17"/>
      <c r="M41" s="17"/>
      <c r="N41" s="17"/>
      <c r="O41" s="17"/>
      <c r="P41" s="17" t="s">
        <v>150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6.8">
      <c r="A42" s="17"/>
      <c r="B42" s="17"/>
      <c r="C42" s="17"/>
      <c r="D42" s="17" t="s">
        <v>148</v>
      </c>
      <c r="E42" s="17"/>
      <c r="F42" s="17"/>
      <c r="G42" s="12" t="s">
        <v>518</v>
      </c>
      <c r="H42" s="17"/>
      <c r="I42" s="17"/>
      <c r="J42" s="17"/>
      <c r="K42" s="17"/>
      <c r="L42" s="17"/>
      <c r="M42" s="17"/>
      <c r="N42" s="17"/>
      <c r="O42" s="17"/>
      <c r="P42" s="17" t="s">
        <v>150</v>
      </c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6.8">
      <c r="A43" s="17"/>
      <c r="B43" s="17"/>
      <c r="C43" s="17"/>
      <c r="D43" s="17" t="s">
        <v>148</v>
      </c>
      <c r="E43" s="17"/>
      <c r="F43" s="17"/>
      <c r="G43" s="12" t="s">
        <v>519</v>
      </c>
      <c r="H43" s="17"/>
      <c r="I43" s="17"/>
      <c r="J43" s="17"/>
      <c r="K43" s="17"/>
      <c r="L43" s="17"/>
      <c r="M43" s="17"/>
      <c r="N43" s="17"/>
      <c r="O43" s="17"/>
      <c r="P43" s="17" t="s">
        <v>150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6.8">
      <c r="A44" s="17"/>
      <c r="B44" s="17"/>
      <c r="C44" s="17"/>
      <c r="D44" s="17" t="s">
        <v>148</v>
      </c>
      <c r="E44" s="17"/>
      <c r="F44" s="17"/>
      <c r="G44" s="12" t="s">
        <v>520</v>
      </c>
      <c r="H44" s="17"/>
      <c r="I44" s="17"/>
      <c r="J44" s="17"/>
      <c r="K44" s="17"/>
      <c r="L44" s="17"/>
      <c r="M44" s="17"/>
      <c r="N44" s="17"/>
      <c r="O44" s="17"/>
      <c r="P44" s="16" t="s">
        <v>315</v>
      </c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6.8">
      <c r="A45" s="17"/>
      <c r="B45" s="17"/>
      <c r="C45" s="17"/>
      <c r="D45" s="17" t="s">
        <v>148</v>
      </c>
      <c r="E45" s="17"/>
      <c r="F45" s="17"/>
      <c r="G45" s="12" t="s">
        <v>521</v>
      </c>
      <c r="H45" s="17"/>
      <c r="I45" s="17"/>
      <c r="J45" s="17"/>
      <c r="K45" s="17"/>
      <c r="L45" s="17"/>
      <c r="M45" s="17"/>
      <c r="N45" s="17"/>
      <c r="O45" s="17"/>
      <c r="P45" s="16" t="s">
        <v>315</v>
      </c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6.8">
      <c r="A46" s="17"/>
      <c r="B46" s="17"/>
      <c r="C46" s="17"/>
      <c r="D46" s="17" t="s">
        <v>148</v>
      </c>
      <c r="E46" s="17"/>
      <c r="F46" s="17"/>
      <c r="G46" s="12" t="s">
        <v>522</v>
      </c>
      <c r="H46" s="17"/>
      <c r="I46" s="17"/>
      <c r="J46" s="17"/>
      <c r="K46" s="17"/>
      <c r="L46" s="17"/>
      <c r="M46" s="17"/>
      <c r="N46" s="17"/>
      <c r="O46" s="17"/>
      <c r="P46" s="16" t="s">
        <v>315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6.8">
      <c r="A47" s="17"/>
      <c r="B47" s="17"/>
      <c r="C47" s="17"/>
      <c r="D47" s="17" t="s">
        <v>148</v>
      </c>
      <c r="E47" s="17"/>
      <c r="F47" s="17"/>
      <c r="G47" s="12" t="s">
        <v>523</v>
      </c>
      <c r="H47" s="17"/>
      <c r="I47" s="17"/>
      <c r="J47" s="17"/>
      <c r="K47" s="17"/>
      <c r="L47" s="17"/>
      <c r="M47" s="17"/>
      <c r="N47" s="17"/>
      <c r="O47" s="17"/>
      <c r="P47" s="16" t="s">
        <v>315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6.8">
      <c r="A48" s="17"/>
      <c r="B48" s="17"/>
      <c r="C48" s="17"/>
      <c r="D48" s="17" t="s">
        <v>148</v>
      </c>
      <c r="E48" s="17"/>
      <c r="F48" s="17"/>
      <c r="G48" s="12" t="s">
        <v>524</v>
      </c>
      <c r="H48" s="17"/>
      <c r="I48" s="17"/>
      <c r="J48" s="17"/>
      <c r="K48" s="17"/>
      <c r="L48" s="17"/>
      <c r="M48" s="17"/>
      <c r="N48" s="17"/>
      <c r="O48" s="17"/>
      <c r="P48" s="16" t="s">
        <v>315</v>
      </c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6.8">
      <c r="A49" s="17"/>
      <c r="B49" s="17"/>
      <c r="C49" s="17"/>
      <c r="D49" s="17" t="s">
        <v>148</v>
      </c>
      <c r="E49" s="17"/>
      <c r="F49" s="17"/>
      <c r="G49" s="12" t="s">
        <v>525</v>
      </c>
      <c r="H49" s="17"/>
      <c r="I49" s="17"/>
      <c r="J49" s="17"/>
      <c r="K49" s="17"/>
      <c r="L49" s="17"/>
      <c r="M49" s="17"/>
      <c r="N49" s="17"/>
      <c r="O49" s="17"/>
      <c r="P49" s="16" t="s">
        <v>315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6.8">
      <c r="A50" s="17"/>
      <c r="B50" s="17"/>
      <c r="C50" s="17"/>
      <c r="D50" s="17" t="s">
        <v>148</v>
      </c>
      <c r="E50" s="17"/>
      <c r="F50" s="17"/>
      <c r="G50" s="12" t="s">
        <v>526</v>
      </c>
      <c r="H50" s="17"/>
      <c r="I50" s="17"/>
      <c r="J50" s="17"/>
      <c r="K50" s="17"/>
      <c r="L50" s="17"/>
      <c r="M50" s="17"/>
      <c r="N50" s="17"/>
      <c r="O50" s="17"/>
      <c r="P50" s="16" t="s">
        <v>315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6.8">
      <c r="A51" s="17"/>
      <c r="B51" s="17"/>
      <c r="C51" s="17"/>
      <c r="D51" s="17" t="s">
        <v>148</v>
      </c>
      <c r="E51" s="17"/>
      <c r="F51" s="17"/>
      <c r="G51" s="12" t="s">
        <v>527</v>
      </c>
      <c r="H51" s="17"/>
      <c r="I51" s="17"/>
      <c r="J51" s="17"/>
      <c r="K51" s="17"/>
      <c r="L51" s="17"/>
      <c r="M51" s="17"/>
      <c r="N51" s="17"/>
      <c r="O51" s="17"/>
      <c r="P51" s="16" t="s">
        <v>315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6.8">
      <c r="A52" s="17"/>
      <c r="B52" s="17"/>
      <c r="C52" s="17"/>
      <c r="D52" s="17" t="s">
        <v>148</v>
      </c>
      <c r="E52" s="17"/>
      <c r="F52" s="17"/>
      <c r="G52" s="12" t="s">
        <v>528</v>
      </c>
      <c r="H52" s="17"/>
      <c r="I52" s="17"/>
      <c r="J52" s="17"/>
      <c r="K52" s="17"/>
      <c r="L52" s="17"/>
      <c r="M52" s="17"/>
      <c r="N52" s="17"/>
      <c r="O52" s="17"/>
      <c r="P52" s="16" t="s">
        <v>315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6.8">
      <c r="A53" s="17"/>
      <c r="B53" s="17"/>
      <c r="C53" s="17"/>
      <c r="D53" s="17" t="s">
        <v>148</v>
      </c>
      <c r="E53" s="17"/>
      <c r="F53" s="17"/>
      <c r="G53" s="12" t="s">
        <v>529</v>
      </c>
      <c r="H53" s="17"/>
      <c r="I53" s="17"/>
      <c r="J53" s="17"/>
      <c r="K53" s="17"/>
      <c r="L53" s="17"/>
      <c r="M53" s="17"/>
      <c r="N53" s="17"/>
      <c r="O53" s="17"/>
      <c r="P53" s="16" t="s">
        <v>315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6.8">
      <c r="A54" s="17"/>
      <c r="B54" s="17"/>
      <c r="C54" s="17"/>
      <c r="D54" s="17" t="s">
        <v>148</v>
      </c>
      <c r="E54" s="17"/>
      <c r="F54" s="17"/>
      <c r="G54" s="12" t="s">
        <v>530</v>
      </c>
      <c r="H54" s="17"/>
      <c r="I54" s="17"/>
      <c r="J54" s="17"/>
      <c r="K54" s="17"/>
      <c r="L54" s="17"/>
      <c r="M54" s="17"/>
      <c r="N54" s="17"/>
      <c r="O54" s="17"/>
      <c r="P54" s="16" t="s">
        <v>315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6.8">
      <c r="A55" s="17"/>
      <c r="B55" s="17"/>
      <c r="C55" s="17"/>
      <c r="D55" s="17" t="s">
        <v>148</v>
      </c>
      <c r="E55" s="17"/>
      <c r="F55" s="17"/>
      <c r="G55" s="16" t="s">
        <v>531</v>
      </c>
      <c r="H55" s="17"/>
      <c r="I55" s="17"/>
      <c r="J55" s="17"/>
      <c r="K55" s="17"/>
      <c r="L55" s="17"/>
      <c r="M55" s="17"/>
      <c r="N55" s="17"/>
      <c r="O55" s="17"/>
      <c r="P55" s="16" t="s">
        <v>204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6.8">
      <c r="A56" s="17"/>
      <c r="B56" s="17"/>
      <c r="C56" s="17"/>
      <c r="D56" s="17" t="s">
        <v>148</v>
      </c>
      <c r="E56" s="17"/>
      <c r="F56" s="17"/>
      <c r="G56" s="16" t="s">
        <v>532</v>
      </c>
      <c r="H56" s="17"/>
      <c r="I56" s="17"/>
      <c r="J56" s="17"/>
      <c r="K56" s="17"/>
      <c r="L56" s="17"/>
      <c r="M56" s="17"/>
      <c r="N56" s="17"/>
      <c r="O56" s="17"/>
      <c r="P56" s="16" t="s">
        <v>204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6.8">
      <c r="A57" s="17"/>
      <c r="B57" s="17"/>
      <c r="C57" s="17"/>
      <c r="D57" s="17" t="s">
        <v>148</v>
      </c>
      <c r="E57" s="17"/>
      <c r="F57" s="17"/>
      <c r="G57" s="16" t="s">
        <v>533</v>
      </c>
      <c r="H57" s="17"/>
      <c r="I57" s="17"/>
      <c r="J57" s="17"/>
      <c r="K57" s="17"/>
      <c r="L57" s="17"/>
      <c r="M57" s="17"/>
      <c r="N57" s="17"/>
      <c r="O57" s="17"/>
      <c r="P57" s="16" t="s">
        <v>315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6.8">
      <c r="A58" s="17"/>
      <c r="B58" s="17"/>
      <c r="C58" s="17"/>
      <c r="D58" s="17" t="s">
        <v>148</v>
      </c>
      <c r="E58" s="17"/>
      <c r="F58" s="17"/>
      <c r="G58" s="16" t="s">
        <v>534</v>
      </c>
      <c r="H58" s="17"/>
      <c r="I58" s="17"/>
      <c r="J58" s="17"/>
      <c r="K58" s="17"/>
      <c r="L58" s="17"/>
      <c r="M58" s="17"/>
      <c r="N58" s="17"/>
      <c r="O58" s="17"/>
      <c r="P58" s="16" t="s">
        <v>315</v>
      </c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6.8">
      <c r="A59" s="17"/>
      <c r="B59" s="17"/>
      <c r="C59" s="17"/>
      <c r="D59" s="17" t="s">
        <v>148</v>
      </c>
      <c r="E59" s="17"/>
      <c r="F59" s="17"/>
      <c r="G59" s="16" t="s">
        <v>535</v>
      </c>
      <c r="H59" s="17"/>
      <c r="I59" s="17"/>
      <c r="J59" s="17"/>
      <c r="K59" s="17"/>
      <c r="L59" s="17"/>
      <c r="M59" s="17"/>
      <c r="N59" s="17"/>
      <c r="O59" s="17"/>
      <c r="P59" s="16" t="s">
        <v>315</v>
      </c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6.8">
      <c r="A60" s="17"/>
      <c r="B60" s="17"/>
      <c r="C60" s="17"/>
      <c r="D60" s="17" t="s">
        <v>148</v>
      </c>
      <c r="E60" s="17"/>
      <c r="F60" s="17"/>
      <c r="G60" s="16" t="s">
        <v>536</v>
      </c>
      <c r="H60" s="17"/>
      <c r="I60" s="17"/>
      <c r="J60" s="17"/>
      <c r="K60" s="17"/>
      <c r="L60" s="17"/>
      <c r="M60" s="17"/>
      <c r="N60" s="17"/>
      <c r="O60" s="17"/>
      <c r="P60" s="16" t="s">
        <v>315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6.8">
      <c r="A61" s="17"/>
      <c r="B61" s="17"/>
      <c r="C61" s="17"/>
      <c r="D61" s="17" t="s">
        <v>148</v>
      </c>
      <c r="E61" s="17"/>
      <c r="F61" s="17"/>
      <c r="G61" s="16" t="s">
        <v>537</v>
      </c>
      <c r="H61" s="17"/>
      <c r="I61" s="17"/>
      <c r="J61" s="17"/>
      <c r="K61" s="17"/>
      <c r="L61" s="17"/>
      <c r="M61" s="17"/>
      <c r="N61" s="17"/>
      <c r="O61" s="17"/>
      <c r="P61" s="16" t="s">
        <v>315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6.8">
      <c r="A62" s="17"/>
      <c r="B62" s="17"/>
      <c r="C62" s="17"/>
      <c r="D62" s="17" t="s">
        <v>148</v>
      </c>
      <c r="E62" s="17"/>
      <c r="F62" s="17"/>
      <c r="G62" s="16" t="s">
        <v>538</v>
      </c>
      <c r="H62" s="17"/>
      <c r="I62" s="17"/>
      <c r="J62" s="17"/>
      <c r="K62" s="17"/>
      <c r="L62" s="17"/>
      <c r="M62" s="17"/>
      <c r="N62" s="17"/>
      <c r="O62" s="17"/>
      <c r="P62" s="16" t="s">
        <v>315</v>
      </c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6.8">
      <c r="A63" s="17"/>
      <c r="B63" s="17"/>
      <c r="C63" s="17"/>
      <c r="D63" s="17" t="s">
        <v>148</v>
      </c>
      <c r="E63" s="17"/>
      <c r="F63" s="17"/>
      <c r="G63" s="16" t="s">
        <v>539</v>
      </c>
      <c r="H63" s="17"/>
      <c r="I63" s="17"/>
      <c r="J63" s="17"/>
      <c r="K63" s="17"/>
      <c r="L63" s="17"/>
      <c r="M63" s="17"/>
      <c r="N63" s="17"/>
      <c r="O63" s="17"/>
      <c r="P63" s="16" t="s">
        <v>315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6.8">
      <c r="A64" s="17"/>
      <c r="B64" s="17"/>
      <c r="C64" s="17"/>
      <c r="D64" s="17" t="s">
        <v>148</v>
      </c>
      <c r="E64" s="17"/>
      <c r="F64" s="17"/>
      <c r="G64" s="16" t="s">
        <v>540</v>
      </c>
      <c r="H64" s="17"/>
      <c r="I64" s="17"/>
      <c r="J64" s="17"/>
      <c r="K64" s="17"/>
      <c r="L64" s="17"/>
      <c r="M64" s="17"/>
      <c r="N64" s="17"/>
      <c r="O64" s="17"/>
      <c r="P64" s="16" t="s">
        <v>204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6.8">
      <c r="A65" s="17"/>
      <c r="B65" s="17"/>
      <c r="C65" s="17"/>
      <c r="D65" s="17" t="s">
        <v>148</v>
      </c>
      <c r="E65" s="17"/>
      <c r="F65" s="17"/>
      <c r="G65" s="16" t="s">
        <v>541</v>
      </c>
      <c r="H65" s="17"/>
      <c r="I65" s="17"/>
      <c r="J65" s="17"/>
      <c r="K65" s="17"/>
      <c r="L65" s="17"/>
      <c r="M65" s="17"/>
      <c r="N65" s="17"/>
      <c r="O65" s="17"/>
      <c r="P65" s="16" t="s">
        <v>204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6.8">
      <c r="A66" s="17"/>
      <c r="B66" s="17"/>
      <c r="C66" s="17"/>
      <c r="D66" s="17" t="s">
        <v>148</v>
      </c>
      <c r="E66" s="17"/>
      <c r="F66" s="17"/>
      <c r="G66" s="16" t="s">
        <v>542</v>
      </c>
      <c r="H66" s="17"/>
      <c r="I66" s="17"/>
      <c r="J66" s="17"/>
      <c r="K66" s="17"/>
      <c r="L66" s="17"/>
      <c r="M66" s="17"/>
      <c r="N66" s="17"/>
      <c r="O66" s="17"/>
      <c r="P66" s="16" t="s">
        <v>204</v>
      </c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6.8">
      <c r="A67" s="17"/>
      <c r="B67" s="17"/>
      <c r="C67" s="17"/>
      <c r="D67" s="17" t="s">
        <v>148</v>
      </c>
      <c r="E67" s="17"/>
      <c r="F67" s="17"/>
      <c r="G67" s="16" t="s">
        <v>543</v>
      </c>
      <c r="H67" s="17"/>
      <c r="I67" s="17"/>
      <c r="J67" s="17"/>
      <c r="K67" s="17"/>
      <c r="L67" s="17"/>
      <c r="M67" s="17"/>
      <c r="N67" s="17"/>
      <c r="O67" s="17"/>
      <c r="P67" s="16" t="s">
        <v>204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6.8">
      <c r="A68" s="17"/>
      <c r="B68" s="17"/>
      <c r="C68" s="17"/>
      <c r="D68" s="17" t="s">
        <v>148</v>
      </c>
      <c r="E68" s="17"/>
      <c r="F68" s="17"/>
      <c r="G68" s="16" t="s">
        <v>544</v>
      </c>
      <c r="H68" s="17"/>
      <c r="I68" s="17"/>
      <c r="J68" s="17"/>
      <c r="K68" s="17"/>
      <c r="L68" s="17"/>
      <c r="M68" s="17"/>
      <c r="N68" s="17"/>
      <c r="O68" s="17"/>
      <c r="P68" s="16" t="s">
        <v>204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6.8">
      <c r="A69" s="17"/>
      <c r="B69" s="17"/>
      <c r="C69" s="17"/>
      <c r="D69" s="17" t="s">
        <v>148</v>
      </c>
      <c r="E69" s="17"/>
      <c r="F69" s="17"/>
      <c r="G69" s="16" t="s">
        <v>545</v>
      </c>
      <c r="H69" s="17"/>
      <c r="I69" s="17"/>
      <c r="J69" s="17"/>
      <c r="K69" s="17"/>
      <c r="L69" s="17"/>
      <c r="M69" s="17"/>
      <c r="N69" s="17"/>
      <c r="O69" s="17"/>
      <c r="P69" s="16" t="s">
        <v>204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6.8">
      <c r="A70" s="17"/>
      <c r="B70" s="17"/>
      <c r="C70" s="17"/>
      <c r="D70" s="17" t="s">
        <v>148</v>
      </c>
      <c r="E70" s="17"/>
      <c r="F70" s="17"/>
      <c r="G70" s="16" t="s">
        <v>546</v>
      </c>
      <c r="H70" s="17"/>
      <c r="I70" s="17"/>
      <c r="J70" s="17"/>
      <c r="K70" s="17"/>
      <c r="L70" s="17"/>
      <c r="M70" s="17"/>
      <c r="N70" s="17"/>
      <c r="O70" s="17"/>
      <c r="P70" s="16" t="s">
        <v>204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6.8">
      <c r="A71" s="17"/>
      <c r="B71" s="17"/>
      <c r="C71" s="17"/>
      <c r="D71" s="17" t="s">
        <v>148</v>
      </c>
      <c r="E71" s="17"/>
      <c r="F71" s="17"/>
      <c r="G71" s="16" t="s">
        <v>547</v>
      </c>
      <c r="H71" s="17"/>
      <c r="I71" s="17"/>
      <c r="J71" s="17"/>
      <c r="K71" s="17"/>
      <c r="L71" s="17"/>
      <c r="M71" s="17"/>
      <c r="N71" s="17"/>
      <c r="O71" s="17"/>
      <c r="P71" s="16" t="s">
        <v>204</v>
      </c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6.8">
      <c r="A72" s="17"/>
      <c r="B72" s="17"/>
      <c r="C72" s="17"/>
      <c r="D72" s="17" t="s">
        <v>148</v>
      </c>
      <c r="E72" s="17"/>
      <c r="F72" s="17"/>
      <c r="G72" s="16" t="s">
        <v>548</v>
      </c>
      <c r="H72" s="17"/>
      <c r="I72" s="17"/>
      <c r="J72" s="17"/>
      <c r="K72" s="17"/>
      <c r="L72" s="17"/>
      <c r="M72" s="17"/>
      <c r="N72" s="17"/>
      <c r="O72" s="17"/>
      <c r="P72" s="16" t="s">
        <v>204</v>
      </c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6.8">
      <c r="A73" s="17"/>
      <c r="B73" s="17"/>
      <c r="C73" s="17"/>
      <c r="D73" s="17" t="s">
        <v>148</v>
      </c>
      <c r="E73" s="17"/>
      <c r="F73" s="17"/>
      <c r="G73" s="16" t="s">
        <v>549</v>
      </c>
      <c r="H73" s="17"/>
      <c r="I73" s="17"/>
      <c r="J73" s="17"/>
      <c r="K73" s="17"/>
      <c r="L73" s="17"/>
      <c r="M73" s="17"/>
      <c r="N73" s="17"/>
      <c r="O73" s="17"/>
      <c r="P73" s="16" t="s">
        <v>204</v>
      </c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6.8">
      <c r="A74" s="17"/>
      <c r="B74" s="17"/>
      <c r="C74" s="17"/>
      <c r="D74" s="17" t="s">
        <v>148</v>
      </c>
      <c r="E74" s="17"/>
      <c r="F74" s="17"/>
      <c r="G74" s="12" t="s">
        <v>550</v>
      </c>
      <c r="H74" s="17"/>
      <c r="I74" s="17"/>
      <c r="J74" s="17"/>
      <c r="K74" s="17"/>
      <c r="L74" s="17"/>
      <c r="M74" s="17"/>
      <c r="N74" s="17"/>
      <c r="O74" s="17"/>
      <c r="P74" s="16" t="s">
        <v>204</v>
      </c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6.8">
      <c r="A75" s="17"/>
      <c r="B75" s="17"/>
      <c r="C75" s="17"/>
      <c r="D75" s="17" t="s">
        <v>148</v>
      </c>
      <c r="E75" s="17"/>
      <c r="F75" s="17"/>
      <c r="G75" s="12" t="s">
        <v>551</v>
      </c>
      <c r="H75" s="17"/>
      <c r="I75" s="17"/>
      <c r="J75" s="17"/>
      <c r="K75" s="17"/>
      <c r="L75" s="17"/>
      <c r="M75" s="17"/>
      <c r="N75" s="17"/>
      <c r="O75" s="17"/>
      <c r="P75" s="16" t="s">
        <v>204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6.8">
      <c r="A76" s="17"/>
      <c r="B76" s="17"/>
      <c r="C76" s="17"/>
      <c r="D76" s="17" t="s">
        <v>148</v>
      </c>
      <c r="E76" s="17"/>
      <c r="F76" s="17"/>
      <c r="G76" s="12" t="s">
        <v>552</v>
      </c>
      <c r="H76" s="17"/>
      <c r="I76" s="17"/>
      <c r="J76" s="17"/>
      <c r="K76" s="17"/>
      <c r="L76" s="17"/>
      <c r="M76" s="17"/>
      <c r="N76" s="17"/>
      <c r="O76" s="17"/>
      <c r="P76" s="16" t="s">
        <v>204</v>
      </c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6.8">
      <c r="A77" s="17"/>
      <c r="B77" s="17"/>
      <c r="C77" s="17"/>
      <c r="D77" s="17" t="s">
        <v>148</v>
      </c>
      <c r="E77" s="17"/>
      <c r="F77" s="17"/>
      <c r="G77" s="12" t="s">
        <v>553</v>
      </c>
      <c r="H77" s="17"/>
      <c r="I77" s="17"/>
      <c r="J77" s="17"/>
      <c r="K77" s="17"/>
      <c r="L77" s="17"/>
      <c r="M77" s="17"/>
      <c r="N77" s="17"/>
      <c r="O77" s="17"/>
      <c r="P77" s="16" t="s">
        <v>204</v>
      </c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6.8">
      <c r="A78" s="17"/>
      <c r="B78" s="17"/>
      <c r="C78" s="17"/>
      <c r="D78" s="17" t="s">
        <v>148</v>
      </c>
      <c r="E78" s="17"/>
      <c r="F78" s="17"/>
      <c r="G78" s="39" t="s">
        <v>554</v>
      </c>
      <c r="H78" s="17"/>
      <c r="I78" s="17"/>
      <c r="J78" s="17"/>
      <c r="K78" s="17"/>
      <c r="L78" s="17"/>
      <c r="M78" s="17"/>
      <c r="N78" s="17"/>
      <c r="O78" s="17"/>
      <c r="P78" s="39" t="s">
        <v>204</v>
      </c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6.8">
      <c r="A79" s="17"/>
      <c r="B79" s="17"/>
      <c r="C79" s="17"/>
      <c r="D79" s="17" t="s">
        <v>148</v>
      </c>
      <c r="E79" s="17"/>
      <c r="F79" s="17"/>
      <c r="G79" s="39" t="s">
        <v>555</v>
      </c>
      <c r="H79" s="17"/>
      <c r="I79" s="17"/>
      <c r="J79" s="17"/>
      <c r="K79" s="17"/>
      <c r="L79" s="17"/>
      <c r="M79" s="17"/>
      <c r="N79" s="17"/>
      <c r="O79" s="17"/>
      <c r="P79" s="39" t="s">
        <v>204</v>
      </c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6.8">
      <c r="A80" s="17"/>
      <c r="B80" s="17"/>
      <c r="C80" s="17"/>
      <c r="D80" s="17" t="s">
        <v>148</v>
      </c>
      <c r="E80" s="17"/>
      <c r="F80" s="17"/>
      <c r="G80" s="39" t="s">
        <v>556</v>
      </c>
      <c r="H80" s="17"/>
      <c r="I80" s="17"/>
      <c r="J80" s="17"/>
      <c r="K80" s="17"/>
      <c r="L80" s="17"/>
      <c r="M80" s="17"/>
      <c r="N80" s="17"/>
      <c r="O80" s="17"/>
      <c r="P80" s="39" t="s">
        <v>204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6.8">
      <c r="A81" s="17"/>
      <c r="B81" s="17"/>
      <c r="C81" s="17"/>
      <c r="D81" s="17" t="s">
        <v>148</v>
      </c>
      <c r="E81" s="17"/>
      <c r="F81" s="17"/>
      <c r="G81" s="16" t="s">
        <v>557</v>
      </c>
      <c r="H81" s="17"/>
      <c r="I81" s="17"/>
      <c r="J81" s="17"/>
      <c r="K81" s="17"/>
      <c r="L81" s="17"/>
      <c r="M81" s="17"/>
      <c r="N81" s="17"/>
      <c r="O81" s="17"/>
      <c r="P81" s="16" t="s">
        <v>204</v>
      </c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6.8">
      <c r="A82" s="17"/>
      <c r="B82" s="17"/>
      <c r="C82" s="17"/>
      <c r="D82" s="17" t="s">
        <v>148</v>
      </c>
      <c r="E82" s="17"/>
      <c r="F82" s="17"/>
      <c r="G82" s="16" t="s">
        <v>558</v>
      </c>
      <c r="H82" s="17"/>
      <c r="I82" s="17"/>
      <c r="J82" s="17"/>
      <c r="K82" s="17"/>
      <c r="L82" s="17"/>
      <c r="M82" s="17"/>
      <c r="N82" s="17"/>
      <c r="O82" s="17"/>
      <c r="P82" s="16" t="s">
        <v>204</v>
      </c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6.8">
      <c r="A83" s="17"/>
      <c r="B83" s="17"/>
      <c r="C83" s="17"/>
      <c r="D83" s="17" t="s">
        <v>148</v>
      </c>
      <c r="E83" s="17"/>
      <c r="F83" s="17"/>
      <c r="G83" s="16" t="s">
        <v>559</v>
      </c>
      <c r="H83" s="17"/>
      <c r="I83" s="17"/>
      <c r="J83" s="17"/>
      <c r="K83" s="17"/>
      <c r="L83" s="17"/>
      <c r="M83" s="17"/>
      <c r="N83" s="17"/>
      <c r="O83" s="17"/>
      <c r="P83" s="16" t="s">
        <v>204</v>
      </c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6.8">
      <c r="A84" s="17"/>
      <c r="B84" s="17"/>
      <c r="C84" s="17"/>
      <c r="D84" s="17" t="s">
        <v>148</v>
      </c>
      <c r="E84" s="17"/>
      <c r="F84" s="17"/>
      <c r="G84" s="16" t="s">
        <v>560</v>
      </c>
      <c r="H84" s="17"/>
      <c r="I84" s="17"/>
      <c r="J84" s="17"/>
      <c r="K84" s="17"/>
      <c r="L84" s="17"/>
      <c r="M84" s="17"/>
      <c r="N84" s="17"/>
      <c r="O84" s="17"/>
      <c r="P84" s="16" t="s">
        <v>204</v>
      </c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6.8">
      <c r="A85" s="17"/>
      <c r="B85" s="17"/>
      <c r="C85" s="17"/>
      <c r="D85" s="17" t="s">
        <v>148</v>
      </c>
      <c r="E85" s="17"/>
      <c r="F85" s="17"/>
      <c r="G85" s="16" t="s">
        <v>561</v>
      </c>
      <c r="H85" s="17"/>
      <c r="I85" s="17"/>
      <c r="J85" s="17"/>
      <c r="K85" s="17"/>
      <c r="L85" s="17"/>
      <c r="M85" s="17"/>
      <c r="N85" s="17"/>
      <c r="O85" s="17"/>
      <c r="P85" s="16" t="s">
        <v>204</v>
      </c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6.8">
      <c r="A86" s="17"/>
      <c r="B86" s="17"/>
      <c r="C86" s="17"/>
      <c r="D86" s="17" t="s">
        <v>148</v>
      </c>
      <c r="E86" s="17"/>
      <c r="F86" s="17"/>
      <c r="G86" s="16" t="s">
        <v>562</v>
      </c>
      <c r="H86" s="17"/>
      <c r="I86" s="17"/>
      <c r="J86" s="17"/>
      <c r="K86" s="17"/>
      <c r="L86" s="17"/>
      <c r="M86" s="17"/>
      <c r="N86" s="17"/>
      <c r="O86" s="17"/>
      <c r="P86" s="16" t="s">
        <v>204</v>
      </c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6.8">
      <c r="A87" s="17"/>
      <c r="B87" s="17"/>
      <c r="C87" s="17"/>
      <c r="D87" s="17" t="s">
        <v>148</v>
      </c>
      <c r="E87" s="17"/>
      <c r="F87" s="17"/>
      <c r="G87" s="16" t="s">
        <v>563</v>
      </c>
      <c r="H87" s="17"/>
      <c r="I87" s="17"/>
      <c r="J87" s="17"/>
      <c r="K87" s="17"/>
      <c r="L87" s="17"/>
      <c r="M87" s="17"/>
      <c r="N87" s="17"/>
      <c r="O87" s="17"/>
      <c r="P87" s="16" t="s">
        <v>204</v>
      </c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6.8">
      <c r="A88" s="17"/>
      <c r="B88" s="17"/>
      <c r="C88" s="17"/>
      <c r="D88" s="17" t="s">
        <v>148</v>
      </c>
      <c r="E88" s="17"/>
      <c r="F88" s="17"/>
      <c r="G88" s="16" t="s">
        <v>564</v>
      </c>
      <c r="H88" s="17"/>
      <c r="I88" s="17"/>
      <c r="J88" s="17"/>
      <c r="K88" s="17"/>
      <c r="L88" s="17"/>
      <c r="M88" s="17"/>
      <c r="N88" s="17"/>
      <c r="O88" s="17"/>
      <c r="P88" s="16" t="s">
        <v>204</v>
      </c>
      <c r="Q88" s="17"/>
      <c r="R88" s="17"/>
      <c r="S88" s="17"/>
      <c r="T88" s="17"/>
      <c r="U88" s="17"/>
      <c r="V88" s="17"/>
      <c r="W88" s="17"/>
      <c r="X88" s="17"/>
      <c r="Y88" s="17"/>
      <c r="Z88" s="17"/>
    </row>
  </sheetData>
  <phoneticPr fontId="29" type="noConversion"/>
  <conditionalFormatting sqref="F1">
    <cfRule type="duplicateValues" dxfId="10" priority="1"/>
  </conditionalFormatting>
  <conditionalFormatting sqref="G1">
    <cfRule type="duplicateValues" priority="2"/>
  </conditionalFormatting>
  <conditionalFormatting sqref="Z1">
    <cfRule type="cellIs" dxfId="9" priority="3" operator="equal">
      <formula>"Y"</formula>
    </cfRule>
    <cfRule type="cellIs" dxfId="8" priority="4" operator="equal">
      <formula>"N"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2049-02F1-49C0-B081-5121183CCF36}">
  <dimension ref="A1:AB91"/>
  <sheetViews>
    <sheetView zoomScale="70" zoomScaleNormal="70" workbookViewId="0">
      <pane ySplit="1" topLeftCell="A60" activePane="bottomLeft" state="frozen"/>
      <selection pane="bottomLeft" activeCell="G13" sqref="G13"/>
    </sheetView>
  </sheetViews>
  <sheetFormatPr defaultRowHeight="13.8"/>
  <cols>
    <col min="1" max="1" width="3.5546875" bestFit="1" customWidth="1"/>
    <col min="2" max="2" width="12.6640625" bestFit="1" customWidth="1"/>
    <col min="3" max="3" width="9.5546875" customWidth="1"/>
    <col min="4" max="4" width="9.33203125" bestFit="1" customWidth="1"/>
    <col min="5" max="5" width="11.88671875" bestFit="1" customWidth="1"/>
    <col min="6" max="6" width="18" bestFit="1" customWidth="1"/>
    <col min="7" max="7" width="37.44140625" bestFit="1" customWidth="1"/>
    <col min="8" max="8" width="11" bestFit="1" customWidth="1"/>
    <col min="9" max="9" width="17" bestFit="1" customWidth="1"/>
    <col min="10" max="10" width="29" bestFit="1" customWidth="1"/>
    <col min="11" max="11" width="17.88671875" bestFit="1" customWidth="1"/>
    <col min="12" max="12" width="32.109375" hidden="1" customWidth="1"/>
    <col min="13" max="13" width="17" hidden="1" customWidth="1"/>
    <col min="14" max="14" width="10.109375" hidden="1" customWidth="1"/>
    <col min="15" max="15" width="11" hidden="1" customWidth="1"/>
    <col min="16" max="16" width="29" bestFit="1" customWidth="1"/>
    <col min="17" max="17" width="4.44140625" bestFit="1" customWidth="1"/>
    <col min="18" max="18" width="4.6640625" bestFit="1" customWidth="1"/>
    <col min="19" max="20" width="6.5546875" bestFit="1" customWidth="1"/>
    <col min="21" max="21" width="12" bestFit="1" customWidth="1"/>
    <col min="22" max="22" width="4.6640625" bestFit="1" customWidth="1"/>
    <col min="23" max="23" width="13.33203125" bestFit="1" customWidth="1"/>
    <col min="24" max="24" width="9.6640625" bestFit="1" customWidth="1"/>
    <col min="25" max="25" width="8.33203125" bestFit="1" customWidth="1"/>
    <col min="26" max="26" width="12.33203125" bestFit="1" customWidth="1"/>
  </cols>
  <sheetData>
    <row r="1" spans="1:28" ht="15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10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  <c r="M1" s="9" t="s">
        <v>60</v>
      </c>
      <c r="N1" s="9" t="s">
        <v>61</v>
      </c>
      <c r="O1" s="9" t="s">
        <v>62</v>
      </c>
      <c r="P1" s="9" t="s">
        <v>63</v>
      </c>
      <c r="Q1" s="9" t="s">
        <v>64</v>
      </c>
      <c r="R1" s="9" t="s">
        <v>65</v>
      </c>
      <c r="S1" s="9" t="s">
        <v>66</v>
      </c>
      <c r="T1" s="9" t="s">
        <v>67</v>
      </c>
      <c r="U1" s="9" t="s">
        <v>68</v>
      </c>
      <c r="V1" s="9" t="s">
        <v>69</v>
      </c>
      <c r="W1" s="9" t="s">
        <v>70</v>
      </c>
      <c r="X1" s="9" t="s">
        <v>71</v>
      </c>
      <c r="Y1" s="9" t="s">
        <v>72</v>
      </c>
      <c r="Z1" s="9" t="s">
        <v>74</v>
      </c>
      <c r="AA1" s="4"/>
      <c r="AB1" s="4"/>
    </row>
    <row r="2" spans="1:28" s="18" customFormat="1" ht="18" customHeight="1">
      <c r="A2" s="15"/>
      <c r="B2" s="15" t="s">
        <v>565</v>
      </c>
      <c r="C2" s="15"/>
      <c r="D2" s="15" t="s">
        <v>75</v>
      </c>
      <c r="E2" s="15"/>
      <c r="F2" s="15"/>
      <c r="G2" s="15" t="s">
        <v>566</v>
      </c>
      <c r="H2" s="15"/>
      <c r="I2" s="15"/>
      <c r="J2" s="15"/>
      <c r="K2" s="15"/>
      <c r="L2" s="15"/>
      <c r="M2" s="15"/>
      <c r="N2" s="15"/>
      <c r="O2" s="15"/>
      <c r="P2" s="15" t="s">
        <v>202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8" s="18" customFormat="1" ht="18" customHeight="1">
      <c r="A3" s="15"/>
      <c r="B3" s="15" t="s">
        <v>565</v>
      </c>
      <c r="C3" s="15"/>
      <c r="D3" s="15" t="s">
        <v>75</v>
      </c>
      <c r="E3" s="15"/>
      <c r="F3" s="15"/>
      <c r="G3" s="15" t="s">
        <v>567</v>
      </c>
      <c r="H3" s="15"/>
      <c r="I3" s="15"/>
      <c r="J3" s="15"/>
      <c r="K3" s="15"/>
      <c r="L3" s="15"/>
      <c r="M3" s="15"/>
      <c r="N3" s="15"/>
      <c r="O3" s="15"/>
      <c r="P3" s="15" t="s">
        <v>202</v>
      </c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8" s="18" customFormat="1" ht="18" customHeight="1">
      <c r="A4" s="15"/>
      <c r="B4" s="15" t="s">
        <v>565</v>
      </c>
      <c r="C4" s="15"/>
      <c r="D4" s="15" t="s">
        <v>75</v>
      </c>
      <c r="E4" s="15"/>
      <c r="F4" s="15"/>
      <c r="G4" s="15" t="s">
        <v>568</v>
      </c>
      <c r="H4" s="15"/>
      <c r="I4" s="15"/>
      <c r="J4" s="15"/>
      <c r="K4" s="15"/>
      <c r="L4" s="15"/>
      <c r="M4" s="15"/>
      <c r="N4" s="15"/>
      <c r="O4" s="15"/>
      <c r="P4" s="15" t="s">
        <v>202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8" s="18" customFormat="1" ht="18" customHeight="1">
      <c r="A5" s="15"/>
      <c r="B5" s="15" t="s">
        <v>569</v>
      </c>
      <c r="C5" s="15"/>
      <c r="D5" s="15" t="s">
        <v>75</v>
      </c>
      <c r="E5" s="15"/>
      <c r="F5" s="15"/>
      <c r="G5" s="15" t="s">
        <v>570</v>
      </c>
      <c r="H5" s="15"/>
      <c r="I5" s="15"/>
      <c r="J5" s="15"/>
      <c r="K5" s="15"/>
      <c r="L5" s="15"/>
      <c r="M5" s="15"/>
      <c r="N5" s="15"/>
      <c r="O5" s="15"/>
      <c r="P5" s="15" t="s">
        <v>202</v>
      </c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8" s="18" customFormat="1" ht="18" customHeight="1">
      <c r="A6" s="15"/>
      <c r="B6" s="15" t="s">
        <v>565</v>
      </c>
      <c r="C6" s="15"/>
      <c r="D6" s="15" t="s">
        <v>75</v>
      </c>
      <c r="E6" s="15"/>
      <c r="F6" s="15"/>
      <c r="G6" s="15" t="s">
        <v>571</v>
      </c>
      <c r="H6" s="15"/>
      <c r="I6" s="15"/>
      <c r="J6" s="15"/>
      <c r="K6" s="15"/>
      <c r="L6" s="15"/>
      <c r="M6" s="15"/>
      <c r="N6" s="15"/>
      <c r="O6" s="15"/>
      <c r="P6" s="15" t="s">
        <v>164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8" s="18" customFormat="1" ht="18" customHeight="1">
      <c r="A7" s="15"/>
      <c r="B7" s="15" t="s">
        <v>565</v>
      </c>
      <c r="C7" s="15"/>
      <c r="D7" s="15" t="s">
        <v>75</v>
      </c>
      <c r="E7" s="15"/>
      <c r="F7" s="15"/>
      <c r="G7" s="15" t="s">
        <v>572</v>
      </c>
      <c r="H7" s="15"/>
      <c r="I7" s="15"/>
      <c r="J7" s="15"/>
      <c r="K7" s="15"/>
      <c r="L7" s="15"/>
      <c r="M7" s="15"/>
      <c r="N7" s="15"/>
      <c r="O7" s="15"/>
      <c r="P7" s="15" t="s">
        <v>164</v>
      </c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8" s="18" customFormat="1" ht="18" customHeight="1">
      <c r="A8" s="15"/>
      <c r="B8" s="15" t="s">
        <v>565</v>
      </c>
      <c r="C8" s="15"/>
      <c r="D8" s="15" t="s">
        <v>75</v>
      </c>
      <c r="E8" s="15"/>
      <c r="F8" s="15"/>
      <c r="G8" s="15" t="s">
        <v>573</v>
      </c>
      <c r="H8" s="15"/>
      <c r="I8" s="15"/>
      <c r="J8" s="15"/>
      <c r="K8" s="15"/>
      <c r="L8" s="15"/>
      <c r="M8" s="15"/>
      <c r="N8" s="15"/>
      <c r="O8" s="15"/>
      <c r="P8" s="15" t="s">
        <v>164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8" s="18" customFormat="1" ht="18" customHeight="1">
      <c r="A9" s="15"/>
      <c r="B9" s="15" t="s">
        <v>574</v>
      </c>
      <c r="C9" s="15"/>
      <c r="D9" s="15" t="s">
        <v>75</v>
      </c>
      <c r="E9" s="15"/>
      <c r="F9" s="15"/>
      <c r="G9" s="15" t="s">
        <v>575</v>
      </c>
      <c r="H9" s="15"/>
      <c r="I9" s="15"/>
      <c r="J9" s="15"/>
      <c r="K9" s="15"/>
      <c r="L9" s="15"/>
      <c r="M9" s="15"/>
      <c r="N9" s="15"/>
      <c r="O9" s="15"/>
      <c r="P9" s="15" t="s">
        <v>155</v>
      </c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8" ht="18" customHeight="1">
      <c r="A10" s="17"/>
      <c r="B10" s="15" t="s">
        <v>574</v>
      </c>
      <c r="C10" s="17"/>
      <c r="D10" s="17" t="s">
        <v>75</v>
      </c>
      <c r="E10" s="17"/>
      <c r="F10" s="17"/>
      <c r="G10" s="15" t="s">
        <v>576</v>
      </c>
      <c r="H10" s="17"/>
      <c r="I10" s="15"/>
      <c r="J10" s="15"/>
      <c r="K10" s="17"/>
      <c r="L10" s="15"/>
      <c r="M10" s="17"/>
      <c r="N10" s="17"/>
      <c r="O10" s="17"/>
      <c r="P10" s="15" t="s">
        <v>577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8" ht="18" customHeight="1">
      <c r="A11" s="17"/>
      <c r="B11" s="15" t="s">
        <v>574</v>
      </c>
      <c r="C11" s="17"/>
      <c r="D11" s="17" t="s">
        <v>75</v>
      </c>
      <c r="E11" s="17"/>
      <c r="F11" s="17"/>
      <c r="G11" s="15" t="s">
        <v>578</v>
      </c>
      <c r="H11" s="17"/>
      <c r="I11" s="15"/>
      <c r="J11" s="15"/>
      <c r="K11" s="17"/>
      <c r="L11" s="15"/>
      <c r="M11" s="17"/>
      <c r="N11" s="17"/>
      <c r="O11" s="17"/>
      <c r="P11" s="15" t="s">
        <v>477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8" ht="18" customHeight="1">
      <c r="A12" s="17"/>
      <c r="B12" s="15" t="s">
        <v>579</v>
      </c>
      <c r="C12" s="17"/>
      <c r="D12" s="17" t="s">
        <v>75</v>
      </c>
      <c r="E12" s="17"/>
      <c r="F12" s="17"/>
      <c r="G12" s="15" t="s">
        <v>580</v>
      </c>
      <c r="H12" s="17"/>
      <c r="I12" s="15"/>
      <c r="J12" s="15"/>
      <c r="K12" s="17"/>
      <c r="L12" s="15"/>
      <c r="M12" s="17"/>
      <c r="N12" s="17"/>
      <c r="O12" s="17"/>
      <c r="P12" s="15" t="s">
        <v>581</v>
      </c>
      <c r="Q12" s="17"/>
      <c r="R12" s="17"/>
      <c r="S12" s="17"/>
      <c r="T12" s="17"/>
      <c r="U12" s="17"/>
      <c r="V12" s="17"/>
      <c r="W12" s="17"/>
      <c r="X12" s="17" t="s">
        <v>582</v>
      </c>
      <c r="Y12" s="17"/>
      <c r="Z12" s="17"/>
    </row>
    <row r="13" spans="1:28" ht="18" customHeight="1">
      <c r="A13" s="17"/>
      <c r="B13" s="15" t="s">
        <v>579</v>
      </c>
      <c r="C13" s="17"/>
      <c r="D13" s="17" t="s">
        <v>75</v>
      </c>
      <c r="E13" s="17"/>
      <c r="F13" s="17"/>
      <c r="G13" s="15" t="s">
        <v>583</v>
      </c>
      <c r="H13" s="17"/>
      <c r="I13" s="15"/>
      <c r="J13" s="15"/>
      <c r="K13" s="17"/>
      <c r="L13" s="15"/>
      <c r="M13" s="17"/>
      <c r="N13" s="17"/>
      <c r="O13" s="17"/>
      <c r="P13" s="15" t="s">
        <v>315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8" ht="18" customHeight="1">
      <c r="A14" s="17"/>
      <c r="B14" s="15" t="s">
        <v>579</v>
      </c>
      <c r="C14" s="17"/>
      <c r="D14" s="17" t="s">
        <v>75</v>
      </c>
      <c r="E14" s="17"/>
      <c r="F14" s="17"/>
      <c r="G14" s="15" t="s">
        <v>584</v>
      </c>
      <c r="H14" s="17"/>
      <c r="I14" s="15"/>
      <c r="J14" s="17"/>
      <c r="K14" s="17"/>
      <c r="L14" s="15"/>
      <c r="M14" s="17"/>
      <c r="N14" s="17"/>
      <c r="O14" s="17"/>
      <c r="P14" s="17" t="s">
        <v>155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8" ht="18" customHeight="1">
      <c r="A15" s="17"/>
      <c r="B15" s="15" t="s">
        <v>579</v>
      </c>
      <c r="C15" s="17"/>
      <c r="D15" s="17" t="s">
        <v>75</v>
      </c>
      <c r="E15" s="17"/>
      <c r="F15" s="17"/>
      <c r="G15" s="15" t="s">
        <v>585</v>
      </c>
      <c r="H15" s="17"/>
      <c r="I15" s="15"/>
      <c r="J15" s="17"/>
      <c r="K15" s="17"/>
      <c r="L15" s="15"/>
      <c r="M15" s="17"/>
      <c r="N15" s="17"/>
      <c r="O15" s="17"/>
      <c r="P15" s="17" t="s">
        <v>150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8" ht="18" customHeight="1">
      <c r="A16" s="17"/>
      <c r="B16" s="15" t="s">
        <v>586</v>
      </c>
      <c r="C16" s="17"/>
      <c r="D16" s="17" t="s">
        <v>75</v>
      </c>
      <c r="E16" s="17"/>
      <c r="F16" s="17"/>
      <c r="G16" s="15" t="s">
        <v>587</v>
      </c>
      <c r="H16" s="17"/>
      <c r="I16" s="15"/>
      <c r="J16" s="15"/>
      <c r="K16" s="17"/>
      <c r="L16" s="15"/>
      <c r="M16" s="17"/>
      <c r="N16" s="17"/>
      <c r="O16" s="17"/>
      <c r="P16" s="15" t="s">
        <v>315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8" customHeight="1">
      <c r="A17" s="17"/>
      <c r="B17" s="15" t="s">
        <v>586</v>
      </c>
      <c r="C17" s="17"/>
      <c r="D17" s="17" t="s">
        <v>75</v>
      </c>
      <c r="E17" s="17"/>
      <c r="F17" s="17"/>
      <c r="G17" s="15" t="s">
        <v>588</v>
      </c>
      <c r="H17" s="17"/>
      <c r="I17" s="15"/>
      <c r="J17" s="15"/>
      <c r="K17" s="17"/>
      <c r="L17" s="15"/>
      <c r="M17" s="17"/>
      <c r="N17" s="17"/>
      <c r="O17" s="17"/>
      <c r="P17" s="15" t="s">
        <v>339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8" customHeight="1">
      <c r="A18" s="17"/>
      <c r="B18" s="15" t="s">
        <v>586</v>
      </c>
      <c r="C18" s="17"/>
      <c r="D18" s="17" t="s">
        <v>75</v>
      </c>
      <c r="E18" s="17"/>
      <c r="F18" s="17"/>
      <c r="G18" s="15" t="s">
        <v>589</v>
      </c>
      <c r="H18" s="17"/>
      <c r="I18" s="17"/>
      <c r="J18" s="15"/>
      <c r="K18" s="17"/>
      <c r="L18" s="15"/>
      <c r="M18" s="17"/>
      <c r="N18" s="17"/>
      <c r="O18" s="17"/>
      <c r="P18" s="15" t="s">
        <v>590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8" customHeight="1">
      <c r="A19" s="17"/>
      <c r="B19" s="15" t="s">
        <v>586</v>
      </c>
      <c r="C19" s="17"/>
      <c r="D19" s="17" t="s">
        <v>75</v>
      </c>
      <c r="E19" s="17"/>
      <c r="F19" s="17"/>
      <c r="G19" s="15" t="s">
        <v>591</v>
      </c>
      <c r="H19" s="17"/>
      <c r="I19" s="17"/>
      <c r="J19" s="15"/>
      <c r="K19" s="17"/>
      <c r="L19" s="15"/>
      <c r="M19" s="17"/>
      <c r="N19" s="17"/>
      <c r="O19" s="17"/>
      <c r="P19" s="15" t="s">
        <v>204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8" customHeight="1">
      <c r="A20" s="17"/>
      <c r="B20" s="15" t="s">
        <v>592</v>
      </c>
      <c r="C20" s="17"/>
      <c r="D20" s="17" t="s">
        <v>75</v>
      </c>
      <c r="E20" s="17"/>
      <c r="F20" s="17"/>
      <c r="G20" s="15" t="s">
        <v>593</v>
      </c>
      <c r="H20" s="17"/>
      <c r="I20" s="17"/>
      <c r="J20" s="15"/>
      <c r="K20" s="17"/>
      <c r="L20" s="15"/>
      <c r="M20" s="17"/>
      <c r="N20" s="17"/>
      <c r="O20" s="17"/>
      <c r="P20" s="15" t="s">
        <v>594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8" customHeight="1">
      <c r="A21" s="17"/>
      <c r="B21" s="15" t="s">
        <v>592</v>
      </c>
      <c r="C21" s="17"/>
      <c r="D21" s="17" t="s">
        <v>75</v>
      </c>
      <c r="E21" s="17"/>
      <c r="F21" s="17"/>
      <c r="G21" s="15" t="s">
        <v>595</v>
      </c>
      <c r="H21" s="17"/>
      <c r="I21" s="17"/>
      <c r="J21" s="15"/>
      <c r="K21" s="17"/>
      <c r="L21" s="15"/>
      <c r="M21" s="17"/>
      <c r="N21" s="17"/>
      <c r="O21" s="17"/>
      <c r="P21" s="15" t="s">
        <v>596</v>
      </c>
      <c r="Q21" s="17"/>
      <c r="R21" s="17"/>
      <c r="S21" s="17"/>
      <c r="T21" s="17"/>
      <c r="U21" s="17"/>
      <c r="V21" s="17"/>
      <c r="W21" s="17"/>
      <c r="X21" s="17" t="s">
        <v>597</v>
      </c>
      <c r="Y21" s="17"/>
      <c r="Z21" s="17"/>
    </row>
    <row r="22" spans="1:26" ht="18" customHeight="1">
      <c r="A22" s="17"/>
      <c r="B22" s="15" t="s">
        <v>592</v>
      </c>
      <c r="C22" s="17"/>
      <c r="D22" s="17" t="s">
        <v>75</v>
      </c>
      <c r="E22" s="17"/>
      <c r="F22" s="17"/>
      <c r="G22" s="15" t="s">
        <v>598</v>
      </c>
      <c r="H22" s="17"/>
      <c r="I22" s="17"/>
      <c r="J22" s="15"/>
      <c r="K22" s="17"/>
      <c r="L22" s="15"/>
      <c r="M22" s="17"/>
      <c r="N22" s="17"/>
      <c r="O22" s="17"/>
      <c r="P22" s="15" t="s">
        <v>599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8" customHeight="1">
      <c r="A23" s="17"/>
      <c r="B23" s="15" t="s">
        <v>592</v>
      </c>
      <c r="C23" s="17"/>
      <c r="D23" s="17" t="s">
        <v>75</v>
      </c>
      <c r="E23" s="17"/>
      <c r="F23" s="17"/>
      <c r="G23" s="15" t="s">
        <v>600</v>
      </c>
      <c r="H23" s="17"/>
      <c r="I23" s="17"/>
      <c r="J23" s="17"/>
      <c r="K23" s="17"/>
      <c r="L23" s="15"/>
      <c r="M23" s="17"/>
      <c r="N23" s="17"/>
      <c r="O23" s="17"/>
      <c r="P23" s="17" t="s">
        <v>202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8" customHeight="1">
      <c r="A24" s="17"/>
      <c r="B24" s="15" t="s">
        <v>601</v>
      </c>
      <c r="C24" s="17"/>
      <c r="D24" s="17" t="s">
        <v>75</v>
      </c>
      <c r="E24" s="17"/>
      <c r="F24" s="17"/>
      <c r="G24" s="15" t="s">
        <v>602</v>
      </c>
      <c r="H24" s="17"/>
      <c r="I24" s="17"/>
      <c r="J24" s="15"/>
      <c r="K24" s="17"/>
      <c r="L24" s="15"/>
      <c r="M24" s="17"/>
      <c r="N24" s="17"/>
      <c r="O24" s="17"/>
      <c r="P24" s="15" t="s">
        <v>594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8" customHeight="1">
      <c r="A25" s="17"/>
      <c r="B25" s="15" t="s">
        <v>601</v>
      </c>
      <c r="C25" s="17"/>
      <c r="D25" s="17" t="s">
        <v>75</v>
      </c>
      <c r="E25" s="17"/>
      <c r="F25" s="17"/>
      <c r="G25" s="15" t="s">
        <v>603</v>
      </c>
      <c r="H25" s="17"/>
      <c r="I25" s="17"/>
      <c r="J25" s="15"/>
      <c r="K25" s="17"/>
      <c r="L25" s="15"/>
      <c r="M25" s="17"/>
      <c r="N25" s="17"/>
      <c r="O25" s="17"/>
      <c r="P25" s="15" t="s">
        <v>596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8" customHeight="1">
      <c r="A26" s="17"/>
      <c r="B26" s="15" t="s">
        <v>601</v>
      </c>
      <c r="C26" s="17"/>
      <c r="D26" s="17" t="s">
        <v>75</v>
      </c>
      <c r="E26" s="17"/>
      <c r="F26" s="17"/>
      <c r="G26" s="15" t="s">
        <v>604</v>
      </c>
      <c r="H26" s="17"/>
      <c r="I26" s="17"/>
      <c r="J26" s="15"/>
      <c r="K26" s="17"/>
      <c r="L26" s="15"/>
      <c r="M26" s="17"/>
      <c r="N26" s="17"/>
      <c r="O26" s="17"/>
      <c r="P26" s="15" t="s">
        <v>599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8" customHeight="1">
      <c r="A27" s="17"/>
      <c r="B27" s="15" t="s">
        <v>601</v>
      </c>
      <c r="C27" s="17"/>
      <c r="D27" s="17" t="s">
        <v>75</v>
      </c>
      <c r="E27" s="17"/>
      <c r="F27" s="17"/>
      <c r="G27" s="15" t="s">
        <v>605</v>
      </c>
      <c r="H27" s="17"/>
      <c r="I27" s="17"/>
      <c r="J27" s="17"/>
      <c r="K27" s="17"/>
      <c r="L27" s="15"/>
      <c r="M27" s="17"/>
      <c r="N27" s="17"/>
      <c r="O27" s="17"/>
      <c r="P27" s="17" t="s">
        <v>202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8" customHeight="1">
      <c r="A28" s="17"/>
      <c r="B28" s="15" t="s">
        <v>606</v>
      </c>
      <c r="C28" s="17"/>
      <c r="D28" s="17" t="s">
        <v>75</v>
      </c>
      <c r="E28" s="17"/>
      <c r="F28" s="17"/>
      <c r="G28" s="15" t="s">
        <v>607</v>
      </c>
      <c r="H28" s="17"/>
      <c r="I28" s="17"/>
      <c r="J28" s="15"/>
      <c r="K28" s="17"/>
      <c r="L28" s="15"/>
      <c r="M28" s="17"/>
      <c r="N28" s="17"/>
      <c r="O28" s="17"/>
      <c r="P28" s="15" t="s">
        <v>594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8" customHeight="1">
      <c r="A29" s="17"/>
      <c r="B29" s="15" t="s">
        <v>606</v>
      </c>
      <c r="C29" s="17"/>
      <c r="D29" s="17" t="s">
        <v>75</v>
      </c>
      <c r="E29" s="17"/>
      <c r="F29" s="17"/>
      <c r="G29" s="15" t="s">
        <v>608</v>
      </c>
      <c r="H29" s="17"/>
      <c r="I29" s="17"/>
      <c r="J29" s="15"/>
      <c r="K29" s="17"/>
      <c r="L29" s="15"/>
      <c r="M29" s="17"/>
      <c r="N29" s="17"/>
      <c r="O29" s="17"/>
      <c r="P29" s="15" t="s">
        <v>596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8" customHeight="1">
      <c r="A30" s="17"/>
      <c r="B30" s="15" t="s">
        <v>606</v>
      </c>
      <c r="C30" s="17"/>
      <c r="D30" s="17" t="s">
        <v>75</v>
      </c>
      <c r="E30" s="17"/>
      <c r="F30" s="17"/>
      <c r="G30" s="15" t="s">
        <v>609</v>
      </c>
      <c r="H30" s="17"/>
      <c r="I30" s="17"/>
      <c r="J30" s="15"/>
      <c r="K30" s="17"/>
      <c r="L30" s="15"/>
      <c r="M30" s="17"/>
      <c r="N30" s="17"/>
      <c r="O30" s="17"/>
      <c r="P30" s="15" t="s">
        <v>599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8" customHeight="1">
      <c r="A31" s="17"/>
      <c r="B31" s="15" t="s">
        <v>606</v>
      </c>
      <c r="C31" s="17"/>
      <c r="D31" s="17" t="s">
        <v>75</v>
      </c>
      <c r="E31" s="17"/>
      <c r="F31" s="17"/>
      <c r="G31" s="15" t="s">
        <v>610</v>
      </c>
      <c r="H31" s="17"/>
      <c r="I31" s="17"/>
      <c r="J31" s="17"/>
      <c r="K31" s="17"/>
      <c r="L31" s="15"/>
      <c r="M31" s="17"/>
      <c r="N31" s="17"/>
      <c r="O31" s="17"/>
      <c r="P31" s="17" t="s">
        <v>202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8" customHeight="1">
      <c r="A32" s="17"/>
      <c r="B32" s="15" t="s">
        <v>611</v>
      </c>
      <c r="C32" s="17"/>
      <c r="D32" s="17" t="s">
        <v>75</v>
      </c>
      <c r="E32" s="17"/>
      <c r="F32" s="17"/>
      <c r="G32" s="15" t="s">
        <v>612</v>
      </c>
      <c r="H32" s="17"/>
      <c r="I32" s="17"/>
      <c r="J32" s="15"/>
      <c r="K32" s="17"/>
      <c r="L32" s="15"/>
      <c r="M32" s="17"/>
      <c r="N32" s="17"/>
      <c r="O32" s="17"/>
      <c r="P32" s="15" t="s">
        <v>613</v>
      </c>
      <c r="Q32" s="17"/>
      <c r="R32" s="17"/>
      <c r="S32" s="17"/>
      <c r="T32" s="17"/>
      <c r="U32" s="17"/>
      <c r="V32" s="17"/>
      <c r="W32" s="17"/>
      <c r="X32" s="17" t="s">
        <v>614</v>
      </c>
      <c r="Y32" s="17"/>
      <c r="Z32" s="17"/>
    </row>
    <row r="33" spans="1:26" ht="18" customHeight="1">
      <c r="A33" s="17"/>
      <c r="B33" s="15" t="s">
        <v>611</v>
      </c>
      <c r="C33" s="17"/>
      <c r="D33" s="17" t="s">
        <v>75</v>
      </c>
      <c r="E33" s="17"/>
      <c r="F33" s="17"/>
      <c r="G33" s="15" t="s">
        <v>615</v>
      </c>
      <c r="H33" s="17"/>
      <c r="I33" s="17"/>
      <c r="J33" s="15"/>
      <c r="K33" s="17"/>
      <c r="L33" s="15"/>
      <c r="M33" s="17"/>
      <c r="N33" s="17"/>
      <c r="O33" s="17"/>
      <c r="P33" s="15" t="s">
        <v>202</v>
      </c>
      <c r="Q33" s="17"/>
      <c r="R33" s="17"/>
      <c r="S33" s="17"/>
      <c r="T33" s="17"/>
      <c r="U33" s="17"/>
      <c r="V33" s="17"/>
      <c r="W33" s="17"/>
      <c r="X33" s="17" t="s">
        <v>616</v>
      </c>
      <c r="Y33" s="17"/>
      <c r="Z33" s="17"/>
    </row>
    <row r="34" spans="1:26" ht="18" customHeight="1">
      <c r="A34" s="17"/>
      <c r="B34" s="15" t="s">
        <v>611</v>
      </c>
      <c r="C34" s="17"/>
      <c r="D34" s="17" t="s">
        <v>75</v>
      </c>
      <c r="E34" s="17"/>
      <c r="F34" s="17"/>
      <c r="G34" s="15" t="s">
        <v>617</v>
      </c>
      <c r="H34" s="17"/>
      <c r="I34" s="17"/>
      <c r="J34" s="15"/>
      <c r="K34" s="17"/>
      <c r="L34" s="15"/>
      <c r="M34" s="17"/>
      <c r="N34" s="17"/>
      <c r="O34" s="17"/>
      <c r="P34" s="15" t="s">
        <v>618</v>
      </c>
      <c r="Q34" s="17"/>
      <c r="R34" s="17"/>
      <c r="S34" s="17"/>
      <c r="T34" s="17"/>
      <c r="U34" s="17"/>
      <c r="V34" s="17"/>
      <c r="W34" s="17"/>
      <c r="X34" s="17" t="s">
        <v>619</v>
      </c>
      <c r="Y34" s="17"/>
      <c r="Z34" s="17"/>
    </row>
    <row r="35" spans="1:26" ht="18" customHeight="1">
      <c r="A35" s="17"/>
      <c r="B35" s="15" t="s">
        <v>611</v>
      </c>
      <c r="C35" s="17"/>
      <c r="D35" s="17" t="s">
        <v>75</v>
      </c>
      <c r="E35" s="17"/>
      <c r="F35" s="17"/>
      <c r="G35" s="15" t="s">
        <v>620</v>
      </c>
      <c r="H35" s="17"/>
      <c r="I35" s="17"/>
      <c r="J35" s="15"/>
      <c r="K35" s="17"/>
      <c r="L35" s="15"/>
      <c r="M35" s="17"/>
      <c r="N35" s="17"/>
      <c r="O35" s="17"/>
      <c r="P35" s="15" t="s">
        <v>621</v>
      </c>
      <c r="Q35" s="17"/>
      <c r="R35" s="17"/>
      <c r="S35" s="17"/>
      <c r="T35" s="17"/>
      <c r="U35" s="17"/>
      <c r="V35" s="17"/>
      <c r="W35" s="17"/>
      <c r="X35" s="17" t="s">
        <v>622</v>
      </c>
      <c r="Y35" s="17"/>
      <c r="Z35" s="17"/>
    </row>
    <row r="36" spans="1:26" ht="18" customHeight="1">
      <c r="A36" s="17"/>
      <c r="B36" s="15" t="s">
        <v>623</v>
      </c>
      <c r="C36" s="17"/>
      <c r="D36" s="17" t="s">
        <v>75</v>
      </c>
      <c r="E36" s="17"/>
      <c r="F36" s="17"/>
      <c r="G36" s="15" t="s">
        <v>624</v>
      </c>
      <c r="H36" s="17"/>
      <c r="I36" s="17"/>
      <c r="J36" s="15"/>
      <c r="K36" s="17"/>
      <c r="L36" s="15"/>
      <c r="M36" s="17"/>
      <c r="N36" s="17"/>
      <c r="O36" s="17"/>
      <c r="P36" s="15" t="s">
        <v>613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8" customHeight="1">
      <c r="A37" s="17"/>
      <c r="B37" s="15" t="s">
        <v>623</v>
      </c>
      <c r="C37" s="17"/>
      <c r="D37" s="17" t="s">
        <v>75</v>
      </c>
      <c r="E37" s="17"/>
      <c r="F37" s="17"/>
      <c r="G37" s="15" t="s">
        <v>625</v>
      </c>
      <c r="H37" s="17"/>
      <c r="I37" s="17"/>
      <c r="J37" s="17"/>
      <c r="K37" s="17"/>
      <c r="L37" s="15"/>
      <c r="M37" s="17"/>
      <c r="N37" s="17"/>
      <c r="O37" s="17"/>
      <c r="P37" s="17" t="s">
        <v>202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8" customHeight="1">
      <c r="A38" s="17"/>
      <c r="B38" s="15" t="s">
        <v>623</v>
      </c>
      <c r="C38" s="17"/>
      <c r="D38" s="17" t="s">
        <v>75</v>
      </c>
      <c r="E38" s="17"/>
      <c r="F38" s="17"/>
      <c r="G38" s="15" t="s">
        <v>626</v>
      </c>
      <c r="H38" s="17"/>
      <c r="I38" s="17"/>
      <c r="J38" s="15"/>
      <c r="K38" s="17"/>
      <c r="L38" s="15"/>
      <c r="M38" s="17"/>
      <c r="N38" s="17"/>
      <c r="O38" s="17"/>
      <c r="P38" s="15" t="s">
        <v>618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8" customHeight="1">
      <c r="A39" s="17"/>
      <c r="B39" s="15" t="s">
        <v>623</v>
      </c>
      <c r="C39" s="17"/>
      <c r="D39" s="17" t="s">
        <v>75</v>
      </c>
      <c r="E39" s="17"/>
      <c r="F39" s="17"/>
      <c r="G39" s="15" t="s">
        <v>627</v>
      </c>
      <c r="H39" s="17"/>
      <c r="I39" s="17"/>
      <c r="J39" s="15"/>
      <c r="K39" s="17"/>
      <c r="L39" s="15"/>
      <c r="M39" s="17"/>
      <c r="N39" s="17"/>
      <c r="O39" s="17"/>
      <c r="P39" s="15" t="s">
        <v>621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8" customHeight="1">
      <c r="A40" s="17"/>
      <c r="B40" s="15" t="s">
        <v>628</v>
      </c>
      <c r="C40" s="17"/>
      <c r="D40" s="17" t="s">
        <v>75</v>
      </c>
      <c r="E40" s="17"/>
      <c r="F40" s="17"/>
      <c r="G40" s="15" t="s">
        <v>629</v>
      </c>
      <c r="H40" s="17"/>
      <c r="I40" s="17"/>
      <c r="J40" s="15"/>
      <c r="K40" s="17"/>
      <c r="L40" s="15"/>
      <c r="M40" s="17"/>
      <c r="N40" s="17"/>
      <c r="O40" s="17"/>
      <c r="P40" s="15" t="s">
        <v>630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8" customHeight="1">
      <c r="A41" s="17"/>
      <c r="B41" s="15" t="s">
        <v>628</v>
      </c>
      <c r="C41" s="17"/>
      <c r="D41" s="17" t="s">
        <v>75</v>
      </c>
      <c r="E41" s="17"/>
      <c r="F41" s="17"/>
      <c r="G41" s="15" t="s">
        <v>631</v>
      </c>
      <c r="H41" s="17"/>
      <c r="I41" s="17"/>
      <c r="J41" s="15"/>
      <c r="K41" s="17"/>
      <c r="L41" s="15"/>
      <c r="M41" s="17"/>
      <c r="N41" s="17"/>
      <c r="O41" s="17"/>
      <c r="P41" s="15" t="s">
        <v>632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8" customHeight="1">
      <c r="A42" s="17"/>
      <c r="B42" s="15" t="s">
        <v>628</v>
      </c>
      <c r="C42" s="17"/>
      <c r="D42" s="17" t="s">
        <v>75</v>
      </c>
      <c r="E42" s="17"/>
      <c r="F42" s="17"/>
      <c r="G42" s="15" t="s">
        <v>633</v>
      </c>
      <c r="H42" s="17"/>
      <c r="I42" s="17"/>
      <c r="J42" s="15"/>
      <c r="K42" s="17"/>
      <c r="L42" s="15"/>
      <c r="M42" s="17"/>
      <c r="N42" s="17"/>
      <c r="O42" s="17"/>
      <c r="P42" s="15" t="s">
        <v>621</v>
      </c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8" customHeight="1">
      <c r="A43" s="17"/>
      <c r="B43" s="15" t="s">
        <v>579</v>
      </c>
      <c r="C43" s="17"/>
      <c r="D43" s="17" t="s">
        <v>75</v>
      </c>
      <c r="E43" s="17"/>
      <c r="F43" s="17"/>
      <c r="G43" s="15" t="s">
        <v>634</v>
      </c>
      <c r="H43" s="17"/>
      <c r="I43" s="17"/>
      <c r="J43" s="15"/>
      <c r="K43" s="17"/>
      <c r="L43" s="17"/>
      <c r="M43" s="17"/>
      <c r="N43" s="17"/>
      <c r="O43" s="17"/>
      <c r="P43" s="15" t="s">
        <v>315</v>
      </c>
      <c r="Q43" s="17"/>
      <c r="R43" s="17"/>
      <c r="S43" s="17"/>
      <c r="T43" s="17"/>
      <c r="U43" s="17"/>
      <c r="V43" s="17"/>
      <c r="W43" s="17"/>
      <c r="X43" s="17" t="s">
        <v>635</v>
      </c>
      <c r="Y43" s="17"/>
      <c r="Z43" s="17"/>
    </row>
    <row r="44" spans="1:26" ht="18" customHeight="1">
      <c r="A44" s="17"/>
      <c r="B44" s="15" t="s">
        <v>636</v>
      </c>
      <c r="C44" s="17"/>
      <c r="D44" s="17" t="s">
        <v>75</v>
      </c>
      <c r="E44" s="17"/>
      <c r="F44" s="17"/>
      <c r="G44" s="17" t="s">
        <v>637</v>
      </c>
      <c r="H44" s="17"/>
      <c r="I44" s="17"/>
      <c r="J44" s="17"/>
      <c r="K44" s="17"/>
      <c r="L44" s="17"/>
      <c r="M44" s="17"/>
      <c r="N44" s="17"/>
      <c r="O44" s="17"/>
      <c r="P44" s="17" t="s">
        <v>581</v>
      </c>
      <c r="Q44" s="17"/>
      <c r="R44" s="17"/>
      <c r="S44" s="17"/>
      <c r="T44" s="17"/>
      <c r="U44" s="17"/>
      <c r="V44" s="17"/>
      <c r="W44" s="17"/>
      <c r="X44" s="17" t="s">
        <v>638</v>
      </c>
      <c r="Y44" s="17"/>
      <c r="Z44" s="17"/>
    </row>
    <row r="45" spans="1:26" ht="18" customHeight="1">
      <c r="A45" s="17"/>
      <c r="B45" s="15" t="s">
        <v>636</v>
      </c>
      <c r="C45" s="17"/>
      <c r="D45" s="17" t="s">
        <v>75</v>
      </c>
      <c r="E45" s="17"/>
      <c r="F45" s="17"/>
      <c r="G45" s="17" t="s">
        <v>639</v>
      </c>
      <c r="H45" s="17"/>
      <c r="I45" s="17"/>
      <c r="J45" s="17"/>
      <c r="K45" s="17"/>
      <c r="L45" s="17"/>
      <c r="M45" s="17"/>
      <c r="N45" s="17"/>
      <c r="O45" s="17"/>
      <c r="P45" s="17" t="s">
        <v>581</v>
      </c>
      <c r="Q45" s="17"/>
      <c r="R45" s="17"/>
      <c r="S45" s="17"/>
      <c r="T45" s="17"/>
      <c r="U45" s="17"/>
      <c r="V45" s="17"/>
      <c r="W45" s="17"/>
      <c r="X45" s="17" t="s">
        <v>640</v>
      </c>
      <c r="Y45" s="17"/>
      <c r="Z45" s="17"/>
    </row>
    <row r="46" spans="1:26" ht="18" customHeight="1">
      <c r="A46" s="17"/>
      <c r="B46" s="15" t="s">
        <v>636</v>
      </c>
      <c r="C46" s="17"/>
      <c r="D46" s="17" t="s">
        <v>75</v>
      </c>
      <c r="E46" s="17"/>
      <c r="F46" s="17"/>
      <c r="G46" s="17" t="s">
        <v>641</v>
      </c>
      <c r="H46" s="17"/>
      <c r="I46" s="17"/>
      <c r="J46" s="15"/>
      <c r="K46" s="17"/>
      <c r="L46" s="17"/>
      <c r="M46" s="17"/>
      <c r="N46" s="17"/>
      <c r="O46" s="17"/>
      <c r="P46" s="15" t="s">
        <v>642</v>
      </c>
      <c r="Q46" s="17"/>
      <c r="R46" s="17"/>
      <c r="S46" s="17"/>
      <c r="T46" s="17"/>
      <c r="U46" s="17"/>
      <c r="V46" s="17"/>
      <c r="W46" s="17"/>
      <c r="X46" s="17" t="s">
        <v>643</v>
      </c>
      <c r="Y46" s="17"/>
      <c r="Z46" s="17"/>
    </row>
    <row r="47" spans="1:26" ht="18" customHeight="1">
      <c r="A47" s="17"/>
      <c r="B47" s="15" t="s">
        <v>636</v>
      </c>
      <c r="C47" s="17"/>
      <c r="D47" s="17" t="s">
        <v>75</v>
      </c>
      <c r="E47" s="17"/>
      <c r="F47" s="17"/>
      <c r="G47" s="17" t="s">
        <v>644</v>
      </c>
      <c r="H47" s="17"/>
      <c r="I47" s="17"/>
      <c r="J47" s="17"/>
      <c r="K47" s="17"/>
      <c r="L47" s="17"/>
      <c r="M47" s="17"/>
      <c r="N47" s="17"/>
      <c r="O47" s="17"/>
      <c r="P47" s="17" t="s">
        <v>155</v>
      </c>
      <c r="Q47" s="17"/>
      <c r="R47" s="17"/>
      <c r="S47" s="17"/>
      <c r="T47" s="17"/>
      <c r="U47" s="17"/>
      <c r="V47" s="17"/>
      <c r="W47" s="17"/>
      <c r="X47" s="17" t="s">
        <v>645</v>
      </c>
      <c r="Y47" s="17"/>
      <c r="Z47" s="17"/>
    </row>
    <row r="48" spans="1:26" ht="18" customHeight="1">
      <c r="A48" s="17"/>
      <c r="B48" s="15" t="s">
        <v>636</v>
      </c>
      <c r="C48" s="17"/>
      <c r="D48" s="17" t="s">
        <v>75</v>
      </c>
      <c r="E48" s="17"/>
      <c r="F48" s="17"/>
      <c r="G48" s="17" t="s">
        <v>646</v>
      </c>
      <c r="H48" s="17"/>
      <c r="I48" s="17"/>
      <c r="J48" s="17"/>
      <c r="K48" s="17"/>
      <c r="L48" s="17"/>
      <c r="M48" s="17"/>
      <c r="N48" s="17"/>
      <c r="O48" s="17"/>
      <c r="P48" s="17" t="s">
        <v>155</v>
      </c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8" customHeight="1">
      <c r="A49" s="17"/>
      <c r="B49" s="15" t="s">
        <v>636</v>
      </c>
      <c r="C49" s="17"/>
      <c r="D49" s="17" t="s">
        <v>75</v>
      </c>
      <c r="E49" s="17"/>
      <c r="F49" s="17"/>
      <c r="G49" s="17" t="s">
        <v>647</v>
      </c>
      <c r="H49" s="17"/>
      <c r="I49" s="17"/>
      <c r="J49" s="17"/>
      <c r="K49" s="17"/>
      <c r="L49" s="17"/>
      <c r="M49" s="17"/>
      <c r="N49" s="17"/>
      <c r="O49" s="17"/>
      <c r="P49" s="17" t="s">
        <v>155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8" customHeight="1">
      <c r="A50" s="17"/>
      <c r="B50" s="15" t="s">
        <v>636</v>
      </c>
      <c r="C50" s="17"/>
      <c r="D50" s="17" t="s">
        <v>75</v>
      </c>
      <c r="E50" s="17"/>
      <c r="F50" s="17"/>
      <c r="G50" s="17" t="s">
        <v>648</v>
      </c>
      <c r="H50" s="17"/>
      <c r="I50" s="17"/>
      <c r="J50" s="17"/>
      <c r="K50" s="17"/>
      <c r="L50" s="17"/>
      <c r="M50" s="17"/>
      <c r="N50" s="17"/>
      <c r="O50" s="17"/>
      <c r="P50" s="17" t="s">
        <v>155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8" customHeight="1">
      <c r="A51" s="17"/>
      <c r="B51" s="15" t="s">
        <v>636</v>
      </c>
      <c r="C51" s="17"/>
      <c r="D51" s="17" t="s">
        <v>75</v>
      </c>
      <c r="E51" s="17"/>
      <c r="F51" s="17"/>
      <c r="G51" s="17" t="s">
        <v>649</v>
      </c>
      <c r="H51" s="17"/>
      <c r="I51" s="17"/>
      <c r="J51" s="15"/>
      <c r="K51" s="17"/>
      <c r="L51" s="17"/>
      <c r="M51" s="17"/>
      <c r="N51" s="17"/>
      <c r="O51" s="17"/>
      <c r="P51" s="15" t="s">
        <v>650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8" customHeight="1">
      <c r="A52" s="17"/>
      <c r="B52" s="15" t="s">
        <v>636</v>
      </c>
      <c r="C52" s="17"/>
      <c r="D52" s="17" t="s">
        <v>75</v>
      </c>
      <c r="E52" s="17"/>
      <c r="F52" s="17"/>
      <c r="G52" s="17" t="s">
        <v>651</v>
      </c>
      <c r="H52" s="17"/>
      <c r="I52" s="17"/>
      <c r="J52" s="15"/>
      <c r="K52" s="17"/>
      <c r="L52" s="17"/>
      <c r="M52" s="17"/>
      <c r="N52" s="17"/>
      <c r="O52" s="17"/>
      <c r="P52" s="15" t="s">
        <v>652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8" customHeight="1">
      <c r="A53" s="17"/>
      <c r="B53" s="15" t="s">
        <v>636</v>
      </c>
      <c r="C53" s="17"/>
      <c r="D53" s="17" t="s">
        <v>75</v>
      </c>
      <c r="E53" s="17"/>
      <c r="F53" s="17"/>
      <c r="G53" s="17" t="s">
        <v>653</v>
      </c>
      <c r="H53" s="17"/>
      <c r="I53" s="17"/>
      <c r="J53" s="15"/>
      <c r="K53" s="17"/>
      <c r="L53" s="17"/>
      <c r="M53" s="17"/>
      <c r="N53" s="17"/>
      <c r="O53" s="17"/>
      <c r="P53" s="15" t="s">
        <v>652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8" customHeight="1">
      <c r="A54" s="17"/>
      <c r="B54" s="15" t="s">
        <v>636</v>
      </c>
      <c r="C54" s="17"/>
      <c r="D54" s="17" t="s">
        <v>75</v>
      </c>
      <c r="E54" s="17"/>
      <c r="F54" s="17"/>
      <c r="G54" s="17" t="s">
        <v>654</v>
      </c>
      <c r="H54" s="17"/>
      <c r="I54" s="17"/>
      <c r="J54" s="15"/>
      <c r="K54" s="17"/>
      <c r="L54" s="17"/>
      <c r="M54" s="17"/>
      <c r="N54" s="17"/>
      <c r="O54" s="17"/>
      <c r="P54" s="15" t="s">
        <v>655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8" customHeight="1">
      <c r="A55" s="17"/>
      <c r="B55" s="15" t="s">
        <v>636</v>
      </c>
      <c r="C55" s="17"/>
      <c r="D55" s="17" t="s">
        <v>75</v>
      </c>
      <c r="E55" s="17"/>
      <c r="F55" s="17"/>
      <c r="G55" s="17" t="s">
        <v>656</v>
      </c>
      <c r="H55" s="17"/>
      <c r="I55" s="17"/>
      <c r="J55" s="15"/>
      <c r="K55" s="17"/>
      <c r="L55" s="17"/>
      <c r="M55" s="17"/>
      <c r="N55" s="17"/>
      <c r="O55" s="17"/>
      <c r="P55" s="15" t="s">
        <v>652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8" customHeight="1">
      <c r="A56" s="17"/>
      <c r="B56" s="15" t="s">
        <v>636</v>
      </c>
      <c r="C56" s="17"/>
      <c r="D56" s="17" t="s">
        <v>75</v>
      </c>
      <c r="E56" s="17"/>
      <c r="F56" s="17"/>
      <c r="G56" s="17" t="s">
        <v>657</v>
      </c>
      <c r="H56" s="17"/>
      <c r="I56" s="17"/>
      <c r="J56" s="15"/>
      <c r="K56" s="17"/>
      <c r="L56" s="17"/>
      <c r="M56" s="17"/>
      <c r="N56" s="17"/>
      <c r="O56" s="17"/>
      <c r="P56" s="15" t="s">
        <v>652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8" customHeight="1">
      <c r="A57" s="17"/>
      <c r="B57" s="15" t="s">
        <v>636</v>
      </c>
      <c r="C57" s="17"/>
      <c r="D57" s="17" t="s">
        <v>75</v>
      </c>
      <c r="E57" s="17"/>
      <c r="F57" s="17"/>
      <c r="G57" s="17" t="s">
        <v>658</v>
      </c>
      <c r="H57" s="17"/>
      <c r="I57" s="17"/>
      <c r="J57" s="15"/>
      <c r="K57" s="17"/>
      <c r="L57" s="17"/>
      <c r="M57" s="17"/>
      <c r="N57" s="17"/>
      <c r="O57" s="17"/>
      <c r="P57" s="15" t="s">
        <v>655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8" customHeight="1">
      <c r="A58" s="17"/>
      <c r="B58" s="15" t="s">
        <v>636</v>
      </c>
      <c r="C58" s="17"/>
      <c r="D58" s="17" t="s">
        <v>75</v>
      </c>
      <c r="E58" s="17"/>
      <c r="F58" s="17"/>
      <c r="G58" s="17" t="s">
        <v>659</v>
      </c>
      <c r="H58" s="17"/>
      <c r="I58" s="17"/>
      <c r="J58" s="15"/>
      <c r="K58" s="17"/>
      <c r="L58" s="17"/>
      <c r="M58" s="17"/>
      <c r="N58" s="17"/>
      <c r="O58" s="17"/>
      <c r="P58" s="15" t="s">
        <v>202</v>
      </c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8" customHeight="1">
      <c r="A59" s="17"/>
      <c r="B59" s="15" t="s">
        <v>636</v>
      </c>
      <c r="C59" s="17"/>
      <c r="D59" s="17" t="s">
        <v>75</v>
      </c>
      <c r="E59" s="17"/>
      <c r="F59" s="17"/>
      <c r="G59" s="17" t="s">
        <v>660</v>
      </c>
      <c r="H59" s="17"/>
      <c r="I59" s="17"/>
      <c r="J59" s="15"/>
      <c r="K59" s="17"/>
      <c r="L59" s="17"/>
      <c r="M59" s="17"/>
      <c r="N59" s="17"/>
      <c r="O59" s="17"/>
      <c r="P59" s="15" t="s">
        <v>202</v>
      </c>
      <c r="Q59" s="17"/>
      <c r="R59" s="17"/>
      <c r="S59" s="17"/>
      <c r="T59" s="17"/>
      <c r="U59" s="17"/>
      <c r="V59" s="17"/>
      <c r="W59" s="17"/>
      <c r="X59" s="17" t="s">
        <v>661</v>
      </c>
      <c r="Y59" s="17"/>
      <c r="Z59" s="17"/>
    </row>
    <row r="60" spans="1:26" ht="18" customHeight="1">
      <c r="A60" s="17"/>
      <c r="B60" s="15" t="s">
        <v>636</v>
      </c>
      <c r="C60" s="17"/>
      <c r="D60" s="17" t="s">
        <v>75</v>
      </c>
      <c r="E60" s="17"/>
      <c r="F60" s="17"/>
      <c r="G60" s="17" t="s">
        <v>662</v>
      </c>
      <c r="H60" s="17"/>
      <c r="I60" s="17"/>
      <c r="J60" s="17"/>
      <c r="K60" s="17"/>
      <c r="L60" s="17"/>
      <c r="M60" s="17"/>
      <c r="N60" s="17"/>
      <c r="O60" s="17"/>
      <c r="P60" s="17" t="s">
        <v>663</v>
      </c>
      <c r="Q60" s="17"/>
      <c r="R60" s="17"/>
      <c r="S60" s="17"/>
      <c r="T60" s="17"/>
      <c r="U60" s="17"/>
      <c r="V60" s="17"/>
      <c r="W60" s="17"/>
      <c r="X60" s="17" t="s">
        <v>664</v>
      </c>
      <c r="Y60" s="17"/>
      <c r="Z60" s="17"/>
    </row>
    <row r="61" spans="1:26" ht="18" customHeight="1">
      <c r="A61" s="17"/>
      <c r="B61" s="15" t="s">
        <v>636</v>
      </c>
      <c r="C61" s="17"/>
      <c r="D61" s="17" t="s">
        <v>75</v>
      </c>
      <c r="E61" s="17"/>
      <c r="F61" s="17"/>
      <c r="G61" s="17" t="s">
        <v>665</v>
      </c>
      <c r="H61" s="17"/>
      <c r="I61" s="17"/>
      <c r="J61" s="17"/>
      <c r="K61" s="17"/>
      <c r="L61" s="17"/>
      <c r="M61" s="17"/>
      <c r="N61" s="17"/>
      <c r="O61" s="17"/>
      <c r="P61" s="17" t="s">
        <v>663</v>
      </c>
      <c r="Q61" s="17"/>
      <c r="R61" s="17"/>
      <c r="S61" s="17"/>
      <c r="T61" s="17"/>
      <c r="U61" s="17"/>
      <c r="V61" s="17"/>
      <c r="W61" s="17"/>
      <c r="X61" s="17" t="s">
        <v>666</v>
      </c>
      <c r="Y61" s="17"/>
      <c r="Z61" s="17"/>
    </row>
    <row r="62" spans="1:26" ht="18" customHeight="1">
      <c r="A62" s="17"/>
      <c r="B62" s="15" t="s">
        <v>636</v>
      </c>
      <c r="C62" s="17"/>
      <c r="D62" s="17" t="s">
        <v>75</v>
      </c>
      <c r="E62" s="17"/>
      <c r="F62" s="17"/>
      <c r="G62" s="17" t="s">
        <v>667</v>
      </c>
      <c r="H62" s="17"/>
      <c r="I62" s="17"/>
      <c r="J62" s="17"/>
      <c r="K62" s="17"/>
      <c r="L62" s="17"/>
      <c r="M62" s="17"/>
      <c r="N62" s="17"/>
      <c r="O62" s="17"/>
      <c r="P62" s="17" t="s">
        <v>204</v>
      </c>
      <c r="Q62" s="17"/>
      <c r="R62" s="17"/>
      <c r="S62" s="17"/>
      <c r="T62" s="17"/>
      <c r="U62" s="17"/>
      <c r="V62" s="17"/>
      <c r="W62" s="17"/>
      <c r="X62" s="17" t="s">
        <v>668</v>
      </c>
      <c r="Y62" s="17"/>
      <c r="Z62" s="17"/>
    </row>
    <row r="63" spans="1:26" ht="18" customHeight="1">
      <c r="A63" s="17"/>
      <c r="B63" s="15" t="s">
        <v>636</v>
      </c>
      <c r="C63" s="17"/>
      <c r="D63" s="17" t="s">
        <v>75</v>
      </c>
      <c r="E63" s="17"/>
      <c r="F63" s="17"/>
      <c r="G63" s="17" t="s">
        <v>669</v>
      </c>
      <c r="H63" s="17"/>
      <c r="I63" s="17"/>
      <c r="J63" s="17"/>
      <c r="K63" s="17"/>
      <c r="L63" s="17"/>
      <c r="M63" s="17"/>
      <c r="N63" s="17"/>
      <c r="O63" s="17"/>
      <c r="P63" s="17" t="s">
        <v>204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8" customHeight="1">
      <c r="A64" s="17"/>
      <c r="B64" s="15" t="s">
        <v>636</v>
      </c>
      <c r="C64" s="17"/>
      <c r="D64" s="17" t="s">
        <v>75</v>
      </c>
      <c r="E64" s="17"/>
      <c r="F64" s="17"/>
      <c r="G64" s="17" t="s">
        <v>670</v>
      </c>
      <c r="H64" s="17"/>
      <c r="I64" s="17"/>
      <c r="J64" s="17"/>
      <c r="K64" s="17"/>
      <c r="L64" s="17"/>
      <c r="M64" s="17"/>
      <c r="N64" s="17"/>
      <c r="O64" s="17"/>
      <c r="P64" s="17" t="s">
        <v>204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8" customHeight="1">
      <c r="A65" s="17"/>
      <c r="B65" s="15" t="s">
        <v>636</v>
      </c>
      <c r="C65" s="17"/>
      <c r="D65" s="17" t="s">
        <v>75</v>
      </c>
      <c r="E65" s="17"/>
      <c r="F65" s="17"/>
      <c r="G65" s="17" t="s">
        <v>671</v>
      </c>
      <c r="H65" s="17"/>
      <c r="I65" s="17"/>
      <c r="J65" s="17"/>
      <c r="K65" s="17"/>
      <c r="L65" s="17"/>
      <c r="M65" s="17"/>
      <c r="N65" s="17"/>
      <c r="O65" s="17"/>
      <c r="P65" s="17" t="s">
        <v>204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8" customHeight="1">
      <c r="A66" s="17"/>
      <c r="B66" s="15" t="s">
        <v>636</v>
      </c>
      <c r="C66" s="17"/>
      <c r="D66" s="17" t="s">
        <v>75</v>
      </c>
      <c r="E66" s="17"/>
      <c r="F66" s="17"/>
      <c r="G66" s="17" t="s">
        <v>672</v>
      </c>
      <c r="H66" s="17"/>
      <c r="I66" s="17"/>
      <c r="J66" s="17"/>
      <c r="K66" s="17"/>
      <c r="L66" s="17"/>
      <c r="M66" s="17"/>
      <c r="N66" s="17"/>
      <c r="O66" s="17"/>
      <c r="P66" s="17" t="s">
        <v>204</v>
      </c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8" customHeight="1">
      <c r="A67" s="17"/>
      <c r="B67" s="15" t="s">
        <v>636</v>
      </c>
      <c r="C67" s="17"/>
      <c r="D67" s="17" t="s">
        <v>75</v>
      </c>
      <c r="E67" s="17"/>
      <c r="F67" s="17"/>
      <c r="G67" s="17" t="s">
        <v>673</v>
      </c>
      <c r="H67" s="17"/>
      <c r="I67" s="17"/>
      <c r="J67" s="17"/>
      <c r="K67" s="17"/>
      <c r="L67" s="17"/>
      <c r="M67" s="17"/>
      <c r="N67" s="17"/>
      <c r="O67" s="17"/>
      <c r="P67" s="17" t="s">
        <v>204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8" customHeight="1">
      <c r="A68" s="17"/>
      <c r="B68" s="15" t="s">
        <v>636</v>
      </c>
      <c r="C68" s="17"/>
      <c r="D68" s="17" t="s">
        <v>75</v>
      </c>
      <c r="E68" s="17"/>
      <c r="F68" s="17"/>
      <c r="G68" s="17" t="s">
        <v>674</v>
      </c>
      <c r="H68" s="17"/>
      <c r="I68" s="17"/>
      <c r="J68" s="17"/>
      <c r="K68" s="17"/>
      <c r="L68" s="17"/>
      <c r="M68" s="17"/>
      <c r="N68" s="17"/>
      <c r="O68" s="17"/>
      <c r="P68" s="17" t="s">
        <v>204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8" customHeight="1">
      <c r="A69" s="17"/>
      <c r="B69" s="15" t="s">
        <v>636</v>
      </c>
      <c r="C69" s="17"/>
      <c r="D69" s="17" t="s">
        <v>75</v>
      </c>
      <c r="E69" s="17"/>
      <c r="F69" s="17"/>
      <c r="G69" s="17" t="s">
        <v>675</v>
      </c>
      <c r="H69" s="17"/>
      <c r="I69" s="17"/>
      <c r="J69" s="17"/>
      <c r="K69" s="17"/>
      <c r="L69" s="17"/>
      <c r="M69" s="17"/>
      <c r="N69" s="17"/>
      <c r="O69" s="17"/>
      <c r="P69" s="17" t="s">
        <v>204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8" customHeight="1">
      <c r="A70" s="17"/>
      <c r="B70" s="15" t="s">
        <v>636</v>
      </c>
      <c r="C70" s="17"/>
      <c r="D70" s="17" t="s">
        <v>75</v>
      </c>
      <c r="E70" s="17"/>
      <c r="F70" s="17"/>
      <c r="G70" s="17" t="s">
        <v>676</v>
      </c>
      <c r="H70" s="17"/>
      <c r="I70" s="17"/>
      <c r="J70" s="17"/>
      <c r="K70" s="17"/>
      <c r="L70" s="17"/>
      <c r="M70" s="17"/>
      <c r="N70" s="17"/>
      <c r="O70" s="17"/>
      <c r="P70" s="17" t="s">
        <v>204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8" customHeight="1">
      <c r="A71" s="17"/>
      <c r="B71" s="15" t="s">
        <v>636</v>
      </c>
      <c r="C71" s="17"/>
      <c r="D71" s="17" t="s">
        <v>75</v>
      </c>
      <c r="E71" s="17"/>
      <c r="F71" s="17"/>
      <c r="G71" s="17" t="s">
        <v>677</v>
      </c>
      <c r="H71" s="17"/>
      <c r="I71" s="17"/>
      <c r="J71" s="17"/>
      <c r="K71" s="17"/>
      <c r="L71" s="17"/>
      <c r="M71" s="17"/>
      <c r="N71" s="17"/>
      <c r="O71" s="17"/>
      <c r="P71" s="17" t="s">
        <v>204</v>
      </c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8" customHeight="1">
      <c r="A72" s="17"/>
      <c r="B72" s="15" t="s">
        <v>636</v>
      </c>
      <c r="C72" s="17"/>
      <c r="D72" s="17" t="s">
        <v>75</v>
      </c>
      <c r="E72" s="17"/>
      <c r="F72" s="17"/>
      <c r="G72" s="17" t="s">
        <v>678</v>
      </c>
      <c r="H72" s="17"/>
      <c r="I72" s="17"/>
      <c r="J72" s="17"/>
      <c r="K72" s="17"/>
      <c r="L72" s="17"/>
      <c r="M72" s="17"/>
      <c r="N72" s="17"/>
      <c r="O72" s="17"/>
      <c r="P72" s="17" t="s">
        <v>204</v>
      </c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8" customHeight="1">
      <c r="A73" s="17"/>
      <c r="B73" s="15" t="s">
        <v>636</v>
      </c>
      <c r="C73" s="17"/>
      <c r="D73" s="17" t="s">
        <v>75</v>
      </c>
      <c r="E73" s="17"/>
      <c r="F73" s="17"/>
      <c r="G73" s="17" t="s">
        <v>679</v>
      </c>
      <c r="H73" s="17"/>
      <c r="I73" s="17"/>
      <c r="J73" s="17"/>
      <c r="K73" s="17"/>
      <c r="L73" s="17"/>
      <c r="M73" s="17"/>
      <c r="N73" s="17"/>
      <c r="O73" s="17"/>
      <c r="P73" s="17" t="s">
        <v>204</v>
      </c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8" customHeight="1">
      <c r="A74" s="17"/>
      <c r="B74" s="15" t="s">
        <v>636</v>
      </c>
      <c r="C74" s="17"/>
      <c r="D74" s="17" t="s">
        <v>75</v>
      </c>
      <c r="E74" s="17"/>
      <c r="F74" s="17"/>
      <c r="G74" s="17" t="s">
        <v>680</v>
      </c>
      <c r="H74" s="17"/>
      <c r="I74" s="17"/>
      <c r="J74" s="17"/>
      <c r="K74" s="17"/>
      <c r="L74" s="17"/>
      <c r="M74" s="17"/>
      <c r="N74" s="17"/>
      <c r="O74" s="17"/>
      <c r="P74" s="17" t="s">
        <v>204</v>
      </c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8" customHeight="1">
      <c r="A75" s="17"/>
      <c r="B75" s="15" t="s">
        <v>636</v>
      </c>
      <c r="C75" s="17"/>
      <c r="D75" s="17" t="s">
        <v>75</v>
      </c>
      <c r="E75" s="17"/>
      <c r="F75" s="17"/>
      <c r="G75" s="17" t="s">
        <v>681</v>
      </c>
      <c r="H75" s="17"/>
      <c r="I75" s="17"/>
      <c r="J75" s="17"/>
      <c r="K75" s="17"/>
      <c r="L75" s="17"/>
      <c r="M75" s="17"/>
      <c r="N75" s="17"/>
      <c r="O75" s="17"/>
      <c r="P75" s="17" t="s">
        <v>204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8" customHeight="1">
      <c r="A76" s="17"/>
      <c r="B76" s="15" t="s">
        <v>636</v>
      </c>
      <c r="C76" s="17"/>
      <c r="D76" s="17" t="s">
        <v>75</v>
      </c>
      <c r="E76" s="17"/>
      <c r="F76" s="17"/>
      <c r="G76" s="17" t="s">
        <v>682</v>
      </c>
      <c r="H76" s="17"/>
      <c r="I76" s="17"/>
      <c r="J76" s="17"/>
      <c r="K76" s="17"/>
      <c r="L76" s="17"/>
      <c r="M76" s="17"/>
      <c r="N76" s="17"/>
      <c r="O76" s="17"/>
      <c r="P76" s="17" t="s">
        <v>204</v>
      </c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8" customHeight="1">
      <c r="A77" s="17"/>
      <c r="B77" s="15" t="s">
        <v>636</v>
      </c>
      <c r="C77" s="17"/>
      <c r="D77" s="17" t="s">
        <v>75</v>
      </c>
      <c r="E77" s="17"/>
      <c r="F77" s="17"/>
      <c r="G77" s="17" t="s">
        <v>683</v>
      </c>
      <c r="H77" s="17"/>
      <c r="I77" s="17"/>
      <c r="J77" s="17"/>
      <c r="K77" s="17"/>
      <c r="L77" s="17"/>
      <c r="M77" s="17"/>
      <c r="N77" s="17"/>
      <c r="O77" s="17"/>
      <c r="P77" s="17" t="s">
        <v>204</v>
      </c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8" customHeight="1">
      <c r="A78" s="17"/>
      <c r="B78" s="15" t="s">
        <v>636</v>
      </c>
      <c r="C78" s="17"/>
      <c r="D78" s="17" t="s">
        <v>75</v>
      </c>
      <c r="E78" s="17"/>
      <c r="F78" s="17"/>
      <c r="G78" s="17" t="s">
        <v>684</v>
      </c>
      <c r="H78" s="17"/>
      <c r="I78" s="17"/>
      <c r="J78" s="17"/>
      <c r="K78" s="17"/>
      <c r="L78" s="17"/>
      <c r="M78" s="17"/>
      <c r="N78" s="17"/>
      <c r="O78" s="17"/>
      <c r="P78" s="17" t="s">
        <v>204</v>
      </c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8" customHeight="1">
      <c r="A79" s="17"/>
      <c r="B79" s="15" t="s">
        <v>636</v>
      </c>
      <c r="C79" s="17"/>
      <c r="D79" s="17" t="s">
        <v>75</v>
      </c>
      <c r="E79" s="17"/>
      <c r="F79" s="17"/>
      <c r="G79" s="17" t="s">
        <v>685</v>
      </c>
      <c r="H79" s="17"/>
      <c r="I79" s="17"/>
      <c r="J79" s="17"/>
      <c r="K79" s="17"/>
      <c r="L79" s="17"/>
      <c r="M79" s="17"/>
      <c r="N79" s="17"/>
      <c r="O79" s="17"/>
      <c r="P79" s="17" t="s">
        <v>204</v>
      </c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8" customHeight="1">
      <c r="A80" s="17"/>
      <c r="B80" s="15" t="s">
        <v>636</v>
      </c>
      <c r="C80" s="17"/>
      <c r="D80" s="17" t="s">
        <v>75</v>
      </c>
      <c r="E80" s="17"/>
      <c r="F80" s="17"/>
      <c r="G80" s="17" t="s">
        <v>686</v>
      </c>
      <c r="H80" s="17"/>
      <c r="I80" s="17"/>
      <c r="J80" s="17"/>
      <c r="K80" s="17"/>
      <c r="L80" s="17"/>
      <c r="M80" s="17"/>
      <c r="N80" s="17"/>
      <c r="O80" s="17"/>
      <c r="P80" s="17" t="s">
        <v>204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8" customHeight="1">
      <c r="A81" s="17"/>
      <c r="B81" s="15" t="s">
        <v>636</v>
      </c>
      <c r="C81" s="17"/>
      <c r="D81" s="17" t="s">
        <v>75</v>
      </c>
      <c r="E81" s="17"/>
      <c r="F81" s="17"/>
      <c r="G81" s="17" t="s">
        <v>687</v>
      </c>
      <c r="H81" s="17"/>
      <c r="I81" s="17"/>
      <c r="J81" s="17"/>
      <c r="K81" s="17"/>
      <c r="L81" s="17"/>
      <c r="M81" s="17"/>
      <c r="N81" s="17"/>
      <c r="O81" s="17"/>
      <c r="P81" s="17" t="s">
        <v>204</v>
      </c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8" customHeight="1">
      <c r="A82" s="17"/>
      <c r="B82" s="15" t="s">
        <v>636</v>
      </c>
      <c r="C82" s="17"/>
      <c r="D82" s="17" t="s">
        <v>75</v>
      </c>
      <c r="E82" s="17"/>
      <c r="F82" s="17"/>
      <c r="G82" s="17" t="s">
        <v>688</v>
      </c>
      <c r="H82" s="17"/>
      <c r="I82" s="17"/>
      <c r="J82" s="17"/>
      <c r="K82" s="17"/>
      <c r="L82" s="17"/>
      <c r="M82" s="17"/>
      <c r="N82" s="17"/>
      <c r="O82" s="17"/>
      <c r="P82" s="17" t="s">
        <v>204</v>
      </c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8" customHeight="1">
      <c r="A83" s="17"/>
      <c r="B83" s="15" t="s">
        <v>636</v>
      </c>
      <c r="C83" s="17"/>
      <c r="D83" s="17" t="s">
        <v>75</v>
      </c>
      <c r="E83" s="17"/>
      <c r="F83" s="17"/>
      <c r="G83" s="17" t="s">
        <v>689</v>
      </c>
      <c r="H83" s="17"/>
      <c r="I83" s="17"/>
      <c r="J83" s="17"/>
      <c r="K83" s="17"/>
      <c r="L83" s="17"/>
      <c r="M83" s="17"/>
      <c r="N83" s="17"/>
      <c r="O83" s="17"/>
      <c r="P83" s="17" t="s">
        <v>204</v>
      </c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8" customHeight="1">
      <c r="A84" s="17"/>
      <c r="B84" s="15" t="s">
        <v>636</v>
      </c>
      <c r="C84" s="17"/>
      <c r="D84" s="17" t="s">
        <v>75</v>
      </c>
      <c r="E84" s="17"/>
      <c r="F84" s="17"/>
      <c r="G84" s="17" t="s">
        <v>690</v>
      </c>
      <c r="H84" s="17"/>
      <c r="I84" s="17"/>
      <c r="J84" s="17"/>
      <c r="K84" s="17"/>
      <c r="L84" s="17"/>
      <c r="M84" s="17"/>
      <c r="N84" s="17"/>
      <c r="O84" s="17"/>
      <c r="P84" s="17" t="s">
        <v>204</v>
      </c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8" customHeight="1">
      <c r="A85" s="17"/>
      <c r="B85" s="15" t="s">
        <v>636</v>
      </c>
      <c r="C85" s="17"/>
      <c r="D85" s="17" t="s">
        <v>75</v>
      </c>
      <c r="E85" s="17"/>
      <c r="F85" s="17"/>
      <c r="G85" s="17" t="s">
        <v>691</v>
      </c>
      <c r="H85" s="17"/>
      <c r="I85" s="17"/>
      <c r="J85" s="17"/>
      <c r="K85" s="17"/>
      <c r="L85" s="17"/>
      <c r="M85" s="17"/>
      <c r="N85" s="17"/>
      <c r="O85" s="17"/>
      <c r="P85" s="17" t="s">
        <v>204</v>
      </c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s="6" customFormat="1">
      <c r="A86" s="63"/>
      <c r="B86" s="62" t="s">
        <v>636</v>
      </c>
      <c r="C86" s="63"/>
      <c r="D86" s="63" t="s">
        <v>75</v>
      </c>
      <c r="E86" s="63"/>
      <c r="F86" s="63"/>
      <c r="G86" s="63" t="s">
        <v>692</v>
      </c>
      <c r="H86" s="63"/>
      <c r="I86" s="63"/>
      <c r="J86" s="63"/>
      <c r="K86" s="63"/>
      <c r="L86" s="63"/>
      <c r="M86" s="63"/>
      <c r="N86" s="63"/>
      <c r="O86" s="63"/>
      <c r="P86" s="63" t="s">
        <v>204</v>
      </c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s="6" customFormat="1">
      <c r="A87" s="63"/>
      <c r="B87" s="62" t="s">
        <v>636</v>
      </c>
      <c r="C87" s="63"/>
      <c r="D87" s="63" t="s">
        <v>75</v>
      </c>
      <c r="E87" s="63"/>
      <c r="F87" s="63"/>
      <c r="G87" s="63" t="s">
        <v>693</v>
      </c>
      <c r="H87" s="63"/>
      <c r="I87" s="63"/>
      <c r="J87" s="63"/>
      <c r="K87" s="63"/>
      <c r="L87" s="63"/>
      <c r="M87" s="63"/>
      <c r="N87" s="63"/>
      <c r="O87" s="63"/>
      <c r="P87" s="63" t="s">
        <v>204</v>
      </c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s="6" customFormat="1">
      <c r="A88" s="63"/>
      <c r="B88" s="62" t="s">
        <v>636</v>
      </c>
      <c r="C88" s="63"/>
      <c r="D88" s="63" t="s">
        <v>75</v>
      </c>
      <c r="E88" s="63"/>
      <c r="F88" s="63"/>
      <c r="G88" s="64" t="s">
        <v>694</v>
      </c>
      <c r="H88" s="63"/>
      <c r="I88" s="63"/>
      <c r="J88" s="63"/>
      <c r="K88" s="63"/>
      <c r="L88" s="63"/>
      <c r="M88" s="63"/>
      <c r="N88" s="63"/>
      <c r="O88" s="63"/>
      <c r="P88" s="63" t="s">
        <v>204</v>
      </c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s="6" customFormat="1">
      <c r="A89" s="63"/>
      <c r="B89" s="62" t="s">
        <v>636</v>
      </c>
      <c r="C89" s="63"/>
      <c r="D89" s="63" t="s">
        <v>75</v>
      </c>
      <c r="E89" s="63"/>
      <c r="F89" s="63"/>
      <c r="G89" s="64" t="s">
        <v>695</v>
      </c>
      <c r="H89" s="63"/>
      <c r="I89" s="63"/>
      <c r="J89" s="63"/>
      <c r="K89" s="63"/>
      <c r="L89" s="63"/>
      <c r="M89" s="63"/>
      <c r="N89" s="63"/>
      <c r="O89" s="63"/>
      <c r="P89" s="63" t="s">
        <v>696</v>
      </c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s="6" customFormat="1">
      <c r="A90" s="63"/>
      <c r="B90" s="62" t="s">
        <v>636</v>
      </c>
      <c r="C90" s="63"/>
      <c r="D90" s="63" t="s">
        <v>75</v>
      </c>
      <c r="E90" s="63"/>
      <c r="F90" s="63"/>
      <c r="G90" s="63" t="s">
        <v>697</v>
      </c>
      <c r="H90" s="63"/>
      <c r="I90" s="63"/>
      <c r="J90" s="63"/>
      <c r="K90" s="63"/>
      <c r="L90" s="63"/>
      <c r="M90" s="63"/>
      <c r="N90" s="63"/>
      <c r="O90" s="63"/>
      <c r="P90" s="63" t="s">
        <v>204</v>
      </c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</sheetData>
  <autoFilter ref="A1:AB90" xr:uid="{8C812049-02F1-49C0-B081-5121183CCF36}"/>
  <phoneticPr fontId="4" type="noConversion"/>
  <conditionalFormatting sqref="F1">
    <cfRule type="duplicateValues" dxfId="7" priority="1"/>
  </conditionalFormatting>
  <conditionalFormatting sqref="G1">
    <cfRule type="duplicateValues" priority="2"/>
  </conditionalFormatting>
  <conditionalFormatting sqref="Z1">
    <cfRule type="cellIs" dxfId="6" priority="3" operator="equal">
      <formula>"Y"</formula>
    </cfRule>
    <cfRule type="cellIs" dxfId="5" priority="4" operator="equal">
      <formula>"N"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0813-C544-423F-97AC-9E518246155B}">
  <dimension ref="A1:AB77"/>
  <sheetViews>
    <sheetView zoomScale="55" zoomScaleNormal="55" workbookViewId="0">
      <pane ySplit="1" topLeftCell="A17" activePane="bottomLeft" state="frozen"/>
      <selection pane="bottomLeft" activeCell="G41" sqref="G41:G42"/>
    </sheetView>
  </sheetViews>
  <sheetFormatPr defaultRowHeight="13.8"/>
  <cols>
    <col min="1" max="1" width="3.5546875" bestFit="1" customWidth="1"/>
    <col min="2" max="2" width="12.6640625" bestFit="1" customWidth="1"/>
    <col min="3" max="3" width="9.5546875" customWidth="1"/>
    <col min="4" max="4" width="9.33203125" bestFit="1" customWidth="1"/>
    <col min="5" max="5" width="11.88671875" bestFit="1" customWidth="1"/>
    <col min="6" max="6" width="18" bestFit="1" customWidth="1"/>
    <col min="7" max="7" width="39.5546875" bestFit="1" customWidth="1"/>
    <col min="8" max="8" width="11" bestFit="1" customWidth="1"/>
    <col min="9" max="9" width="17" bestFit="1" customWidth="1"/>
    <col min="10" max="10" width="33.33203125" bestFit="1" customWidth="1"/>
    <col min="11" max="11" width="17.88671875" bestFit="1" customWidth="1"/>
    <col min="12" max="12" width="12.6640625" bestFit="1" customWidth="1"/>
    <col min="13" max="13" width="17" bestFit="1" customWidth="1"/>
    <col min="14" max="14" width="10.109375" bestFit="1" customWidth="1"/>
    <col min="15" max="15" width="11" bestFit="1" customWidth="1"/>
    <col min="16" max="16" width="40.33203125" bestFit="1" customWidth="1"/>
    <col min="17" max="17" width="4.44140625" bestFit="1" customWidth="1"/>
    <col min="18" max="18" width="4.6640625" bestFit="1" customWidth="1"/>
    <col min="19" max="20" width="6.6640625" bestFit="1" customWidth="1"/>
    <col min="21" max="21" width="12" bestFit="1" customWidth="1"/>
    <col min="22" max="22" width="4.6640625" bestFit="1" customWidth="1"/>
    <col min="23" max="23" width="13.33203125" bestFit="1" customWidth="1"/>
    <col min="24" max="24" width="30.44140625" bestFit="1" customWidth="1"/>
    <col min="25" max="25" width="8.33203125" bestFit="1" customWidth="1"/>
    <col min="26" max="26" width="12.33203125" bestFit="1" customWidth="1"/>
  </cols>
  <sheetData>
    <row r="1" spans="1:28" ht="19.95" customHeight="1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10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  <c r="M1" s="9" t="s">
        <v>60</v>
      </c>
      <c r="N1" s="9" t="s">
        <v>61</v>
      </c>
      <c r="O1" s="9" t="s">
        <v>62</v>
      </c>
      <c r="P1" s="9" t="s">
        <v>63</v>
      </c>
      <c r="Q1" s="9" t="s">
        <v>64</v>
      </c>
      <c r="R1" s="9" t="s">
        <v>65</v>
      </c>
      <c r="S1" s="9" t="s">
        <v>66</v>
      </c>
      <c r="T1" s="9" t="s">
        <v>67</v>
      </c>
      <c r="U1" s="9" t="s">
        <v>68</v>
      </c>
      <c r="V1" s="9" t="s">
        <v>69</v>
      </c>
      <c r="W1" s="9" t="s">
        <v>70</v>
      </c>
      <c r="X1" s="9" t="s">
        <v>71</v>
      </c>
      <c r="Y1" s="9" t="s">
        <v>72</v>
      </c>
      <c r="Z1" s="9" t="s">
        <v>74</v>
      </c>
      <c r="AA1" s="4"/>
      <c r="AB1" s="4"/>
    </row>
    <row r="2" spans="1:28" s="18" customFormat="1" ht="19.95" customHeight="1">
      <c r="A2" s="15"/>
      <c r="B2" s="15" t="s">
        <v>569</v>
      </c>
      <c r="C2" s="15"/>
      <c r="D2" s="15" t="s">
        <v>75</v>
      </c>
      <c r="E2" s="15"/>
      <c r="F2" s="15"/>
      <c r="G2" s="15" t="s">
        <v>698</v>
      </c>
      <c r="H2" s="15"/>
      <c r="I2" s="15"/>
      <c r="J2" s="15"/>
      <c r="K2" s="15"/>
      <c r="L2" s="15"/>
      <c r="M2" s="15"/>
      <c r="N2" s="15"/>
      <c r="O2" s="15"/>
      <c r="P2" s="15" t="s">
        <v>202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8" s="18" customFormat="1" ht="19.95" customHeight="1">
      <c r="A3" s="15"/>
      <c r="B3" s="15" t="s">
        <v>565</v>
      </c>
      <c r="C3" s="15"/>
      <c r="D3" s="15" t="s">
        <v>75</v>
      </c>
      <c r="E3" s="15"/>
      <c r="F3" s="15"/>
      <c r="G3" s="15" t="s">
        <v>699</v>
      </c>
      <c r="H3" s="15"/>
      <c r="I3" s="15"/>
      <c r="J3" s="15"/>
      <c r="K3" s="15"/>
      <c r="L3" s="15"/>
      <c r="M3" s="15"/>
      <c r="N3" s="15"/>
      <c r="O3" s="15"/>
      <c r="P3" s="15" t="s">
        <v>700</v>
      </c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8" s="18" customFormat="1" ht="19.95" customHeight="1">
      <c r="A4" s="15"/>
      <c r="B4" s="15" t="s">
        <v>565</v>
      </c>
      <c r="C4" s="15"/>
      <c r="D4" s="15" t="s">
        <v>75</v>
      </c>
      <c r="E4" s="15"/>
      <c r="F4" s="15"/>
      <c r="G4" s="15" t="s">
        <v>701</v>
      </c>
      <c r="H4" s="15"/>
      <c r="I4" s="15"/>
      <c r="J4" s="15"/>
      <c r="K4" s="15"/>
      <c r="L4" s="15"/>
      <c r="M4" s="15"/>
      <c r="N4" s="15"/>
      <c r="O4" s="15"/>
      <c r="P4" s="15" t="s">
        <v>700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8" s="18" customFormat="1" ht="19.95" customHeight="1">
      <c r="A5" s="15"/>
      <c r="B5" s="15" t="s">
        <v>565</v>
      </c>
      <c r="C5" s="15"/>
      <c r="D5" s="15" t="s">
        <v>75</v>
      </c>
      <c r="E5" s="15"/>
      <c r="F5" s="15"/>
      <c r="G5" s="15" t="s">
        <v>702</v>
      </c>
      <c r="H5" s="15"/>
      <c r="I5" s="15"/>
      <c r="J5" s="15"/>
      <c r="K5" s="15"/>
      <c r="L5" s="15"/>
      <c r="M5" s="15"/>
      <c r="N5" s="15"/>
      <c r="O5" s="15"/>
      <c r="P5" s="15" t="s">
        <v>202</v>
      </c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8" s="18" customFormat="1" ht="19.95" customHeight="1">
      <c r="A6" s="15"/>
      <c r="B6" s="15" t="s">
        <v>565</v>
      </c>
      <c r="C6" s="15"/>
      <c r="D6" s="15" t="s">
        <v>75</v>
      </c>
      <c r="E6" s="15"/>
      <c r="F6" s="15"/>
      <c r="G6" s="15" t="s">
        <v>703</v>
      </c>
      <c r="H6" s="15"/>
      <c r="I6" s="15"/>
      <c r="J6" s="15"/>
      <c r="K6" s="15"/>
      <c r="L6" s="15"/>
      <c r="M6" s="15"/>
      <c r="N6" s="15"/>
      <c r="O6" s="15"/>
      <c r="P6" s="15" t="s">
        <v>202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8" s="18" customFormat="1" ht="19.95" customHeight="1">
      <c r="A7" s="15"/>
      <c r="B7" s="15" t="s">
        <v>565</v>
      </c>
      <c r="C7" s="15"/>
      <c r="D7" s="15" t="s">
        <v>75</v>
      </c>
      <c r="E7" s="15"/>
      <c r="F7" s="15"/>
      <c r="G7" s="15" t="s">
        <v>704</v>
      </c>
      <c r="H7" s="15"/>
      <c r="I7" s="15"/>
      <c r="J7" s="15"/>
      <c r="K7" s="15"/>
      <c r="L7" s="15"/>
      <c r="M7" s="15"/>
      <c r="N7" s="15"/>
      <c r="O7" s="15"/>
      <c r="P7" s="15" t="s">
        <v>202</v>
      </c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8" s="18" customFormat="1" ht="19.95" customHeight="1">
      <c r="A8" s="15"/>
      <c r="B8" s="15" t="s">
        <v>565</v>
      </c>
      <c r="C8" s="15"/>
      <c r="D8" s="15" t="s">
        <v>75</v>
      </c>
      <c r="E8" s="15"/>
      <c r="F8" s="15"/>
      <c r="G8" s="15" t="s">
        <v>705</v>
      </c>
      <c r="H8" s="15"/>
      <c r="I8" s="15"/>
      <c r="J8" s="15"/>
      <c r="K8" s="15"/>
      <c r="L8" s="15"/>
      <c r="M8" s="15"/>
      <c r="N8" s="15"/>
      <c r="O8" s="15"/>
      <c r="P8" s="15" t="s">
        <v>202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8" s="18" customFormat="1" ht="19.95" customHeight="1">
      <c r="A9" s="15"/>
      <c r="B9" s="15" t="s">
        <v>565</v>
      </c>
      <c r="C9" s="15"/>
      <c r="D9" s="15" t="s">
        <v>75</v>
      </c>
      <c r="E9" s="15"/>
      <c r="F9" s="15"/>
      <c r="G9" s="15" t="s">
        <v>706</v>
      </c>
      <c r="H9" s="15"/>
      <c r="I9" s="15"/>
      <c r="J9" s="15"/>
      <c r="K9" s="15"/>
      <c r="L9" s="15"/>
      <c r="M9" s="15"/>
      <c r="N9" s="15"/>
      <c r="O9" s="15"/>
      <c r="P9" s="15" t="s">
        <v>700</v>
      </c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8" s="18" customFormat="1" ht="19.95" customHeight="1">
      <c r="A10" s="15"/>
      <c r="B10" s="15" t="s">
        <v>565</v>
      </c>
      <c r="C10" s="15"/>
      <c r="D10" s="15" t="s">
        <v>75</v>
      </c>
      <c r="E10" s="15"/>
      <c r="F10" s="15"/>
      <c r="G10" s="15" t="s">
        <v>707</v>
      </c>
      <c r="H10" s="15"/>
      <c r="I10" s="15"/>
      <c r="J10" s="15"/>
      <c r="K10" s="15"/>
      <c r="L10" s="15"/>
      <c r="M10" s="15"/>
      <c r="N10" s="15"/>
      <c r="O10" s="15"/>
      <c r="P10" s="15" t="s">
        <v>700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8" s="18" customFormat="1" ht="19.95" customHeight="1">
      <c r="A11" s="15"/>
      <c r="B11" s="15" t="s">
        <v>565</v>
      </c>
      <c r="C11" s="15"/>
      <c r="D11" s="15" t="s">
        <v>75</v>
      </c>
      <c r="E11" s="15"/>
      <c r="F11" s="15"/>
      <c r="G11" s="15" t="s">
        <v>708</v>
      </c>
      <c r="H11" s="15"/>
      <c r="I11" s="15"/>
      <c r="J11" s="15"/>
      <c r="K11" s="15"/>
      <c r="L11" s="15"/>
      <c r="M11" s="15"/>
      <c r="N11" s="15"/>
      <c r="O11" s="15"/>
      <c r="P11" s="15" t="s">
        <v>202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8" s="18" customFormat="1" ht="19.95" customHeight="1">
      <c r="A12" s="15"/>
      <c r="B12" s="15" t="s">
        <v>565</v>
      </c>
      <c r="C12" s="15"/>
      <c r="D12" s="15" t="s">
        <v>75</v>
      </c>
      <c r="E12" s="15"/>
      <c r="F12" s="15"/>
      <c r="G12" s="15" t="s">
        <v>709</v>
      </c>
      <c r="H12" s="15"/>
      <c r="I12" s="15"/>
      <c r="J12" s="15"/>
      <c r="K12" s="15"/>
      <c r="L12" s="15"/>
      <c r="M12" s="15"/>
      <c r="N12" s="15"/>
      <c r="O12" s="15"/>
      <c r="P12" s="15" t="s">
        <v>202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8" s="18" customFormat="1" ht="19.95" customHeight="1">
      <c r="A13" s="15"/>
      <c r="B13" s="15" t="s">
        <v>565</v>
      </c>
      <c r="C13" s="15"/>
      <c r="D13" s="15" t="s">
        <v>75</v>
      </c>
      <c r="E13" s="15"/>
      <c r="F13" s="15"/>
      <c r="G13" s="15" t="s">
        <v>710</v>
      </c>
      <c r="H13" s="15"/>
      <c r="I13" s="15"/>
      <c r="J13" s="15"/>
      <c r="K13" s="15"/>
      <c r="L13" s="15"/>
      <c r="M13" s="15"/>
      <c r="N13" s="15"/>
      <c r="O13" s="15"/>
      <c r="P13" s="15" t="s">
        <v>202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8" s="18" customFormat="1" ht="19.95" customHeight="1">
      <c r="A14" s="15"/>
      <c r="B14" s="15" t="s">
        <v>636</v>
      </c>
      <c r="C14" s="15"/>
      <c r="D14" s="15" t="s">
        <v>75</v>
      </c>
      <c r="E14" s="15"/>
      <c r="F14" s="15"/>
      <c r="G14" s="15" t="s">
        <v>711</v>
      </c>
      <c r="H14" s="15"/>
      <c r="I14" s="15"/>
      <c r="J14" s="15"/>
      <c r="K14" s="15"/>
      <c r="L14" s="15"/>
      <c r="M14" s="15"/>
      <c r="N14" s="15"/>
      <c r="O14" s="15"/>
      <c r="P14" s="15" t="s">
        <v>712</v>
      </c>
      <c r="Q14" s="15"/>
      <c r="R14" s="15"/>
      <c r="S14" s="15"/>
      <c r="T14" s="15"/>
      <c r="U14" s="15"/>
      <c r="V14" s="15"/>
      <c r="W14" s="15"/>
      <c r="X14" s="15" t="s">
        <v>713</v>
      </c>
      <c r="Y14" s="15"/>
      <c r="Z14" s="15"/>
    </row>
    <row r="15" spans="1:28" ht="19.95" customHeight="1">
      <c r="A15" s="17"/>
      <c r="B15" s="15" t="s">
        <v>636</v>
      </c>
      <c r="C15" s="17"/>
      <c r="D15" s="17" t="s">
        <v>75</v>
      </c>
      <c r="E15" s="17"/>
      <c r="F15" s="17"/>
      <c r="G15" s="15" t="s">
        <v>714</v>
      </c>
      <c r="H15" s="17"/>
      <c r="I15" s="15"/>
      <c r="J15" s="15"/>
      <c r="K15" s="17"/>
      <c r="L15" s="15"/>
      <c r="M15" s="17"/>
      <c r="N15" s="17"/>
      <c r="O15" s="17"/>
      <c r="P15" s="15" t="s">
        <v>712</v>
      </c>
      <c r="Q15" s="17"/>
      <c r="R15" s="17"/>
      <c r="S15" s="17"/>
      <c r="T15" s="17"/>
      <c r="U15" s="17"/>
      <c r="V15" s="17"/>
      <c r="W15" s="17"/>
      <c r="X15" s="17" t="s">
        <v>715</v>
      </c>
      <c r="Y15" s="17"/>
      <c r="Z15" s="17"/>
    </row>
    <row r="16" spans="1:28" ht="19.95" customHeight="1">
      <c r="A16" s="17"/>
      <c r="B16" s="15" t="s">
        <v>636</v>
      </c>
      <c r="C16" s="17"/>
      <c r="D16" s="17" t="s">
        <v>75</v>
      </c>
      <c r="E16" s="17"/>
      <c r="F16" s="17"/>
      <c r="G16" s="15" t="s">
        <v>716</v>
      </c>
      <c r="H16" s="17"/>
      <c r="I16" s="15"/>
      <c r="J16" s="15"/>
      <c r="K16" s="17"/>
      <c r="L16" s="15"/>
      <c r="M16" s="17"/>
      <c r="N16" s="17"/>
      <c r="O16" s="17"/>
      <c r="P16" s="15" t="s">
        <v>712</v>
      </c>
      <c r="Q16" s="17"/>
      <c r="R16" s="17"/>
      <c r="S16" s="17"/>
      <c r="T16" s="17"/>
      <c r="U16" s="17"/>
      <c r="V16" s="17"/>
      <c r="W16" s="17"/>
      <c r="X16" s="17" t="s">
        <v>717</v>
      </c>
      <c r="Y16" s="17"/>
      <c r="Z16" s="17"/>
    </row>
    <row r="17" spans="1:26" ht="19.95" customHeight="1">
      <c r="A17" s="17"/>
      <c r="B17" s="15" t="s">
        <v>636</v>
      </c>
      <c r="C17" s="17"/>
      <c r="D17" s="17" t="s">
        <v>75</v>
      </c>
      <c r="E17" s="17"/>
      <c r="F17" s="17"/>
      <c r="G17" s="15" t="s">
        <v>718</v>
      </c>
      <c r="H17" s="17"/>
      <c r="I17" s="15"/>
      <c r="J17" s="15"/>
      <c r="K17" s="17"/>
      <c r="L17" s="15"/>
      <c r="M17" s="17"/>
      <c r="N17" s="17"/>
      <c r="O17" s="17"/>
      <c r="P17" s="15" t="s">
        <v>164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9.95" customHeight="1">
      <c r="A18" s="17"/>
      <c r="B18" s="15" t="s">
        <v>636</v>
      </c>
      <c r="C18" s="17"/>
      <c r="D18" s="17" t="s">
        <v>75</v>
      </c>
      <c r="E18" s="17"/>
      <c r="F18" s="17"/>
      <c r="G18" s="15" t="s">
        <v>719</v>
      </c>
      <c r="H18" s="17"/>
      <c r="I18" s="15"/>
      <c r="J18" s="15"/>
      <c r="K18" s="17"/>
      <c r="L18" s="15"/>
      <c r="M18" s="17"/>
      <c r="N18" s="17"/>
      <c r="O18" s="17"/>
      <c r="P18" s="15" t="s">
        <v>315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9.95" customHeight="1">
      <c r="A19" s="17"/>
      <c r="B19" s="15" t="s">
        <v>636</v>
      </c>
      <c r="C19" s="17"/>
      <c r="D19" s="17" t="s">
        <v>75</v>
      </c>
      <c r="E19" s="17"/>
      <c r="F19" s="17"/>
      <c r="G19" s="15" t="s">
        <v>720</v>
      </c>
      <c r="H19" s="17"/>
      <c r="I19" s="15"/>
      <c r="J19" s="17"/>
      <c r="K19" s="17"/>
      <c r="L19" s="15"/>
      <c r="M19" s="17"/>
      <c r="N19" s="17"/>
      <c r="O19" s="17"/>
      <c r="P19" s="17" t="s">
        <v>182</v>
      </c>
      <c r="Q19" s="17"/>
      <c r="R19" s="17"/>
      <c r="S19" s="17"/>
      <c r="T19" s="17"/>
      <c r="U19" s="17"/>
      <c r="V19" s="17"/>
      <c r="W19" s="17"/>
      <c r="X19" s="17" t="s">
        <v>721</v>
      </c>
      <c r="Y19" s="17"/>
      <c r="Z19" s="17"/>
    </row>
    <row r="20" spans="1:26" ht="19.95" customHeight="1">
      <c r="A20" s="17"/>
      <c r="B20" s="15" t="s">
        <v>636</v>
      </c>
      <c r="C20" s="17"/>
      <c r="D20" s="17" t="s">
        <v>75</v>
      </c>
      <c r="E20" s="17"/>
      <c r="F20" s="17"/>
      <c r="G20" s="15" t="s">
        <v>722</v>
      </c>
      <c r="H20" s="17"/>
      <c r="I20" s="15"/>
      <c r="J20" s="17"/>
      <c r="K20" s="17"/>
      <c r="L20" s="15"/>
      <c r="M20" s="17"/>
      <c r="N20" s="17"/>
      <c r="O20" s="17"/>
      <c r="P20" s="17" t="s">
        <v>182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9.95" customHeight="1">
      <c r="A21" s="17"/>
      <c r="B21" s="15" t="s">
        <v>636</v>
      </c>
      <c r="C21" s="17"/>
      <c r="D21" s="17" t="s">
        <v>75</v>
      </c>
      <c r="E21" s="17"/>
      <c r="F21" s="17"/>
      <c r="G21" s="15" t="s">
        <v>723</v>
      </c>
      <c r="H21" s="17"/>
      <c r="I21" s="15"/>
      <c r="J21" s="17"/>
      <c r="K21" s="17"/>
      <c r="L21" s="15"/>
      <c r="M21" s="17"/>
      <c r="N21" s="17"/>
      <c r="O21" s="17"/>
      <c r="P21" s="17" t="s">
        <v>155</v>
      </c>
      <c r="Q21" s="17"/>
      <c r="R21" s="17"/>
      <c r="S21" s="17"/>
      <c r="T21" s="17"/>
      <c r="U21" s="17"/>
      <c r="V21" s="17"/>
      <c r="W21" s="17"/>
      <c r="X21" s="17" t="s">
        <v>724</v>
      </c>
      <c r="Y21" s="17"/>
      <c r="Z21" s="17"/>
    </row>
    <row r="22" spans="1:26" ht="19.95" customHeight="1">
      <c r="A22" s="17"/>
      <c r="B22" s="15" t="s">
        <v>636</v>
      </c>
      <c r="C22" s="17"/>
      <c r="D22" s="17" t="s">
        <v>75</v>
      </c>
      <c r="E22" s="17"/>
      <c r="F22" s="17"/>
      <c r="G22" s="15" t="s">
        <v>725</v>
      </c>
      <c r="H22" s="17"/>
      <c r="I22" s="15"/>
      <c r="J22" s="17"/>
      <c r="K22" s="17"/>
      <c r="L22" s="15"/>
      <c r="M22" s="17"/>
      <c r="N22" s="17"/>
      <c r="O22" s="17"/>
      <c r="P22" s="17" t="s">
        <v>155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9.95" customHeight="1">
      <c r="A23" s="17"/>
      <c r="B23" s="15" t="s">
        <v>726</v>
      </c>
      <c r="C23" s="17"/>
      <c r="D23" s="17" t="s">
        <v>75</v>
      </c>
      <c r="E23" s="17"/>
      <c r="F23" s="17"/>
      <c r="G23" s="15" t="s">
        <v>727</v>
      </c>
      <c r="H23" s="17"/>
      <c r="I23" s="17"/>
      <c r="J23" s="15"/>
      <c r="K23" s="17"/>
      <c r="L23" s="15"/>
      <c r="M23" s="17"/>
      <c r="N23" s="17"/>
      <c r="O23" s="17"/>
      <c r="P23" s="15" t="s">
        <v>164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9.95" customHeight="1">
      <c r="A24" s="17"/>
      <c r="B24" s="15" t="s">
        <v>726</v>
      </c>
      <c r="C24" s="17"/>
      <c r="D24" s="17" t="s">
        <v>75</v>
      </c>
      <c r="E24" s="17"/>
      <c r="F24" s="17"/>
      <c r="G24" s="15" t="s">
        <v>728</v>
      </c>
      <c r="H24" s="17"/>
      <c r="I24" s="17"/>
      <c r="J24" s="15"/>
      <c r="K24" s="17"/>
      <c r="L24" s="15"/>
      <c r="M24" s="17"/>
      <c r="N24" s="17"/>
      <c r="O24" s="17"/>
      <c r="P24" s="15" t="s">
        <v>164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9.95" customHeight="1">
      <c r="A25" s="17"/>
      <c r="B25" s="15" t="s">
        <v>636</v>
      </c>
      <c r="C25" s="17"/>
      <c r="D25" s="17" t="s">
        <v>75</v>
      </c>
      <c r="E25" s="17"/>
      <c r="F25" s="17"/>
      <c r="G25" s="15" t="s">
        <v>729</v>
      </c>
      <c r="H25" s="17"/>
      <c r="I25" s="17"/>
      <c r="J25" s="17"/>
      <c r="K25" s="17"/>
      <c r="L25" s="15"/>
      <c r="M25" s="17"/>
      <c r="N25" s="17"/>
      <c r="O25" s="17"/>
      <c r="P25" s="17" t="s">
        <v>150</v>
      </c>
      <c r="Q25" s="17"/>
      <c r="R25" s="17"/>
      <c r="S25" s="17"/>
      <c r="T25" s="17"/>
      <c r="U25" s="17"/>
      <c r="V25" s="17"/>
      <c r="W25" s="17"/>
      <c r="X25" s="17" t="s">
        <v>730</v>
      </c>
      <c r="Y25" s="17"/>
      <c r="Z25" s="17"/>
    </row>
    <row r="26" spans="1:26" ht="19.95" customHeight="1">
      <c r="A26" s="17"/>
      <c r="B26" s="15" t="s">
        <v>636</v>
      </c>
      <c r="C26" s="17"/>
      <c r="D26" s="17" t="s">
        <v>75</v>
      </c>
      <c r="E26" s="17"/>
      <c r="F26" s="17"/>
      <c r="G26" s="15" t="s">
        <v>731</v>
      </c>
      <c r="H26" s="17"/>
      <c r="I26" s="17"/>
      <c r="J26" s="17"/>
      <c r="K26" s="17"/>
      <c r="L26" s="15"/>
      <c r="M26" s="17"/>
      <c r="N26" s="17"/>
      <c r="O26" s="17"/>
      <c r="P26" s="17" t="s">
        <v>150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9.95" customHeight="1">
      <c r="A27" s="17"/>
      <c r="B27" s="15" t="s">
        <v>636</v>
      </c>
      <c r="C27" s="17"/>
      <c r="D27" s="17" t="s">
        <v>75</v>
      </c>
      <c r="E27" s="17"/>
      <c r="F27" s="17"/>
      <c r="G27" s="15" t="s">
        <v>732</v>
      </c>
      <c r="H27" s="17"/>
      <c r="I27" s="17"/>
      <c r="J27" s="15"/>
      <c r="K27" s="17"/>
      <c r="L27" s="15"/>
      <c r="M27" s="17"/>
      <c r="N27" s="17"/>
      <c r="O27" s="17"/>
      <c r="P27" s="15" t="s">
        <v>202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9.95" customHeight="1">
      <c r="A28" s="17"/>
      <c r="B28" s="15" t="s">
        <v>726</v>
      </c>
      <c r="C28" s="17"/>
      <c r="D28" s="17" t="s">
        <v>75</v>
      </c>
      <c r="E28" s="17"/>
      <c r="F28" s="17"/>
      <c r="G28" s="15" t="s">
        <v>733</v>
      </c>
      <c r="H28" s="17"/>
      <c r="I28" s="17"/>
      <c r="J28" s="17"/>
      <c r="K28" s="17"/>
      <c r="L28" s="15"/>
      <c r="M28" s="17"/>
      <c r="N28" s="17"/>
      <c r="O28" s="17"/>
      <c r="P28" s="17" t="s">
        <v>150</v>
      </c>
      <c r="Q28" s="17"/>
      <c r="R28" s="17"/>
      <c r="S28" s="17"/>
      <c r="T28" s="17"/>
      <c r="U28" s="17"/>
      <c r="V28" s="17"/>
      <c r="W28" s="17"/>
      <c r="X28" s="17" t="s">
        <v>734</v>
      </c>
      <c r="Y28" s="17"/>
      <c r="Z28" s="17"/>
    </row>
    <row r="29" spans="1:26" ht="19.95" customHeight="1">
      <c r="A29" s="17"/>
      <c r="B29" s="15" t="s">
        <v>726</v>
      </c>
      <c r="C29" s="17"/>
      <c r="D29" s="17" t="s">
        <v>75</v>
      </c>
      <c r="E29" s="17"/>
      <c r="F29" s="17"/>
      <c r="G29" s="15" t="s">
        <v>735</v>
      </c>
      <c r="H29" s="17"/>
      <c r="I29" s="17"/>
      <c r="J29" s="17"/>
      <c r="K29" s="17"/>
      <c r="L29" s="15"/>
      <c r="M29" s="17"/>
      <c r="N29" s="17"/>
      <c r="O29" s="17"/>
      <c r="P29" s="17" t="s">
        <v>150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9.95" customHeight="1">
      <c r="A30" s="17"/>
      <c r="B30" s="15" t="s">
        <v>726</v>
      </c>
      <c r="C30" s="17"/>
      <c r="D30" s="17" t="s">
        <v>75</v>
      </c>
      <c r="E30" s="17"/>
      <c r="F30" s="17"/>
      <c r="G30" s="15" t="s">
        <v>736</v>
      </c>
      <c r="H30" s="17"/>
      <c r="I30" s="17"/>
      <c r="J30" s="17"/>
      <c r="K30" s="17"/>
      <c r="L30" s="15"/>
      <c r="M30" s="17"/>
      <c r="N30" s="17"/>
      <c r="O30" s="17"/>
      <c r="P30" s="17" t="s">
        <v>150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9.95" customHeight="1">
      <c r="A31" s="17"/>
      <c r="B31" s="15" t="s">
        <v>726</v>
      </c>
      <c r="C31" s="17"/>
      <c r="D31" s="17" t="s">
        <v>75</v>
      </c>
      <c r="E31" s="17"/>
      <c r="F31" s="17"/>
      <c r="G31" s="15" t="s">
        <v>737</v>
      </c>
      <c r="H31" s="17"/>
      <c r="I31" s="17"/>
      <c r="J31" s="17"/>
      <c r="K31" s="17"/>
      <c r="L31" s="15"/>
      <c r="M31" s="17"/>
      <c r="N31" s="17"/>
      <c r="O31" s="17"/>
      <c r="P31" s="17" t="s">
        <v>150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9.95" customHeight="1">
      <c r="A32" s="17"/>
      <c r="B32" s="15" t="s">
        <v>726</v>
      </c>
      <c r="C32" s="17"/>
      <c r="D32" s="17" t="s">
        <v>75</v>
      </c>
      <c r="E32" s="17"/>
      <c r="F32" s="17"/>
      <c r="G32" s="15" t="s">
        <v>738</v>
      </c>
      <c r="H32" s="17"/>
      <c r="I32" s="17"/>
      <c r="J32" s="17"/>
      <c r="K32" s="17"/>
      <c r="L32" s="15"/>
      <c r="M32" s="17"/>
      <c r="N32" s="17"/>
      <c r="O32" s="17"/>
      <c r="P32" s="17" t="s">
        <v>150</v>
      </c>
      <c r="Q32" s="17"/>
      <c r="R32" s="17"/>
      <c r="S32" s="17"/>
      <c r="T32" s="17"/>
      <c r="U32" s="17"/>
      <c r="V32" s="17"/>
      <c r="W32" s="17"/>
      <c r="X32" s="17" t="s">
        <v>739</v>
      </c>
      <c r="Y32" s="17"/>
      <c r="Z32" s="17"/>
    </row>
    <row r="33" spans="1:26" ht="19.95" customHeight="1">
      <c r="A33" s="17"/>
      <c r="B33" s="15" t="s">
        <v>726</v>
      </c>
      <c r="C33" s="17"/>
      <c r="D33" s="17" t="s">
        <v>75</v>
      </c>
      <c r="E33" s="17"/>
      <c r="F33" s="17"/>
      <c r="G33" s="15" t="s">
        <v>740</v>
      </c>
      <c r="H33" s="17"/>
      <c r="I33" s="17"/>
      <c r="J33" s="17"/>
      <c r="K33" s="17"/>
      <c r="L33" s="15"/>
      <c r="M33" s="17"/>
      <c r="N33" s="17"/>
      <c r="O33" s="17"/>
      <c r="P33" s="17" t="s">
        <v>150</v>
      </c>
      <c r="Q33" s="17"/>
      <c r="R33" s="17"/>
      <c r="S33" s="17"/>
      <c r="T33" s="17"/>
      <c r="U33" s="17"/>
      <c r="V33" s="17"/>
      <c r="W33" s="17"/>
      <c r="X33" s="17" t="s">
        <v>741</v>
      </c>
      <c r="Y33" s="17"/>
      <c r="Z33" s="17"/>
    </row>
    <row r="34" spans="1:26" ht="19.95" customHeight="1">
      <c r="A34" s="17"/>
      <c r="B34" s="15" t="s">
        <v>726</v>
      </c>
      <c r="C34" s="17"/>
      <c r="D34" s="17" t="s">
        <v>75</v>
      </c>
      <c r="E34" s="17"/>
      <c r="F34" s="17"/>
      <c r="G34" s="15" t="s">
        <v>742</v>
      </c>
      <c r="H34" s="17"/>
      <c r="I34" s="17"/>
      <c r="J34" s="15"/>
      <c r="K34" s="17"/>
      <c r="L34" s="15"/>
      <c r="M34" s="17"/>
      <c r="N34" s="17"/>
      <c r="O34" s="17"/>
      <c r="P34" s="15" t="s">
        <v>743</v>
      </c>
      <c r="Q34" s="17"/>
      <c r="R34" s="17"/>
      <c r="S34" s="17"/>
      <c r="T34" s="17"/>
      <c r="U34" s="17"/>
      <c r="V34" s="17"/>
      <c r="W34" s="17"/>
      <c r="X34" s="17" t="s">
        <v>744</v>
      </c>
      <c r="Y34" s="17"/>
      <c r="Z34" s="17"/>
    </row>
    <row r="35" spans="1:26" ht="19.95" customHeight="1">
      <c r="A35" s="17"/>
      <c r="B35" s="15" t="s">
        <v>726</v>
      </c>
      <c r="C35" s="17"/>
      <c r="D35" s="17" t="s">
        <v>75</v>
      </c>
      <c r="E35" s="17"/>
      <c r="F35" s="17"/>
      <c r="G35" s="15" t="s">
        <v>745</v>
      </c>
      <c r="H35" s="17"/>
      <c r="I35" s="17"/>
      <c r="J35" s="17"/>
      <c r="K35" s="17"/>
      <c r="L35" s="15"/>
      <c r="M35" s="17"/>
      <c r="N35" s="17"/>
      <c r="O35" s="17"/>
      <c r="P35" s="17" t="s">
        <v>150</v>
      </c>
      <c r="Q35" s="17"/>
      <c r="R35" s="17"/>
      <c r="S35" s="17"/>
      <c r="T35" s="17"/>
      <c r="U35" s="17"/>
      <c r="V35" s="17"/>
      <c r="W35" s="17"/>
      <c r="X35" s="17" t="s">
        <v>746</v>
      </c>
      <c r="Y35" s="17"/>
      <c r="Z35" s="17"/>
    </row>
    <row r="36" spans="1:26" ht="19.95" customHeight="1">
      <c r="A36" s="17"/>
      <c r="B36" s="15" t="s">
        <v>726</v>
      </c>
      <c r="C36" s="17"/>
      <c r="D36" s="17" t="s">
        <v>75</v>
      </c>
      <c r="E36" s="17"/>
      <c r="F36" s="17"/>
      <c r="G36" s="15" t="s">
        <v>747</v>
      </c>
      <c r="H36" s="17"/>
      <c r="I36" s="17"/>
      <c r="J36" s="15"/>
      <c r="K36" s="17"/>
      <c r="L36" s="15"/>
      <c r="M36" s="17"/>
      <c r="N36" s="17"/>
      <c r="O36" s="17"/>
      <c r="P36" s="15" t="s">
        <v>743</v>
      </c>
      <c r="Q36" s="17"/>
      <c r="R36" s="17"/>
      <c r="S36" s="17"/>
      <c r="T36" s="17"/>
      <c r="U36" s="17"/>
      <c r="V36" s="17"/>
      <c r="W36" s="17"/>
      <c r="X36" s="17" t="s">
        <v>748</v>
      </c>
      <c r="Y36" s="17"/>
      <c r="Z36" s="17"/>
    </row>
    <row r="37" spans="1:26" ht="19.95" customHeight="1">
      <c r="A37" s="17"/>
      <c r="B37" s="15" t="s">
        <v>726</v>
      </c>
      <c r="C37" s="17"/>
      <c r="D37" s="17" t="s">
        <v>75</v>
      </c>
      <c r="E37" s="17"/>
      <c r="F37" s="17"/>
      <c r="G37" s="15" t="s">
        <v>749</v>
      </c>
      <c r="H37" s="17"/>
      <c r="I37" s="17"/>
      <c r="J37" s="17"/>
      <c r="K37" s="17"/>
      <c r="L37" s="15"/>
      <c r="M37" s="17"/>
      <c r="N37" s="17"/>
      <c r="O37" s="17"/>
      <c r="P37" s="17" t="s">
        <v>150</v>
      </c>
      <c r="Q37" s="17"/>
      <c r="R37" s="17"/>
      <c r="S37" s="17"/>
      <c r="T37" s="17"/>
      <c r="U37" s="17"/>
      <c r="V37" s="17"/>
      <c r="W37" s="17"/>
      <c r="X37" s="17" t="s">
        <v>750</v>
      </c>
      <c r="Y37" s="17"/>
      <c r="Z37" s="17"/>
    </row>
    <row r="38" spans="1:26" ht="19.95" customHeight="1">
      <c r="A38" s="17"/>
      <c r="B38" s="15" t="s">
        <v>726</v>
      </c>
      <c r="C38" s="17"/>
      <c r="D38" s="17" t="s">
        <v>75</v>
      </c>
      <c r="E38" s="17"/>
      <c r="F38" s="17"/>
      <c r="G38" s="15" t="s">
        <v>751</v>
      </c>
      <c r="H38" s="17"/>
      <c r="I38" s="17"/>
      <c r="J38" s="17"/>
      <c r="K38" s="17"/>
      <c r="L38" s="15"/>
      <c r="M38" s="17"/>
      <c r="N38" s="17"/>
      <c r="O38" s="17"/>
      <c r="P38" s="17" t="s">
        <v>752</v>
      </c>
      <c r="Q38" s="17"/>
      <c r="R38" s="17"/>
      <c r="S38" s="17"/>
      <c r="T38" s="17"/>
      <c r="U38" s="17"/>
      <c r="V38" s="17"/>
      <c r="W38" s="17"/>
      <c r="X38" s="17" t="s">
        <v>753</v>
      </c>
      <c r="Y38" s="17"/>
      <c r="Z38" s="17"/>
    </row>
    <row r="39" spans="1:26" ht="19.95" customHeight="1">
      <c r="A39" s="17"/>
      <c r="B39" s="15" t="s">
        <v>726</v>
      </c>
      <c r="C39" s="17"/>
      <c r="D39" s="17" t="s">
        <v>75</v>
      </c>
      <c r="E39" s="17"/>
      <c r="F39" s="17"/>
      <c r="G39" s="15" t="s">
        <v>754</v>
      </c>
      <c r="H39" s="17"/>
      <c r="I39" s="17"/>
      <c r="J39" s="17"/>
      <c r="K39" s="17"/>
      <c r="L39" s="15"/>
      <c r="M39" s="17"/>
      <c r="N39" s="17"/>
      <c r="O39" s="17"/>
      <c r="P39" s="17" t="s">
        <v>655</v>
      </c>
      <c r="Q39" s="17"/>
      <c r="R39" s="17"/>
      <c r="S39" s="17"/>
      <c r="T39" s="17"/>
      <c r="U39" s="17"/>
      <c r="V39" s="17"/>
      <c r="W39" s="17"/>
      <c r="X39" s="17" t="s">
        <v>755</v>
      </c>
      <c r="Y39" s="17"/>
      <c r="Z39" s="17"/>
    </row>
    <row r="40" spans="1:26" ht="19.95" customHeight="1">
      <c r="A40" s="17"/>
      <c r="B40" s="15" t="s">
        <v>726</v>
      </c>
      <c r="C40" s="17"/>
      <c r="D40" s="17" t="s">
        <v>75</v>
      </c>
      <c r="E40" s="17"/>
      <c r="F40" s="17"/>
      <c r="G40" s="15" t="s">
        <v>756</v>
      </c>
      <c r="H40" s="17"/>
      <c r="I40" s="17"/>
      <c r="J40" s="17"/>
      <c r="K40" s="17"/>
      <c r="L40" s="15"/>
      <c r="M40" s="17"/>
      <c r="N40" s="17"/>
      <c r="O40" s="17"/>
      <c r="P40" s="17" t="s">
        <v>150</v>
      </c>
      <c r="Q40" s="17"/>
      <c r="R40" s="17"/>
      <c r="S40" s="17"/>
      <c r="T40" s="17"/>
      <c r="U40" s="17"/>
      <c r="V40" s="17"/>
      <c r="W40" s="17"/>
      <c r="X40" s="17" t="s">
        <v>757</v>
      </c>
      <c r="Y40" s="17"/>
      <c r="Z40" s="17"/>
    </row>
    <row r="41" spans="1:26" ht="19.95" customHeight="1">
      <c r="A41" s="17"/>
      <c r="B41" s="15" t="s">
        <v>726</v>
      </c>
      <c r="C41" s="17"/>
      <c r="D41" s="17" t="s">
        <v>75</v>
      </c>
      <c r="E41" s="17"/>
      <c r="F41" s="17"/>
      <c r="G41" s="15" t="s">
        <v>758</v>
      </c>
      <c r="H41" s="17"/>
      <c r="I41" s="17"/>
      <c r="J41" s="17"/>
      <c r="K41" s="17"/>
      <c r="L41" s="15"/>
      <c r="M41" s="17"/>
      <c r="N41" s="17"/>
      <c r="O41" s="17"/>
      <c r="P41" s="17" t="s">
        <v>204</v>
      </c>
      <c r="Q41" s="17"/>
      <c r="R41" s="17"/>
      <c r="S41" s="17"/>
      <c r="T41" s="17"/>
      <c r="U41" s="17"/>
      <c r="V41" s="17"/>
      <c r="W41" s="17"/>
      <c r="X41" s="17" t="s">
        <v>759</v>
      </c>
      <c r="Y41" s="17"/>
      <c r="Z41" s="17"/>
    </row>
    <row r="42" spans="1:26" ht="19.95" customHeight="1">
      <c r="A42" s="17"/>
      <c r="B42" s="15" t="s">
        <v>726</v>
      </c>
      <c r="C42" s="17"/>
      <c r="D42" s="17" t="s">
        <v>75</v>
      </c>
      <c r="E42" s="17"/>
      <c r="F42" s="17"/>
      <c r="G42" s="15" t="s">
        <v>760</v>
      </c>
      <c r="H42" s="17"/>
      <c r="I42" s="17"/>
      <c r="J42" s="17"/>
      <c r="K42" s="17"/>
      <c r="L42" s="15"/>
      <c r="M42" s="17"/>
      <c r="N42" s="17"/>
      <c r="O42" s="17"/>
      <c r="P42" s="17" t="s">
        <v>204</v>
      </c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9.95" customHeight="1">
      <c r="A43" s="17"/>
      <c r="B43" s="15" t="s">
        <v>726</v>
      </c>
      <c r="C43" s="17"/>
      <c r="D43" s="17" t="s">
        <v>75</v>
      </c>
      <c r="E43" s="17"/>
      <c r="F43" s="17"/>
      <c r="G43" s="15" t="s">
        <v>761</v>
      </c>
      <c r="H43" s="17"/>
      <c r="I43" s="17"/>
      <c r="J43" s="17"/>
      <c r="K43" s="17"/>
      <c r="L43" s="15"/>
      <c r="M43" s="17"/>
      <c r="N43" s="17"/>
      <c r="O43" s="17"/>
      <c r="P43" s="17" t="s">
        <v>204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9.95" customHeight="1">
      <c r="A44" s="17"/>
      <c r="B44" s="15" t="s">
        <v>726</v>
      </c>
      <c r="C44" s="17"/>
      <c r="D44" s="17" t="s">
        <v>75</v>
      </c>
      <c r="E44" s="17"/>
      <c r="F44" s="17"/>
      <c r="G44" s="15" t="s">
        <v>762</v>
      </c>
      <c r="H44" s="17"/>
      <c r="I44" s="17"/>
      <c r="J44" s="17"/>
      <c r="K44" s="17"/>
      <c r="L44" s="15"/>
      <c r="M44" s="17"/>
      <c r="N44" s="17"/>
      <c r="O44" s="17"/>
      <c r="P44" s="17" t="s">
        <v>204</v>
      </c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9.95" customHeight="1">
      <c r="A45" s="17"/>
      <c r="B45" s="15" t="s">
        <v>726</v>
      </c>
      <c r="C45" s="17"/>
      <c r="D45" s="17" t="s">
        <v>75</v>
      </c>
      <c r="E45" s="17"/>
      <c r="F45" s="17"/>
      <c r="G45" s="15" t="s">
        <v>763</v>
      </c>
      <c r="H45" s="17"/>
      <c r="I45" s="17"/>
      <c r="J45" s="17"/>
      <c r="K45" s="17"/>
      <c r="L45" s="15"/>
      <c r="M45" s="17"/>
      <c r="N45" s="17"/>
      <c r="O45" s="17"/>
      <c r="P45" s="17" t="s">
        <v>204</v>
      </c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9.95" customHeight="1">
      <c r="A46" s="17"/>
      <c r="B46" s="15" t="s">
        <v>726</v>
      </c>
      <c r="C46" s="17"/>
      <c r="D46" s="17" t="s">
        <v>75</v>
      </c>
      <c r="E46" s="17"/>
      <c r="F46" s="17"/>
      <c r="G46" s="15" t="s">
        <v>764</v>
      </c>
      <c r="H46" s="17"/>
      <c r="I46" s="17"/>
      <c r="J46" s="17"/>
      <c r="K46" s="17"/>
      <c r="L46" s="15"/>
      <c r="M46" s="17"/>
      <c r="N46" s="17"/>
      <c r="O46" s="17"/>
      <c r="P46" s="17" t="s">
        <v>204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9.95" customHeight="1">
      <c r="A47" s="17"/>
      <c r="B47" s="15" t="s">
        <v>726</v>
      </c>
      <c r="C47" s="17"/>
      <c r="D47" s="17" t="s">
        <v>75</v>
      </c>
      <c r="E47" s="17"/>
      <c r="F47" s="17"/>
      <c r="G47" s="15" t="s">
        <v>765</v>
      </c>
      <c r="H47" s="17"/>
      <c r="I47" s="17"/>
      <c r="J47" s="17"/>
      <c r="K47" s="17"/>
      <c r="L47" s="15"/>
      <c r="M47" s="17"/>
      <c r="N47" s="17"/>
      <c r="O47" s="17"/>
      <c r="P47" s="17" t="s">
        <v>204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9.95" customHeight="1">
      <c r="A48" s="17"/>
      <c r="B48" s="15" t="s">
        <v>726</v>
      </c>
      <c r="C48" s="17"/>
      <c r="D48" s="17" t="s">
        <v>75</v>
      </c>
      <c r="E48" s="17"/>
      <c r="F48" s="17"/>
      <c r="G48" s="15" t="s">
        <v>766</v>
      </c>
      <c r="H48" s="17"/>
      <c r="I48" s="17"/>
      <c r="J48" s="17"/>
      <c r="K48" s="17"/>
      <c r="L48" s="15"/>
      <c r="M48" s="17"/>
      <c r="N48" s="17"/>
      <c r="O48" s="17"/>
      <c r="P48" s="17" t="s">
        <v>204</v>
      </c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9.95" customHeight="1">
      <c r="A49" s="17"/>
      <c r="B49" s="15" t="s">
        <v>726</v>
      </c>
      <c r="C49" s="17"/>
      <c r="D49" s="17" t="s">
        <v>75</v>
      </c>
      <c r="E49" s="17"/>
      <c r="F49" s="17"/>
      <c r="G49" s="15" t="s">
        <v>767</v>
      </c>
      <c r="H49" s="17"/>
      <c r="I49" s="17"/>
      <c r="J49" s="17"/>
      <c r="K49" s="17"/>
      <c r="L49" s="15"/>
      <c r="M49" s="17"/>
      <c r="N49" s="17"/>
      <c r="O49" s="17"/>
      <c r="P49" s="17" t="s">
        <v>204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9.95" customHeight="1">
      <c r="A50" s="17"/>
      <c r="B50" s="15" t="s">
        <v>726</v>
      </c>
      <c r="C50" s="17"/>
      <c r="D50" s="17" t="s">
        <v>75</v>
      </c>
      <c r="E50" s="17"/>
      <c r="F50" s="17"/>
      <c r="G50" s="15" t="s">
        <v>768</v>
      </c>
      <c r="H50" s="17"/>
      <c r="I50" s="17"/>
      <c r="J50" s="17"/>
      <c r="K50" s="17"/>
      <c r="L50" s="15"/>
      <c r="M50" s="17"/>
      <c r="N50" s="17"/>
      <c r="O50" s="17"/>
      <c r="P50" s="17" t="s">
        <v>204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9.95" customHeight="1">
      <c r="A51" s="17"/>
      <c r="B51" s="15" t="s">
        <v>726</v>
      </c>
      <c r="C51" s="17"/>
      <c r="D51" s="17" t="s">
        <v>75</v>
      </c>
      <c r="E51" s="17"/>
      <c r="F51" s="17"/>
      <c r="G51" s="15" t="s">
        <v>769</v>
      </c>
      <c r="H51" s="17"/>
      <c r="I51" s="17"/>
      <c r="J51" s="17"/>
      <c r="K51" s="17"/>
      <c r="L51" s="15"/>
      <c r="M51" s="17"/>
      <c r="N51" s="17"/>
      <c r="O51" s="17"/>
      <c r="P51" s="17" t="s">
        <v>204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9.95" customHeight="1">
      <c r="A52" s="17"/>
      <c r="B52" s="15" t="s">
        <v>726</v>
      </c>
      <c r="C52" s="17"/>
      <c r="D52" s="17" t="s">
        <v>75</v>
      </c>
      <c r="E52" s="17"/>
      <c r="F52" s="17"/>
      <c r="G52" s="15" t="s">
        <v>770</v>
      </c>
      <c r="H52" s="17"/>
      <c r="I52" s="17"/>
      <c r="J52" s="17"/>
      <c r="K52" s="17"/>
      <c r="L52" s="15"/>
      <c r="M52" s="17"/>
      <c r="N52" s="17"/>
      <c r="O52" s="17"/>
      <c r="P52" s="17" t="s">
        <v>204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9.95" customHeight="1">
      <c r="A53" s="17"/>
      <c r="B53" s="15" t="s">
        <v>726</v>
      </c>
      <c r="C53" s="17"/>
      <c r="D53" s="17" t="s">
        <v>75</v>
      </c>
      <c r="E53" s="17"/>
      <c r="F53" s="17"/>
      <c r="G53" s="15" t="s">
        <v>771</v>
      </c>
      <c r="H53" s="17"/>
      <c r="I53" s="17"/>
      <c r="J53" s="17"/>
      <c r="K53" s="17"/>
      <c r="L53" s="15"/>
      <c r="M53" s="17"/>
      <c r="N53" s="17"/>
      <c r="O53" s="17"/>
      <c r="P53" s="17" t="s">
        <v>204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9.95" customHeight="1">
      <c r="A54" s="17"/>
      <c r="B54" s="15" t="s">
        <v>726</v>
      </c>
      <c r="C54" s="17"/>
      <c r="D54" s="17" t="s">
        <v>75</v>
      </c>
      <c r="E54" s="17"/>
      <c r="F54" s="17"/>
      <c r="G54" s="15" t="s">
        <v>772</v>
      </c>
      <c r="H54" s="17"/>
      <c r="I54" s="17"/>
      <c r="J54" s="17"/>
      <c r="K54" s="17"/>
      <c r="L54" s="15"/>
      <c r="M54" s="17"/>
      <c r="N54" s="17"/>
      <c r="O54" s="17"/>
      <c r="P54" s="17" t="s">
        <v>204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9.95" customHeight="1">
      <c r="A55" s="17"/>
      <c r="B55" s="15" t="s">
        <v>726</v>
      </c>
      <c r="C55" s="17"/>
      <c r="D55" s="17" t="s">
        <v>75</v>
      </c>
      <c r="E55" s="17"/>
      <c r="F55" s="17"/>
      <c r="G55" s="15" t="s">
        <v>773</v>
      </c>
      <c r="H55" s="17"/>
      <c r="I55" s="17"/>
      <c r="J55" s="17"/>
      <c r="K55" s="17"/>
      <c r="L55" s="15"/>
      <c r="M55" s="17"/>
      <c r="N55" s="17"/>
      <c r="O55" s="17"/>
      <c r="P55" s="17" t="s">
        <v>204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9.95" customHeight="1">
      <c r="A56" s="17"/>
      <c r="B56" s="15" t="s">
        <v>726</v>
      </c>
      <c r="C56" s="17"/>
      <c r="D56" s="17" t="s">
        <v>75</v>
      </c>
      <c r="E56" s="17"/>
      <c r="F56" s="17"/>
      <c r="G56" s="15" t="s">
        <v>774</v>
      </c>
      <c r="H56" s="17"/>
      <c r="I56" s="17"/>
      <c r="J56" s="17"/>
      <c r="K56" s="17"/>
      <c r="L56" s="15"/>
      <c r="M56" s="17"/>
      <c r="N56" s="17"/>
      <c r="O56" s="17"/>
      <c r="P56" s="17" t="s">
        <v>204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9.95" customHeight="1">
      <c r="A57" s="17"/>
      <c r="B57" s="15" t="s">
        <v>726</v>
      </c>
      <c r="C57" s="17"/>
      <c r="D57" s="17" t="s">
        <v>75</v>
      </c>
      <c r="E57" s="17"/>
      <c r="F57" s="17"/>
      <c r="G57" s="15" t="s">
        <v>775</v>
      </c>
      <c r="H57" s="17"/>
      <c r="I57" s="17"/>
      <c r="J57" s="17"/>
      <c r="K57" s="17"/>
      <c r="L57" s="15"/>
      <c r="M57" s="17"/>
      <c r="N57" s="17"/>
      <c r="O57" s="17"/>
      <c r="P57" s="17" t="s">
        <v>204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9.95" customHeight="1">
      <c r="A58" s="17"/>
      <c r="B58" s="15" t="s">
        <v>726</v>
      </c>
      <c r="C58" s="17"/>
      <c r="D58" s="17" t="s">
        <v>75</v>
      </c>
      <c r="E58" s="17"/>
      <c r="F58" s="17"/>
      <c r="G58" s="15" t="s">
        <v>776</v>
      </c>
      <c r="H58" s="17"/>
      <c r="I58" s="17"/>
      <c r="J58" s="17"/>
      <c r="K58" s="17"/>
      <c r="L58" s="15"/>
      <c r="M58" s="17"/>
      <c r="N58" s="17"/>
      <c r="O58" s="17"/>
      <c r="P58" s="17" t="s">
        <v>204</v>
      </c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9.95" customHeight="1">
      <c r="A59" s="17"/>
      <c r="B59" s="15" t="s">
        <v>726</v>
      </c>
      <c r="C59" s="17"/>
      <c r="D59" s="17" t="s">
        <v>75</v>
      </c>
      <c r="E59" s="17"/>
      <c r="F59" s="17"/>
      <c r="G59" s="15" t="s">
        <v>777</v>
      </c>
      <c r="H59" s="17"/>
      <c r="I59" s="17"/>
      <c r="J59" s="17"/>
      <c r="K59" s="17"/>
      <c r="L59" s="15"/>
      <c r="M59" s="17"/>
      <c r="N59" s="17"/>
      <c r="O59" s="17"/>
      <c r="P59" s="17" t="s">
        <v>204</v>
      </c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9.95" customHeight="1">
      <c r="A60" s="17"/>
      <c r="B60" s="15" t="s">
        <v>726</v>
      </c>
      <c r="C60" s="17"/>
      <c r="D60" s="17" t="s">
        <v>75</v>
      </c>
      <c r="E60" s="17"/>
      <c r="F60" s="17"/>
      <c r="G60" s="15" t="s">
        <v>778</v>
      </c>
      <c r="H60" s="17"/>
      <c r="I60" s="17"/>
      <c r="J60" s="17"/>
      <c r="K60" s="17"/>
      <c r="L60" s="15"/>
      <c r="M60" s="17"/>
      <c r="N60" s="17"/>
      <c r="O60" s="17"/>
      <c r="P60" s="17" t="s">
        <v>204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9.95" customHeight="1">
      <c r="A61" s="17"/>
      <c r="B61" s="15" t="s">
        <v>726</v>
      </c>
      <c r="C61" s="17"/>
      <c r="D61" s="17" t="s">
        <v>75</v>
      </c>
      <c r="E61" s="17"/>
      <c r="F61" s="17"/>
      <c r="G61" s="15" t="s">
        <v>779</v>
      </c>
      <c r="H61" s="17"/>
      <c r="I61" s="17"/>
      <c r="J61" s="17"/>
      <c r="K61" s="17"/>
      <c r="L61" s="15"/>
      <c r="M61" s="17"/>
      <c r="N61" s="17"/>
      <c r="O61" s="17"/>
      <c r="P61" s="17" t="s">
        <v>204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9.95" customHeight="1">
      <c r="A62" s="17"/>
      <c r="B62" s="15" t="s">
        <v>726</v>
      </c>
      <c r="C62" s="17"/>
      <c r="D62" s="17" t="s">
        <v>75</v>
      </c>
      <c r="E62" s="17"/>
      <c r="F62" s="17"/>
      <c r="G62" s="15" t="s">
        <v>780</v>
      </c>
      <c r="H62" s="17"/>
      <c r="I62" s="17"/>
      <c r="J62" s="17"/>
      <c r="K62" s="17"/>
      <c r="L62" s="15"/>
      <c r="M62" s="17"/>
      <c r="N62" s="17"/>
      <c r="O62" s="17"/>
      <c r="P62" s="17" t="s">
        <v>204</v>
      </c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9.95" customHeight="1">
      <c r="A63" s="17"/>
      <c r="B63" s="15" t="s">
        <v>726</v>
      </c>
      <c r="C63" s="17"/>
      <c r="D63" s="17" t="s">
        <v>75</v>
      </c>
      <c r="E63" s="17"/>
      <c r="F63" s="17"/>
      <c r="G63" s="15" t="s">
        <v>781</v>
      </c>
      <c r="H63" s="17"/>
      <c r="I63" s="17"/>
      <c r="J63" s="17"/>
      <c r="K63" s="17"/>
      <c r="L63" s="15"/>
      <c r="M63" s="17"/>
      <c r="N63" s="17"/>
      <c r="O63" s="17"/>
      <c r="P63" s="17" t="s">
        <v>204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9.95" customHeight="1">
      <c r="A64" s="17"/>
      <c r="B64" s="15" t="s">
        <v>782</v>
      </c>
      <c r="C64" s="17"/>
      <c r="D64" s="17" t="s">
        <v>75</v>
      </c>
      <c r="E64" s="17"/>
      <c r="F64" s="17"/>
      <c r="G64" s="15" t="s">
        <v>783</v>
      </c>
      <c r="H64" s="17"/>
      <c r="I64" s="17"/>
      <c r="J64" s="17"/>
      <c r="K64" s="17"/>
      <c r="L64" s="15"/>
      <c r="M64" s="17"/>
      <c r="N64" s="17"/>
      <c r="O64" s="17"/>
      <c r="P64" s="17" t="s">
        <v>164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9.95" customHeight="1">
      <c r="A65" s="17"/>
      <c r="B65" s="15" t="s">
        <v>782</v>
      </c>
      <c r="C65" s="17"/>
      <c r="D65" s="17" t="s">
        <v>75</v>
      </c>
      <c r="E65" s="17"/>
      <c r="F65" s="17"/>
      <c r="G65" s="15" t="s">
        <v>784</v>
      </c>
      <c r="H65" s="17"/>
      <c r="I65" s="17"/>
      <c r="J65" s="17"/>
      <c r="K65" s="17"/>
      <c r="L65" s="15"/>
      <c r="M65" s="17"/>
      <c r="N65" s="17"/>
      <c r="O65" s="17"/>
      <c r="P65" s="17" t="s">
        <v>164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9.95" customHeight="1">
      <c r="A66" s="17"/>
      <c r="B66" s="15" t="s">
        <v>782</v>
      </c>
      <c r="C66" s="17"/>
      <c r="D66" s="17" t="s">
        <v>75</v>
      </c>
      <c r="E66" s="17"/>
      <c r="F66" s="17"/>
      <c r="G66" s="15" t="s">
        <v>785</v>
      </c>
      <c r="H66" s="17"/>
      <c r="I66" s="17"/>
      <c r="J66" s="17"/>
      <c r="K66" s="17"/>
      <c r="L66" s="15"/>
      <c r="M66" s="17"/>
      <c r="N66" s="17"/>
      <c r="O66" s="17"/>
      <c r="P66" s="17" t="s">
        <v>164</v>
      </c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9.95" customHeight="1">
      <c r="A67" s="17"/>
      <c r="B67" s="15" t="s">
        <v>782</v>
      </c>
      <c r="C67" s="17"/>
      <c r="D67" s="17" t="s">
        <v>75</v>
      </c>
      <c r="E67" s="17"/>
      <c r="F67" s="17"/>
      <c r="G67" s="15" t="s">
        <v>786</v>
      </c>
      <c r="H67" s="17"/>
      <c r="I67" s="17"/>
      <c r="J67" s="17"/>
      <c r="K67" s="17"/>
      <c r="L67" s="15"/>
      <c r="M67" s="17"/>
      <c r="N67" s="17"/>
      <c r="O67" s="17"/>
      <c r="P67" s="17" t="s">
        <v>164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9.95" customHeight="1">
      <c r="A68" s="17"/>
      <c r="B68" s="15" t="s">
        <v>782</v>
      </c>
      <c r="C68" s="17"/>
      <c r="D68" s="17" t="s">
        <v>75</v>
      </c>
      <c r="E68" s="17"/>
      <c r="F68" s="17"/>
      <c r="G68" s="15" t="s">
        <v>787</v>
      </c>
      <c r="H68" s="17"/>
      <c r="I68" s="17"/>
      <c r="J68" s="17"/>
      <c r="K68" s="17"/>
      <c r="L68" s="15"/>
      <c r="M68" s="17"/>
      <c r="N68" s="17"/>
      <c r="O68" s="17"/>
      <c r="P68" s="17" t="s">
        <v>164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9.95" customHeight="1">
      <c r="A69" s="17"/>
      <c r="B69" s="15" t="s">
        <v>782</v>
      </c>
      <c r="C69" s="17"/>
      <c r="D69" s="17" t="s">
        <v>75</v>
      </c>
      <c r="E69" s="17"/>
      <c r="F69" s="17"/>
      <c r="G69" s="15" t="s">
        <v>788</v>
      </c>
      <c r="H69" s="17"/>
      <c r="I69" s="17"/>
      <c r="J69" s="17"/>
      <c r="K69" s="17"/>
      <c r="L69" s="15"/>
      <c r="M69" s="17"/>
      <c r="N69" s="17"/>
      <c r="O69" s="17"/>
      <c r="P69" s="17" t="s">
        <v>164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9.95" customHeight="1">
      <c r="A70" s="17"/>
      <c r="B70" s="15" t="s">
        <v>782</v>
      </c>
      <c r="C70" s="17"/>
      <c r="D70" s="17" t="s">
        <v>75</v>
      </c>
      <c r="E70" s="17"/>
      <c r="F70" s="17"/>
      <c r="G70" s="15" t="s">
        <v>789</v>
      </c>
      <c r="H70" s="17"/>
      <c r="I70" s="17"/>
      <c r="J70" s="17"/>
      <c r="K70" s="17"/>
      <c r="L70" s="15"/>
      <c r="M70" s="17"/>
      <c r="N70" s="17"/>
      <c r="O70" s="17"/>
      <c r="P70" s="17" t="s">
        <v>790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9.95" customHeight="1">
      <c r="A71" s="17"/>
      <c r="B71" s="15" t="s">
        <v>782</v>
      </c>
      <c r="C71" s="17"/>
      <c r="D71" s="17" t="s">
        <v>75</v>
      </c>
      <c r="E71" s="17"/>
      <c r="F71" s="17"/>
      <c r="G71" s="15" t="s">
        <v>791</v>
      </c>
      <c r="H71" s="17"/>
      <c r="I71" s="17"/>
      <c r="J71" s="17"/>
      <c r="K71" s="17"/>
      <c r="L71" s="15"/>
      <c r="M71" s="17"/>
      <c r="N71" s="17"/>
      <c r="O71" s="17"/>
      <c r="P71" s="17" t="s">
        <v>182</v>
      </c>
      <c r="Q71" s="17"/>
      <c r="R71" s="17"/>
      <c r="S71" s="17"/>
      <c r="T71" s="17"/>
      <c r="U71" s="17"/>
      <c r="V71" s="17"/>
      <c r="W71" s="17"/>
      <c r="X71" s="17" t="s">
        <v>792</v>
      </c>
      <c r="Y71" s="17"/>
      <c r="Z71" s="17"/>
    </row>
    <row r="72" spans="1:26" ht="19.95" customHeight="1">
      <c r="A72" s="17"/>
      <c r="B72" s="15" t="s">
        <v>782</v>
      </c>
      <c r="C72" s="17"/>
      <c r="D72" s="17" t="s">
        <v>75</v>
      </c>
      <c r="E72" s="17"/>
      <c r="F72" s="17"/>
      <c r="G72" s="15" t="s">
        <v>793</v>
      </c>
      <c r="H72" s="17"/>
      <c r="I72" s="17"/>
      <c r="J72" s="17"/>
      <c r="K72" s="17"/>
      <c r="L72" s="15"/>
      <c r="M72" s="17"/>
      <c r="N72" s="17"/>
      <c r="O72" s="17"/>
      <c r="P72" s="17" t="s">
        <v>204</v>
      </c>
      <c r="Q72" s="17"/>
      <c r="R72" s="17"/>
      <c r="S72" s="17"/>
      <c r="T72" s="17"/>
      <c r="U72" s="17"/>
      <c r="V72" s="17"/>
      <c r="W72" s="17"/>
      <c r="X72" s="17" t="s">
        <v>794</v>
      </c>
      <c r="Y72" s="17"/>
      <c r="Z72" s="17"/>
    </row>
    <row r="73" spans="1:26" ht="19.95" customHeight="1">
      <c r="A73" s="17"/>
      <c r="B73" s="15" t="s">
        <v>795</v>
      </c>
      <c r="C73" s="17"/>
      <c r="D73" s="17" t="s">
        <v>75</v>
      </c>
      <c r="E73" s="17"/>
      <c r="F73" s="17"/>
      <c r="G73" s="15" t="s">
        <v>796</v>
      </c>
      <c r="H73" s="17"/>
      <c r="I73" s="17"/>
      <c r="J73" s="15"/>
      <c r="K73" s="17"/>
      <c r="L73" s="15"/>
      <c r="M73" s="17"/>
      <c r="N73" s="17"/>
      <c r="O73" s="17"/>
      <c r="P73" s="15" t="s">
        <v>164</v>
      </c>
      <c r="Q73" s="17"/>
      <c r="R73" s="17"/>
      <c r="S73" s="17"/>
      <c r="T73" s="17"/>
      <c r="U73" s="17"/>
      <c r="V73" s="17"/>
      <c r="W73" s="17"/>
      <c r="X73" s="17" t="s">
        <v>797</v>
      </c>
      <c r="Y73" s="17"/>
      <c r="Z73" s="17"/>
    </row>
    <row r="74" spans="1:26" ht="19.95" customHeight="1">
      <c r="A74" s="17"/>
      <c r="B74" s="15" t="s">
        <v>782</v>
      </c>
      <c r="C74" s="17"/>
      <c r="D74" s="17" t="s">
        <v>75</v>
      </c>
      <c r="E74" s="17"/>
      <c r="F74" s="17"/>
      <c r="G74" s="15" t="s">
        <v>798</v>
      </c>
      <c r="H74" s="17"/>
      <c r="I74" s="17"/>
      <c r="J74" s="17"/>
      <c r="K74" s="17"/>
      <c r="L74" s="15"/>
      <c r="M74" s="17"/>
      <c r="N74" s="17"/>
      <c r="O74" s="17"/>
      <c r="P74" s="17" t="s">
        <v>150</v>
      </c>
      <c r="Q74" s="17"/>
      <c r="R74" s="17"/>
      <c r="S74" s="17"/>
      <c r="T74" s="17"/>
      <c r="U74" s="17"/>
      <c r="V74" s="17"/>
      <c r="W74" s="17"/>
      <c r="X74" s="17" t="s">
        <v>799</v>
      </c>
      <c r="Y74" s="17"/>
      <c r="Z74" s="17"/>
    </row>
    <row r="75" spans="1:26" ht="19.95" customHeight="1">
      <c r="A75" s="17"/>
      <c r="B75" s="15" t="s">
        <v>782</v>
      </c>
      <c r="C75" s="17"/>
      <c r="D75" s="17" t="s">
        <v>75</v>
      </c>
      <c r="E75" s="17"/>
      <c r="F75" s="17"/>
      <c r="G75" s="15" t="s">
        <v>800</v>
      </c>
      <c r="H75" s="17"/>
      <c r="I75" s="17"/>
      <c r="J75" s="17"/>
      <c r="K75" s="17"/>
      <c r="L75" s="15"/>
      <c r="M75" s="17"/>
      <c r="N75" s="17"/>
      <c r="O75" s="17"/>
      <c r="P75" s="17" t="s">
        <v>801</v>
      </c>
      <c r="Q75" s="17"/>
      <c r="R75" s="17"/>
      <c r="S75" s="17"/>
      <c r="T75" s="17"/>
      <c r="U75" s="17"/>
      <c r="V75" s="17"/>
      <c r="W75" s="17"/>
      <c r="X75" s="17" t="s">
        <v>802</v>
      </c>
      <c r="Y75" s="17"/>
      <c r="Z75" s="17"/>
    </row>
    <row r="76" spans="1:26" ht="19.95" customHeight="1">
      <c r="A76" s="17"/>
      <c r="B76" s="15" t="s">
        <v>795</v>
      </c>
      <c r="C76" s="17"/>
      <c r="D76" s="17" t="s">
        <v>75</v>
      </c>
      <c r="E76" s="17"/>
      <c r="F76" s="17"/>
      <c r="G76" s="15" t="s">
        <v>803</v>
      </c>
      <c r="H76" s="17"/>
      <c r="I76" s="17"/>
      <c r="J76" s="17"/>
      <c r="K76" s="17"/>
      <c r="L76" s="15"/>
      <c r="M76" s="17"/>
      <c r="N76" s="17"/>
      <c r="O76" s="17"/>
      <c r="P76" s="17" t="s">
        <v>804</v>
      </c>
      <c r="Q76" s="17"/>
      <c r="R76" s="17"/>
      <c r="S76" s="17"/>
      <c r="T76" s="17"/>
      <c r="U76" s="17"/>
      <c r="V76" s="17"/>
      <c r="W76" s="17"/>
      <c r="X76" s="17" t="s">
        <v>805</v>
      </c>
      <c r="Y76" s="17"/>
      <c r="Z76" s="17"/>
    </row>
    <row r="77" spans="1:26" ht="19.95" customHeight="1">
      <c r="A77" s="17"/>
      <c r="B77" s="15" t="s">
        <v>795</v>
      </c>
      <c r="C77" s="17"/>
      <c r="D77" s="17" t="s">
        <v>75</v>
      </c>
      <c r="E77" s="17"/>
      <c r="F77" s="17"/>
      <c r="G77" s="15" t="s">
        <v>806</v>
      </c>
      <c r="H77" s="17"/>
      <c r="I77" s="17"/>
      <c r="J77" s="17"/>
      <c r="K77" s="17"/>
      <c r="L77" s="15"/>
      <c r="M77" s="17"/>
      <c r="N77" s="17"/>
      <c r="O77" s="17"/>
      <c r="P77" s="17" t="s">
        <v>807</v>
      </c>
      <c r="Q77" s="17"/>
      <c r="R77" s="17"/>
      <c r="S77" s="17"/>
      <c r="T77" s="17"/>
      <c r="U77" s="17"/>
      <c r="V77" s="17"/>
      <c r="W77" s="17"/>
      <c r="X77" s="17" t="s">
        <v>808</v>
      </c>
      <c r="Y77" s="17"/>
      <c r="Z77" s="17"/>
    </row>
  </sheetData>
  <autoFilter ref="A1:AB77" xr:uid="{3D650813-C544-423F-97AC-9E518246155B}"/>
  <phoneticPr fontId="29" type="noConversion"/>
  <conditionalFormatting sqref="F1">
    <cfRule type="duplicateValues" dxfId="4" priority="1"/>
  </conditionalFormatting>
  <conditionalFormatting sqref="G1">
    <cfRule type="duplicateValues" priority="2"/>
  </conditionalFormatting>
  <conditionalFormatting sqref="Z1">
    <cfRule type="cellIs" dxfId="3" priority="3" operator="equal">
      <formula>"Y"</formula>
    </cfRule>
    <cfRule type="cellIs" dxfId="2" priority="4" operator="equal">
      <formula>"N"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F0CC-62B5-4D2A-AA16-E880E5A6C0BA}">
  <dimension ref="A1:Z62"/>
  <sheetViews>
    <sheetView topLeftCell="C1" workbookViewId="0">
      <pane ySplit="1" topLeftCell="A32" activePane="bottomLeft" state="frozen"/>
      <selection pane="bottomLeft" activeCell="J49" sqref="J49"/>
    </sheetView>
  </sheetViews>
  <sheetFormatPr defaultRowHeight="13.8"/>
  <cols>
    <col min="1" max="1" width="3.6640625" bestFit="1" customWidth="1"/>
    <col min="2" max="2" width="12.5546875" bestFit="1" customWidth="1"/>
    <col min="3" max="3" width="4.33203125" bestFit="1" customWidth="1"/>
    <col min="5" max="5" width="11.88671875" bestFit="1" customWidth="1"/>
    <col min="6" max="6" width="17.6640625" bestFit="1" customWidth="1"/>
    <col min="7" max="7" width="24.5546875" bestFit="1" customWidth="1"/>
    <col min="8" max="8" width="10.88671875" bestFit="1" customWidth="1"/>
    <col min="9" max="9" width="17" bestFit="1" customWidth="1"/>
    <col min="10" max="10" width="11.33203125" bestFit="1" customWidth="1"/>
    <col min="11" max="11" width="17.6640625" bestFit="1" customWidth="1"/>
    <col min="12" max="12" width="12.5546875" bestFit="1" customWidth="1"/>
    <col min="13" max="13" width="17" bestFit="1" customWidth="1"/>
    <col min="14" max="14" width="10" bestFit="1" customWidth="1"/>
    <col min="15" max="15" width="11" bestFit="1" customWidth="1"/>
    <col min="16" max="16" width="26.33203125" bestFit="1" customWidth="1"/>
    <col min="17" max="17" width="4.5546875" bestFit="1" customWidth="1"/>
    <col min="18" max="18" width="5" bestFit="1" customWidth="1"/>
    <col min="19" max="20" width="6.5546875" bestFit="1" customWidth="1"/>
    <col min="21" max="21" width="12" bestFit="1" customWidth="1"/>
    <col min="22" max="22" width="4.88671875" bestFit="1" customWidth="1"/>
    <col min="23" max="23" width="13.33203125" bestFit="1" customWidth="1"/>
    <col min="24" max="24" width="25.109375" bestFit="1" customWidth="1"/>
    <col min="25" max="25" width="8.109375" bestFit="1" customWidth="1"/>
    <col min="26" max="26" width="12.109375" bestFit="1" customWidth="1"/>
  </cols>
  <sheetData>
    <row r="1" spans="1:26" ht="15">
      <c r="A1" s="82" t="s">
        <v>48</v>
      </c>
      <c r="B1" s="75" t="s">
        <v>49</v>
      </c>
      <c r="C1" s="76" t="s">
        <v>50</v>
      </c>
      <c r="D1" s="76" t="s">
        <v>51</v>
      </c>
      <c r="E1" s="76" t="s">
        <v>52</v>
      </c>
      <c r="F1" s="76" t="s">
        <v>53</v>
      </c>
      <c r="G1" s="76" t="s">
        <v>54</v>
      </c>
      <c r="H1" s="76" t="s">
        <v>55</v>
      </c>
      <c r="I1" s="76" t="s">
        <v>56</v>
      </c>
      <c r="J1" s="76" t="s">
        <v>57</v>
      </c>
      <c r="K1" s="76" t="s">
        <v>58</v>
      </c>
      <c r="L1" s="76" t="s">
        <v>59</v>
      </c>
      <c r="M1" s="76" t="s">
        <v>60</v>
      </c>
      <c r="N1" s="76" t="s">
        <v>61</v>
      </c>
      <c r="O1" s="76" t="s">
        <v>62</v>
      </c>
      <c r="P1" s="76" t="s">
        <v>63</v>
      </c>
      <c r="Q1" s="76" t="s">
        <v>64</v>
      </c>
      <c r="R1" s="76" t="s">
        <v>65</v>
      </c>
      <c r="S1" s="76" t="s">
        <v>66</v>
      </c>
      <c r="T1" s="76" t="s">
        <v>67</v>
      </c>
      <c r="U1" s="76" t="s">
        <v>68</v>
      </c>
      <c r="V1" s="76" t="s">
        <v>69</v>
      </c>
      <c r="W1" s="76" t="s">
        <v>70</v>
      </c>
      <c r="X1" s="76" t="s">
        <v>71</v>
      </c>
      <c r="Y1" s="76" t="s">
        <v>72</v>
      </c>
      <c r="Z1" s="76" t="s">
        <v>74</v>
      </c>
    </row>
    <row r="2" spans="1:26" ht="15.6">
      <c r="A2" s="81"/>
      <c r="B2" s="78" t="s">
        <v>427</v>
      </c>
      <c r="C2" s="78" t="s">
        <v>427</v>
      </c>
      <c r="D2" s="78" t="s">
        <v>75</v>
      </c>
      <c r="E2" s="78" t="s">
        <v>427</v>
      </c>
      <c r="F2" s="78" t="s">
        <v>427</v>
      </c>
      <c r="G2" s="79" t="s">
        <v>809</v>
      </c>
      <c r="H2" s="78" t="s">
        <v>427</v>
      </c>
      <c r="I2" s="78" t="s">
        <v>427</v>
      </c>
      <c r="J2" s="78" t="s">
        <v>427</v>
      </c>
      <c r="K2" s="78" t="s">
        <v>427</v>
      </c>
      <c r="L2" s="78" t="s">
        <v>427</v>
      </c>
      <c r="M2" s="78" t="s">
        <v>427</v>
      </c>
      <c r="N2" s="78" t="s">
        <v>427</v>
      </c>
      <c r="O2" s="78" t="s">
        <v>427</v>
      </c>
      <c r="P2" s="80" t="s">
        <v>810</v>
      </c>
      <c r="Q2" s="78" t="s">
        <v>427</v>
      </c>
      <c r="R2" s="78" t="s">
        <v>427</v>
      </c>
      <c r="S2" s="78" t="s">
        <v>427</v>
      </c>
      <c r="T2" s="78" t="s">
        <v>427</v>
      </c>
      <c r="U2" s="78" t="s">
        <v>427</v>
      </c>
      <c r="V2" s="78" t="s">
        <v>427</v>
      </c>
      <c r="W2" s="78" t="s">
        <v>427</v>
      </c>
      <c r="X2" s="80" t="s">
        <v>811</v>
      </c>
      <c r="Y2" s="78" t="s">
        <v>427</v>
      </c>
      <c r="Z2" s="78" t="s">
        <v>427</v>
      </c>
    </row>
    <row r="3" spans="1:26" ht="15.6">
      <c r="A3" s="81"/>
      <c r="B3" s="78" t="s">
        <v>427</v>
      </c>
      <c r="C3" s="78" t="s">
        <v>427</v>
      </c>
      <c r="D3" s="78" t="s">
        <v>75</v>
      </c>
      <c r="E3" s="78" t="s">
        <v>427</v>
      </c>
      <c r="F3" s="78" t="s">
        <v>427</v>
      </c>
      <c r="G3" s="79" t="s">
        <v>812</v>
      </c>
      <c r="H3" s="78" t="s">
        <v>427</v>
      </c>
      <c r="I3" s="78" t="s">
        <v>427</v>
      </c>
      <c r="J3" s="78" t="s">
        <v>427</v>
      </c>
      <c r="K3" s="78" t="s">
        <v>427</v>
      </c>
      <c r="L3" s="78" t="s">
        <v>427</v>
      </c>
      <c r="M3" s="78" t="s">
        <v>427</v>
      </c>
      <c r="N3" s="78" t="s">
        <v>427</v>
      </c>
      <c r="O3" s="78" t="s">
        <v>427</v>
      </c>
      <c r="P3" s="80" t="s">
        <v>810</v>
      </c>
      <c r="Q3" s="78" t="s">
        <v>427</v>
      </c>
      <c r="R3" s="78" t="s">
        <v>427</v>
      </c>
      <c r="S3" s="78" t="s">
        <v>427</v>
      </c>
      <c r="T3" s="78" t="s">
        <v>427</v>
      </c>
      <c r="U3" s="78" t="s">
        <v>427</v>
      </c>
      <c r="V3" s="78" t="s">
        <v>427</v>
      </c>
      <c r="W3" s="78" t="s">
        <v>427</v>
      </c>
      <c r="X3" s="80" t="s">
        <v>813</v>
      </c>
      <c r="Y3" s="78" t="s">
        <v>427</v>
      </c>
      <c r="Z3" s="78" t="s">
        <v>427</v>
      </c>
    </row>
    <row r="4" spans="1:26" ht="15.6">
      <c r="A4" s="81"/>
      <c r="B4" s="78" t="s">
        <v>427</v>
      </c>
      <c r="C4" s="78" t="s">
        <v>427</v>
      </c>
      <c r="D4" s="78" t="s">
        <v>75</v>
      </c>
      <c r="E4" s="78" t="s">
        <v>427</v>
      </c>
      <c r="F4" s="78" t="s">
        <v>427</v>
      </c>
      <c r="G4" s="79" t="s">
        <v>814</v>
      </c>
      <c r="H4" s="78" t="s">
        <v>427</v>
      </c>
      <c r="I4" s="78" t="s">
        <v>427</v>
      </c>
      <c r="J4" s="78" t="s">
        <v>427</v>
      </c>
      <c r="K4" s="78" t="s">
        <v>427</v>
      </c>
      <c r="L4" s="78" t="s">
        <v>427</v>
      </c>
      <c r="M4" s="78" t="s">
        <v>427</v>
      </c>
      <c r="N4" s="78" t="s">
        <v>427</v>
      </c>
      <c r="O4" s="78" t="s">
        <v>427</v>
      </c>
      <c r="P4" s="80" t="s">
        <v>810</v>
      </c>
      <c r="Q4" s="78" t="s">
        <v>427</v>
      </c>
      <c r="R4" s="78" t="s">
        <v>427</v>
      </c>
      <c r="S4" s="78" t="s">
        <v>427</v>
      </c>
      <c r="T4" s="78" t="s">
        <v>427</v>
      </c>
      <c r="U4" s="78" t="s">
        <v>427</v>
      </c>
      <c r="V4" s="78" t="s">
        <v>427</v>
      </c>
      <c r="W4" s="78" t="s">
        <v>427</v>
      </c>
      <c r="X4" s="80" t="s">
        <v>746</v>
      </c>
      <c r="Y4" s="78" t="s">
        <v>427</v>
      </c>
      <c r="Z4" s="78" t="s">
        <v>427</v>
      </c>
    </row>
    <row r="5" spans="1:26" ht="15.6">
      <c r="A5" s="81"/>
      <c r="B5" s="78" t="s">
        <v>427</v>
      </c>
      <c r="C5" s="78" t="s">
        <v>427</v>
      </c>
      <c r="D5" s="78" t="s">
        <v>75</v>
      </c>
      <c r="E5" s="78" t="s">
        <v>427</v>
      </c>
      <c r="F5" s="78" t="s">
        <v>427</v>
      </c>
      <c r="G5" s="79" t="s">
        <v>815</v>
      </c>
      <c r="H5" s="78" t="s">
        <v>427</v>
      </c>
      <c r="I5" s="78" t="s">
        <v>427</v>
      </c>
      <c r="J5" s="78" t="s">
        <v>427</v>
      </c>
      <c r="K5" s="78" t="s">
        <v>427</v>
      </c>
      <c r="L5" s="78" t="s">
        <v>427</v>
      </c>
      <c r="M5" s="78" t="s">
        <v>427</v>
      </c>
      <c r="N5" s="78" t="s">
        <v>427</v>
      </c>
      <c r="O5" s="78" t="s">
        <v>427</v>
      </c>
      <c r="P5" s="80" t="s">
        <v>810</v>
      </c>
      <c r="Q5" s="78" t="s">
        <v>427</v>
      </c>
      <c r="R5" s="78" t="s">
        <v>427</v>
      </c>
      <c r="S5" s="78" t="s">
        <v>427</v>
      </c>
      <c r="T5" s="78" t="s">
        <v>427</v>
      </c>
      <c r="U5" s="78" t="s">
        <v>427</v>
      </c>
      <c r="V5" s="78" t="s">
        <v>427</v>
      </c>
      <c r="W5" s="78" t="s">
        <v>427</v>
      </c>
      <c r="X5" s="80" t="s">
        <v>799</v>
      </c>
      <c r="Y5" s="78" t="s">
        <v>427</v>
      </c>
      <c r="Z5" s="78" t="s">
        <v>427</v>
      </c>
    </row>
    <row r="6" spans="1:26" ht="15.6">
      <c r="A6" s="81"/>
      <c r="B6" s="78" t="s">
        <v>427</v>
      </c>
      <c r="C6" s="78" t="s">
        <v>427</v>
      </c>
      <c r="D6" s="78" t="s">
        <v>75</v>
      </c>
      <c r="E6" s="78" t="s">
        <v>427</v>
      </c>
      <c r="F6" s="78" t="s">
        <v>427</v>
      </c>
      <c r="G6" s="79" t="s">
        <v>816</v>
      </c>
      <c r="H6" s="78" t="s">
        <v>427</v>
      </c>
      <c r="I6" s="78" t="s">
        <v>427</v>
      </c>
      <c r="J6" s="78" t="s">
        <v>427</v>
      </c>
      <c r="K6" s="78" t="s">
        <v>427</v>
      </c>
      <c r="L6" s="78" t="s">
        <v>427</v>
      </c>
      <c r="M6" s="78" t="s">
        <v>427</v>
      </c>
      <c r="N6" s="78" t="s">
        <v>427</v>
      </c>
      <c r="O6" s="78" t="s">
        <v>427</v>
      </c>
      <c r="P6" s="80" t="s">
        <v>810</v>
      </c>
      <c r="Q6" s="78" t="s">
        <v>427</v>
      </c>
      <c r="R6" s="78" t="s">
        <v>427</v>
      </c>
      <c r="S6" s="78" t="s">
        <v>427</v>
      </c>
      <c r="T6" s="78" t="s">
        <v>427</v>
      </c>
      <c r="U6" s="78" t="s">
        <v>427</v>
      </c>
      <c r="V6" s="78" t="s">
        <v>427</v>
      </c>
      <c r="W6" s="78" t="s">
        <v>427</v>
      </c>
      <c r="X6" s="80" t="s">
        <v>817</v>
      </c>
      <c r="Y6" s="78" t="s">
        <v>427</v>
      </c>
      <c r="Z6" s="78" t="s">
        <v>427</v>
      </c>
    </row>
    <row r="7" spans="1:26" ht="15.6">
      <c r="A7" s="81"/>
      <c r="B7" s="78" t="s">
        <v>427</v>
      </c>
      <c r="C7" s="78" t="s">
        <v>427</v>
      </c>
      <c r="D7" s="78" t="s">
        <v>75</v>
      </c>
      <c r="E7" s="78" t="s">
        <v>427</v>
      </c>
      <c r="F7" s="78" t="s">
        <v>427</v>
      </c>
      <c r="G7" s="79" t="s">
        <v>818</v>
      </c>
      <c r="H7" s="78" t="s">
        <v>427</v>
      </c>
      <c r="I7" s="78" t="s">
        <v>427</v>
      </c>
      <c r="J7" s="78" t="s">
        <v>427</v>
      </c>
      <c r="K7" s="78" t="s">
        <v>427</v>
      </c>
      <c r="L7" s="78" t="s">
        <v>427</v>
      </c>
      <c r="M7" s="78" t="s">
        <v>427</v>
      </c>
      <c r="N7" s="78" t="s">
        <v>427</v>
      </c>
      <c r="O7" s="78" t="s">
        <v>427</v>
      </c>
      <c r="P7" s="80" t="s">
        <v>810</v>
      </c>
      <c r="Q7" s="78" t="s">
        <v>427</v>
      </c>
      <c r="R7" s="78" t="s">
        <v>427</v>
      </c>
      <c r="S7" s="78" t="s">
        <v>427</v>
      </c>
      <c r="T7" s="78" t="s">
        <v>427</v>
      </c>
      <c r="U7" s="78" t="s">
        <v>427</v>
      </c>
      <c r="V7" s="78" t="s">
        <v>427</v>
      </c>
      <c r="W7" s="78" t="s">
        <v>427</v>
      </c>
      <c r="X7" s="80" t="s">
        <v>819</v>
      </c>
      <c r="Y7" s="78" t="s">
        <v>427</v>
      </c>
      <c r="Z7" s="78" t="s">
        <v>427</v>
      </c>
    </row>
    <row r="8" spans="1:26" ht="15.6">
      <c r="A8" s="81"/>
      <c r="B8" s="78" t="s">
        <v>427</v>
      </c>
      <c r="C8" s="78" t="s">
        <v>427</v>
      </c>
      <c r="D8" s="78" t="s">
        <v>75</v>
      </c>
      <c r="E8" s="78" t="s">
        <v>427</v>
      </c>
      <c r="F8" s="78" t="s">
        <v>427</v>
      </c>
      <c r="G8" s="79" t="s">
        <v>820</v>
      </c>
      <c r="H8" s="78" t="s">
        <v>427</v>
      </c>
      <c r="I8" s="78" t="s">
        <v>427</v>
      </c>
      <c r="J8" s="78" t="s">
        <v>427</v>
      </c>
      <c r="K8" s="78" t="s">
        <v>427</v>
      </c>
      <c r="L8" s="78" t="s">
        <v>427</v>
      </c>
      <c r="M8" s="78" t="s">
        <v>427</v>
      </c>
      <c r="N8" s="78" t="s">
        <v>427</v>
      </c>
      <c r="O8" s="78" t="s">
        <v>427</v>
      </c>
      <c r="P8" s="80" t="s">
        <v>810</v>
      </c>
      <c r="Q8" s="78" t="s">
        <v>427</v>
      </c>
      <c r="R8" s="78" t="s">
        <v>427</v>
      </c>
      <c r="S8" s="78" t="s">
        <v>427</v>
      </c>
      <c r="T8" s="78" t="s">
        <v>427</v>
      </c>
      <c r="U8" s="78" t="s">
        <v>427</v>
      </c>
      <c r="V8" s="78" t="s">
        <v>427</v>
      </c>
      <c r="W8" s="78" t="s">
        <v>427</v>
      </c>
      <c r="X8" s="80" t="s">
        <v>821</v>
      </c>
      <c r="Y8" s="78" t="s">
        <v>427</v>
      </c>
      <c r="Z8" s="78" t="s">
        <v>427</v>
      </c>
    </row>
    <row r="9" spans="1:26" ht="15.6">
      <c r="A9" s="81"/>
      <c r="B9" s="78" t="s">
        <v>427</v>
      </c>
      <c r="C9" s="78" t="s">
        <v>427</v>
      </c>
      <c r="D9" s="78" t="s">
        <v>75</v>
      </c>
      <c r="E9" s="78" t="s">
        <v>427</v>
      </c>
      <c r="F9" s="78" t="s">
        <v>427</v>
      </c>
      <c r="G9" s="79" t="s">
        <v>822</v>
      </c>
      <c r="H9" s="78" t="s">
        <v>427</v>
      </c>
      <c r="I9" s="78" t="s">
        <v>427</v>
      </c>
      <c r="J9" s="78" t="s">
        <v>427</v>
      </c>
      <c r="K9" s="78" t="s">
        <v>427</v>
      </c>
      <c r="L9" s="78" t="s">
        <v>427</v>
      </c>
      <c r="M9" s="78" t="s">
        <v>427</v>
      </c>
      <c r="N9" s="78" t="s">
        <v>427</v>
      </c>
      <c r="O9" s="78" t="s">
        <v>427</v>
      </c>
      <c r="P9" s="80" t="s">
        <v>810</v>
      </c>
      <c r="Q9" s="78" t="s">
        <v>427</v>
      </c>
      <c r="R9" s="78" t="s">
        <v>427</v>
      </c>
      <c r="S9" s="78" t="s">
        <v>427</v>
      </c>
      <c r="T9" s="78" t="s">
        <v>427</v>
      </c>
      <c r="U9" s="78" t="s">
        <v>427</v>
      </c>
      <c r="V9" s="78" t="s">
        <v>427</v>
      </c>
      <c r="W9" s="78" t="s">
        <v>427</v>
      </c>
      <c r="X9" s="80" t="s">
        <v>823</v>
      </c>
      <c r="Y9" s="78" t="s">
        <v>427</v>
      </c>
      <c r="Z9" s="78" t="s">
        <v>427</v>
      </c>
    </row>
    <row r="10" spans="1:26" ht="15.6">
      <c r="A10" s="81"/>
      <c r="B10" s="78" t="s">
        <v>427</v>
      </c>
      <c r="C10" s="78" t="s">
        <v>427</v>
      </c>
      <c r="D10" s="78" t="s">
        <v>75</v>
      </c>
      <c r="E10" s="78" t="s">
        <v>427</v>
      </c>
      <c r="F10" s="78" t="s">
        <v>427</v>
      </c>
      <c r="G10" s="79" t="s">
        <v>824</v>
      </c>
      <c r="H10" s="78" t="s">
        <v>427</v>
      </c>
      <c r="I10" s="78" t="s">
        <v>427</v>
      </c>
      <c r="J10" s="78" t="s">
        <v>427</v>
      </c>
      <c r="K10" s="78" t="s">
        <v>427</v>
      </c>
      <c r="L10" s="78" t="s">
        <v>427</v>
      </c>
      <c r="M10" s="78" t="s">
        <v>427</v>
      </c>
      <c r="N10" s="78" t="s">
        <v>427</v>
      </c>
      <c r="O10" s="78" t="s">
        <v>427</v>
      </c>
      <c r="P10" s="80" t="s">
        <v>810</v>
      </c>
      <c r="Q10" s="78" t="s">
        <v>427</v>
      </c>
      <c r="R10" s="78" t="s">
        <v>427</v>
      </c>
      <c r="S10" s="78" t="s">
        <v>427</v>
      </c>
      <c r="T10" s="78" t="s">
        <v>427</v>
      </c>
      <c r="U10" s="78" t="s">
        <v>427</v>
      </c>
      <c r="V10" s="78" t="s">
        <v>427</v>
      </c>
      <c r="W10" s="78" t="s">
        <v>427</v>
      </c>
      <c r="X10" s="80" t="s">
        <v>825</v>
      </c>
      <c r="Y10" s="78" t="s">
        <v>427</v>
      </c>
      <c r="Z10" s="78" t="s">
        <v>427</v>
      </c>
    </row>
    <row r="11" spans="1:26" ht="15.6">
      <c r="A11" s="81"/>
      <c r="B11" s="78" t="s">
        <v>427</v>
      </c>
      <c r="C11" s="78" t="s">
        <v>427</v>
      </c>
      <c r="D11" s="78" t="s">
        <v>75</v>
      </c>
      <c r="E11" s="78" t="s">
        <v>427</v>
      </c>
      <c r="F11" s="78" t="s">
        <v>427</v>
      </c>
      <c r="G11" s="79" t="s">
        <v>826</v>
      </c>
      <c r="H11" s="78" t="s">
        <v>427</v>
      </c>
      <c r="I11" s="78" t="s">
        <v>427</v>
      </c>
      <c r="J11" s="78" t="s">
        <v>427</v>
      </c>
      <c r="K11" s="78" t="s">
        <v>427</v>
      </c>
      <c r="L11" s="78" t="s">
        <v>427</v>
      </c>
      <c r="M11" s="78" t="s">
        <v>427</v>
      </c>
      <c r="N11" s="78" t="s">
        <v>427</v>
      </c>
      <c r="O11" s="78" t="s">
        <v>427</v>
      </c>
      <c r="P11" s="80" t="s">
        <v>155</v>
      </c>
      <c r="Q11" s="78" t="s">
        <v>427</v>
      </c>
      <c r="R11" s="78" t="s">
        <v>427</v>
      </c>
      <c r="S11" s="78" t="s">
        <v>427</v>
      </c>
      <c r="T11" s="78" t="s">
        <v>427</v>
      </c>
      <c r="U11" s="78" t="s">
        <v>427</v>
      </c>
      <c r="V11" s="78" t="s">
        <v>427</v>
      </c>
      <c r="W11" s="78" t="s">
        <v>427</v>
      </c>
      <c r="X11" s="80" t="s">
        <v>827</v>
      </c>
      <c r="Y11" s="78" t="s">
        <v>427</v>
      </c>
      <c r="Z11" s="78" t="s">
        <v>427</v>
      </c>
    </row>
    <row r="12" spans="1:26" ht="15.6">
      <c r="A12" s="81"/>
      <c r="B12" s="78" t="s">
        <v>427</v>
      </c>
      <c r="C12" s="78" t="s">
        <v>427</v>
      </c>
      <c r="D12" s="78" t="s">
        <v>75</v>
      </c>
      <c r="E12" s="78" t="s">
        <v>427</v>
      </c>
      <c r="F12" s="78" t="s">
        <v>427</v>
      </c>
      <c r="G12" s="79" t="s">
        <v>828</v>
      </c>
      <c r="H12" s="78" t="s">
        <v>427</v>
      </c>
      <c r="I12" s="78" t="s">
        <v>427</v>
      </c>
      <c r="J12" s="78" t="s">
        <v>427</v>
      </c>
      <c r="K12" s="78" t="s">
        <v>427</v>
      </c>
      <c r="L12" s="78" t="s">
        <v>427</v>
      </c>
      <c r="M12" s="78" t="s">
        <v>427</v>
      </c>
      <c r="N12" s="78" t="s">
        <v>427</v>
      </c>
      <c r="O12" s="78" t="s">
        <v>427</v>
      </c>
      <c r="P12" s="80" t="s">
        <v>155</v>
      </c>
      <c r="Q12" s="78" t="s">
        <v>427</v>
      </c>
      <c r="R12" s="78" t="s">
        <v>427</v>
      </c>
      <c r="S12" s="78" t="s">
        <v>427</v>
      </c>
      <c r="T12" s="78" t="s">
        <v>427</v>
      </c>
      <c r="U12" s="78" t="s">
        <v>427</v>
      </c>
      <c r="V12" s="78" t="s">
        <v>427</v>
      </c>
      <c r="W12" s="78" t="s">
        <v>427</v>
      </c>
      <c r="X12" s="80" t="s">
        <v>829</v>
      </c>
      <c r="Y12" s="78" t="s">
        <v>427</v>
      </c>
      <c r="Z12" s="78" t="s">
        <v>427</v>
      </c>
    </row>
    <row r="13" spans="1:26" ht="15.6">
      <c r="A13" s="81"/>
      <c r="B13" s="78" t="s">
        <v>427</v>
      </c>
      <c r="C13" s="78" t="s">
        <v>427</v>
      </c>
      <c r="D13" s="78" t="s">
        <v>75</v>
      </c>
      <c r="E13" s="78" t="s">
        <v>427</v>
      </c>
      <c r="F13" s="78" t="s">
        <v>427</v>
      </c>
      <c r="G13" s="79" t="s">
        <v>830</v>
      </c>
      <c r="H13" s="78" t="s">
        <v>427</v>
      </c>
      <c r="I13" s="78" t="s">
        <v>427</v>
      </c>
      <c r="J13" s="78" t="s">
        <v>427</v>
      </c>
      <c r="K13" s="78" t="s">
        <v>427</v>
      </c>
      <c r="L13" s="78" t="s">
        <v>427</v>
      </c>
      <c r="M13" s="78" t="s">
        <v>427</v>
      </c>
      <c r="N13" s="78" t="s">
        <v>427</v>
      </c>
      <c r="O13" s="78" t="s">
        <v>427</v>
      </c>
      <c r="P13" s="80" t="s">
        <v>810</v>
      </c>
      <c r="Q13" s="78" t="s">
        <v>427</v>
      </c>
      <c r="R13" s="78" t="s">
        <v>427</v>
      </c>
      <c r="S13" s="78" t="s">
        <v>427</v>
      </c>
      <c r="T13" s="78" t="s">
        <v>427</v>
      </c>
      <c r="U13" s="78" t="s">
        <v>427</v>
      </c>
      <c r="V13" s="78" t="s">
        <v>427</v>
      </c>
      <c r="W13" s="78" t="s">
        <v>427</v>
      </c>
      <c r="X13" s="80" t="s">
        <v>831</v>
      </c>
      <c r="Y13" s="78" t="s">
        <v>427</v>
      </c>
      <c r="Z13" s="78" t="s">
        <v>427</v>
      </c>
    </row>
    <row r="14" spans="1:26" ht="15.6">
      <c r="A14" s="81"/>
      <c r="B14" s="78" t="s">
        <v>427</v>
      </c>
      <c r="C14" s="78" t="s">
        <v>427</v>
      </c>
      <c r="D14" s="78" t="s">
        <v>75</v>
      </c>
      <c r="E14" s="78" t="s">
        <v>427</v>
      </c>
      <c r="F14" s="78" t="s">
        <v>427</v>
      </c>
      <c r="G14" s="79" t="s">
        <v>832</v>
      </c>
      <c r="H14" s="78" t="s">
        <v>427</v>
      </c>
      <c r="I14" s="78" t="s">
        <v>427</v>
      </c>
      <c r="J14" s="78" t="s">
        <v>427</v>
      </c>
      <c r="K14" s="78" t="s">
        <v>427</v>
      </c>
      <c r="L14" s="78" t="s">
        <v>427</v>
      </c>
      <c r="M14" s="78" t="s">
        <v>427</v>
      </c>
      <c r="N14" s="78" t="s">
        <v>427</v>
      </c>
      <c r="O14" s="78" t="s">
        <v>427</v>
      </c>
      <c r="P14" s="80" t="s">
        <v>810</v>
      </c>
      <c r="Q14" s="78" t="s">
        <v>427</v>
      </c>
      <c r="R14" s="78" t="s">
        <v>427</v>
      </c>
      <c r="S14" s="78" t="s">
        <v>427</v>
      </c>
      <c r="T14" s="78" t="s">
        <v>427</v>
      </c>
      <c r="U14" s="78" t="s">
        <v>427</v>
      </c>
      <c r="V14" s="78" t="s">
        <v>427</v>
      </c>
      <c r="W14" s="78" t="s">
        <v>427</v>
      </c>
      <c r="X14" s="80" t="s">
        <v>833</v>
      </c>
      <c r="Y14" s="78" t="s">
        <v>427</v>
      </c>
      <c r="Z14" s="78" t="s">
        <v>427</v>
      </c>
    </row>
    <row r="15" spans="1:26" ht="15.6">
      <c r="A15" s="81"/>
      <c r="B15" s="78" t="s">
        <v>427</v>
      </c>
      <c r="C15" s="78" t="s">
        <v>427</v>
      </c>
      <c r="D15" s="78" t="s">
        <v>75</v>
      </c>
      <c r="E15" s="78" t="s">
        <v>427</v>
      </c>
      <c r="F15" s="78" t="s">
        <v>427</v>
      </c>
      <c r="G15" s="79" t="s">
        <v>834</v>
      </c>
      <c r="H15" s="78" t="s">
        <v>427</v>
      </c>
      <c r="I15" s="78" t="s">
        <v>427</v>
      </c>
      <c r="J15" s="78" t="s">
        <v>427</v>
      </c>
      <c r="K15" s="78" t="s">
        <v>427</v>
      </c>
      <c r="L15" s="78" t="s">
        <v>427</v>
      </c>
      <c r="M15" s="78" t="s">
        <v>427</v>
      </c>
      <c r="N15" s="78" t="s">
        <v>427</v>
      </c>
      <c r="O15" s="78" t="s">
        <v>427</v>
      </c>
      <c r="P15" s="80" t="s">
        <v>810</v>
      </c>
      <c r="Q15" s="78" t="s">
        <v>427</v>
      </c>
      <c r="R15" s="78" t="s">
        <v>427</v>
      </c>
      <c r="S15" s="78" t="s">
        <v>427</v>
      </c>
      <c r="T15" s="78" t="s">
        <v>427</v>
      </c>
      <c r="U15" s="78" t="s">
        <v>427</v>
      </c>
      <c r="V15" s="78" t="s">
        <v>427</v>
      </c>
      <c r="W15" s="78" t="s">
        <v>427</v>
      </c>
      <c r="X15" s="80" t="s">
        <v>835</v>
      </c>
      <c r="Y15" s="78" t="s">
        <v>427</v>
      </c>
      <c r="Z15" s="78" t="s">
        <v>427</v>
      </c>
    </row>
    <row r="16" spans="1:26" ht="15.6">
      <c r="A16" s="81"/>
      <c r="B16" s="78" t="s">
        <v>427</v>
      </c>
      <c r="C16" s="78" t="s">
        <v>427</v>
      </c>
      <c r="D16" s="78" t="s">
        <v>75</v>
      </c>
      <c r="E16" s="78" t="s">
        <v>427</v>
      </c>
      <c r="F16" s="78" t="s">
        <v>427</v>
      </c>
      <c r="G16" s="79" t="s">
        <v>836</v>
      </c>
      <c r="H16" s="78" t="s">
        <v>427</v>
      </c>
      <c r="I16" s="78" t="s">
        <v>427</v>
      </c>
      <c r="J16" s="78" t="s">
        <v>427</v>
      </c>
      <c r="K16" s="78" t="s">
        <v>427</v>
      </c>
      <c r="L16" s="78" t="s">
        <v>427</v>
      </c>
      <c r="M16" s="78" t="s">
        <v>427</v>
      </c>
      <c r="N16" s="78" t="s">
        <v>427</v>
      </c>
      <c r="O16" s="78" t="s">
        <v>427</v>
      </c>
      <c r="P16" s="80" t="s">
        <v>810</v>
      </c>
      <c r="Q16" s="78" t="s">
        <v>427</v>
      </c>
      <c r="R16" s="78" t="s">
        <v>427</v>
      </c>
      <c r="S16" s="78" t="s">
        <v>427</v>
      </c>
      <c r="T16" s="78" t="s">
        <v>427</v>
      </c>
      <c r="U16" s="78" t="s">
        <v>427</v>
      </c>
      <c r="V16" s="78" t="s">
        <v>427</v>
      </c>
      <c r="W16" s="78" t="s">
        <v>427</v>
      </c>
      <c r="X16" s="80" t="s">
        <v>837</v>
      </c>
      <c r="Y16" s="78" t="s">
        <v>427</v>
      </c>
      <c r="Z16" s="78" t="s">
        <v>427</v>
      </c>
    </row>
    <row r="17" spans="1:26" ht="15.6">
      <c r="A17" s="81"/>
      <c r="B17" s="78" t="s">
        <v>427</v>
      </c>
      <c r="C17" s="78" t="s">
        <v>427</v>
      </c>
      <c r="D17" s="78" t="s">
        <v>75</v>
      </c>
      <c r="E17" s="78" t="s">
        <v>427</v>
      </c>
      <c r="F17" s="78" t="s">
        <v>427</v>
      </c>
      <c r="G17" s="79" t="s">
        <v>838</v>
      </c>
      <c r="H17" s="78" t="s">
        <v>427</v>
      </c>
      <c r="I17" s="78" t="s">
        <v>427</v>
      </c>
      <c r="J17" s="78" t="s">
        <v>427</v>
      </c>
      <c r="K17" s="78" t="s">
        <v>427</v>
      </c>
      <c r="L17" s="78" t="s">
        <v>427</v>
      </c>
      <c r="M17" s="78" t="s">
        <v>427</v>
      </c>
      <c r="N17" s="78" t="s">
        <v>427</v>
      </c>
      <c r="O17" s="78" t="s">
        <v>427</v>
      </c>
      <c r="P17" s="80" t="s">
        <v>810</v>
      </c>
      <c r="Q17" s="78" t="s">
        <v>427</v>
      </c>
      <c r="R17" s="78" t="s">
        <v>427</v>
      </c>
      <c r="S17" s="78" t="s">
        <v>427</v>
      </c>
      <c r="T17" s="78" t="s">
        <v>427</v>
      </c>
      <c r="U17" s="78" t="s">
        <v>427</v>
      </c>
      <c r="V17" s="78" t="s">
        <v>427</v>
      </c>
      <c r="W17" s="78" t="s">
        <v>427</v>
      </c>
      <c r="X17" s="80" t="s">
        <v>839</v>
      </c>
      <c r="Y17" s="78" t="s">
        <v>427</v>
      </c>
      <c r="Z17" s="78" t="s">
        <v>427</v>
      </c>
    </row>
    <row r="18" spans="1:26" ht="15.6">
      <c r="A18" s="81"/>
      <c r="B18" s="78" t="s">
        <v>427</v>
      </c>
      <c r="C18" s="78" t="s">
        <v>427</v>
      </c>
      <c r="D18" s="78" t="s">
        <v>75</v>
      </c>
      <c r="E18" s="78" t="s">
        <v>427</v>
      </c>
      <c r="F18" s="78" t="s">
        <v>427</v>
      </c>
      <c r="G18" s="79" t="s">
        <v>840</v>
      </c>
      <c r="H18" s="78" t="s">
        <v>427</v>
      </c>
      <c r="I18" s="78" t="s">
        <v>427</v>
      </c>
      <c r="J18" s="78" t="s">
        <v>427</v>
      </c>
      <c r="K18" s="78" t="s">
        <v>427</v>
      </c>
      <c r="L18" s="78" t="s">
        <v>427</v>
      </c>
      <c r="M18" s="78" t="s">
        <v>427</v>
      </c>
      <c r="N18" s="78" t="s">
        <v>427</v>
      </c>
      <c r="O18" s="78" t="s">
        <v>427</v>
      </c>
      <c r="P18" s="80" t="s">
        <v>810</v>
      </c>
      <c r="Q18" s="78" t="s">
        <v>427</v>
      </c>
      <c r="R18" s="78" t="s">
        <v>427</v>
      </c>
      <c r="S18" s="78" t="s">
        <v>427</v>
      </c>
      <c r="T18" s="78" t="s">
        <v>427</v>
      </c>
      <c r="U18" s="78" t="s">
        <v>427</v>
      </c>
      <c r="V18" s="78" t="s">
        <v>427</v>
      </c>
      <c r="W18" s="78" t="s">
        <v>427</v>
      </c>
      <c r="X18" s="80" t="s">
        <v>841</v>
      </c>
      <c r="Y18" s="78" t="s">
        <v>427</v>
      </c>
      <c r="Z18" s="78" t="s">
        <v>427</v>
      </c>
    </row>
    <row r="19" spans="1:26" ht="15.6">
      <c r="A19" s="81"/>
      <c r="B19" s="78" t="s">
        <v>427</v>
      </c>
      <c r="C19" s="78" t="s">
        <v>427</v>
      </c>
      <c r="D19" s="78" t="s">
        <v>75</v>
      </c>
      <c r="E19" s="78" t="s">
        <v>427</v>
      </c>
      <c r="F19" s="78" t="s">
        <v>427</v>
      </c>
      <c r="G19" s="79" t="s">
        <v>842</v>
      </c>
      <c r="H19" s="78" t="s">
        <v>427</v>
      </c>
      <c r="I19" s="78" t="s">
        <v>427</v>
      </c>
      <c r="J19" s="78" t="s">
        <v>427</v>
      </c>
      <c r="K19" s="78" t="s">
        <v>427</v>
      </c>
      <c r="L19" s="78" t="s">
        <v>427</v>
      </c>
      <c r="M19" s="78" t="s">
        <v>427</v>
      </c>
      <c r="N19" s="78" t="s">
        <v>427</v>
      </c>
      <c r="O19" s="78" t="s">
        <v>427</v>
      </c>
      <c r="P19" s="80" t="s">
        <v>810</v>
      </c>
      <c r="Q19" s="78" t="s">
        <v>427</v>
      </c>
      <c r="R19" s="78" t="s">
        <v>427</v>
      </c>
      <c r="S19" s="78" t="s">
        <v>427</v>
      </c>
      <c r="T19" s="78" t="s">
        <v>427</v>
      </c>
      <c r="U19" s="78" t="s">
        <v>427</v>
      </c>
      <c r="V19" s="78" t="s">
        <v>427</v>
      </c>
      <c r="W19" s="78" t="s">
        <v>427</v>
      </c>
      <c r="X19" s="80" t="s">
        <v>843</v>
      </c>
      <c r="Y19" s="78" t="s">
        <v>427</v>
      </c>
      <c r="Z19" s="78" t="s">
        <v>427</v>
      </c>
    </row>
    <row r="20" spans="1:26" ht="15.6">
      <c r="A20" s="81"/>
      <c r="B20" s="78" t="s">
        <v>427</v>
      </c>
      <c r="C20" s="78" t="s">
        <v>427</v>
      </c>
      <c r="D20" s="78" t="s">
        <v>75</v>
      </c>
      <c r="E20" s="78" t="s">
        <v>427</v>
      </c>
      <c r="F20" s="78" t="s">
        <v>427</v>
      </c>
      <c r="G20" s="79" t="s">
        <v>844</v>
      </c>
      <c r="H20" s="78" t="s">
        <v>427</v>
      </c>
      <c r="I20" s="78" t="s">
        <v>427</v>
      </c>
      <c r="J20" s="78" t="s">
        <v>427</v>
      </c>
      <c r="K20" s="78" t="s">
        <v>427</v>
      </c>
      <c r="L20" s="78" t="s">
        <v>427</v>
      </c>
      <c r="M20" s="78" t="s">
        <v>427</v>
      </c>
      <c r="N20" s="78" t="s">
        <v>427</v>
      </c>
      <c r="O20" s="78" t="s">
        <v>427</v>
      </c>
      <c r="P20" s="80" t="s">
        <v>810</v>
      </c>
      <c r="Q20" s="78" t="s">
        <v>427</v>
      </c>
      <c r="R20" s="78" t="s">
        <v>427</v>
      </c>
      <c r="S20" s="78" t="s">
        <v>427</v>
      </c>
      <c r="T20" s="78" t="s">
        <v>427</v>
      </c>
      <c r="U20" s="78" t="s">
        <v>427</v>
      </c>
      <c r="V20" s="78" t="s">
        <v>427</v>
      </c>
      <c r="W20" s="78" t="s">
        <v>427</v>
      </c>
      <c r="X20" s="80" t="s">
        <v>845</v>
      </c>
      <c r="Y20" s="78" t="s">
        <v>427</v>
      </c>
      <c r="Z20" s="78" t="s">
        <v>427</v>
      </c>
    </row>
    <row r="21" spans="1:26" ht="15.6">
      <c r="A21" s="81"/>
      <c r="B21" s="78" t="s">
        <v>427</v>
      </c>
      <c r="C21" s="78" t="s">
        <v>427</v>
      </c>
      <c r="D21" s="78" t="s">
        <v>75</v>
      </c>
      <c r="E21" s="78" t="s">
        <v>427</v>
      </c>
      <c r="F21" s="78" t="s">
        <v>427</v>
      </c>
      <c r="G21" s="79" t="s">
        <v>846</v>
      </c>
      <c r="H21" s="78" t="s">
        <v>427</v>
      </c>
      <c r="I21" s="78" t="s">
        <v>427</v>
      </c>
      <c r="J21" s="78" t="s">
        <v>427</v>
      </c>
      <c r="K21" s="78" t="s">
        <v>427</v>
      </c>
      <c r="L21" s="78" t="s">
        <v>427</v>
      </c>
      <c r="M21" s="78" t="s">
        <v>427</v>
      </c>
      <c r="N21" s="78" t="s">
        <v>427</v>
      </c>
      <c r="O21" s="78" t="s">
        <v>427</v>
      </c>
      <c r="P21" s="80" t="s">
        <v>810</v>
      </c>
      <c r="Q21" s="78" t="s">
        <v>427</v>
      </c>
      <c r="R21" s="78" t="s">
        <v>427</v>
      </c>
      <c r="S21" s="78" t="s">
        <v>427</v>
      </c>
      <c r="T21" s="78" t="s">
        <v>427</v>
      </c>
      <c r="U21" s="78" t="s">
        <v>427</v>
      </c>
      <c r="V21" s="78" t="s">
        <v>427</v>
      </c>
      <c r="W21" s="78" t="s">
        <v>427</v>
      </c>
      <c r="X21" s="80" t="s">
        <v>847</v>
      </c>
      <c r="Y21" s="78" t="s">
        <v>427</v>
      </c>
      <c r="Z21" s="78" t="s">
        <v>427</v>
      </c>
    </row>
    <row r="22" spans="1:26" ht="15.6">
      <c r="A22" s="81"/>
      <c r="B22" s="78" t="s">
        <v>427</v>
      </c>
      <c r="C22" s="78" t="s">
        <v>427</v>
      </c>
      <c r="D22" s="78" t="s">
        <v>75</v>
      </c>
      <c r="E22" s="78" t="s">
        <v>427</v>
      </c>
      <c r="F22" s="78" t="s">
        <v>427</v>
      </c>
      <c r="G22" s="79" t="s">
        <v>848</v>
      </c>
      <c r="H22" s="78" t="s">
        <v>427</v>
      </c>
      <c r="I22" s="78" t="s">
        <v>427</v>
      </c>
      <c r="J22" s="78" t="s">
        <v>427</v>
      </c>
      <c r="K22" s="78" t="s">
        <v>427</v>
      </c>
      <c r="L22" s="78" t="s">
        <v>427</v>
      </c>
      <c r="M22" s="78" t="s">
        <v>427</v>
      </c>
      <c r="N22" s="78" t="s">
        <v>427</v>
      </c>
      <c r="O22" s="78" t="s">
        <v>427</v>
      </c>
      <c r="P22" s="80" t="s">
        <v>810</v>
      </c>
      <c r="Q22" s="78" t="s">
        <v>427</v>
      </c>
      <c r="R22" s="78" t="s">
        <v>427</v>
      </c>
      <c r="S22" s="78" t="s">
        <v>427</v>
      </c>
      <c r="T22" s="78" t="s">
        <v>427</v>
      </c>
      <c r="U22" s="78" t="s">
        <v>427</v>
      </c>
      <c r="V22" s="78" t="s">
        <v>427</v>
      </c>
      <c r="W22" s="78" t="s">
        <v>427</v>
      </c>
      <c r="X22" s="80" t="s">
        <v>849</v>
      </c>
      <c r="Y22" s="78" t="s">
        <v>427</v>
      </c>
      <c r="Z22" s="78" t="s">
        <v>427</v>
      </c>
    </row>
    <row r="23" spans="1:26" ht="15.6">
      <c r="A23" s="81"/>
      <c r="B23" s="78" t="s">
        <v>427</v>
      </c>
      <c r="C23" s="78" t="s">
        <v>427</v>
      </c>
      <c r="D23" s="78" t="s">
        <v>75</v>
      </c>
      <c r="E23" s="78" t="s">
        <v>427</v>
      </c>
      <c r="F23" s="78" t="s">
        <v>427</v>
      </c>
      <c r="G23" s="79" t="s">
        <v>850</v>
      </c>
      <c r="H23" s="78" t="s">
        <v>427</v>
      </c>
      <c r="I23" s="78" t="s">
        <v>427</v>
      </c>
      <c r="J23" s="78" t="s">
        <v>427</v>
      </c>
      <c r="K23" s="78" t="s">
        <v>427</v>
      </c>
      <c r="L23" s="78" t="s">
        <v>427</v>
      </c>
      <c r="M23" s="78" t="s">
        <v>427</v>
      </c>
      <c r="N23" s="78" t="s">
        <v>427</v>
      </c>
      <c r="O23" s="78" t="s">
        <v>427</v>
      </c>
      <c r="P23" s="80" t="s">
        <v>810</v>
      </c>
      <c r="Q23" s="78" t="s">
        <v>427</v>
      </c>
      <c r="R23" s="78" t="s">
        <v>427</v>
      </c>
      <c r="S23" s="78" t="s">
        <v>427</v>
      </c>
      <c r="T23" s="78" t="s">
        <v>427</v>
      </c>
      <c r="U23" s="78" t="s">
        <v>427</v>
      </c>
      <c r="V23" s="78" t="s">
        <v>427</v>
      </c>
      <c r="W23" s="78" t="s">
        <v>427</v>
      </c>
      <c r="X23" s="80" t="s">
        <v>851</v>
      </c>
      <c r="Y23" s="78" t="s">
        <v>427</v>
      </c>
      <c r="Z23" s="78" t="s">
        <v>427</v>
      </c>
    </row>
    <row r="24" spans="1:26" ht="15.6">
      <c r="A24" s="81"/>
      <c r="B24" s="78" t="s">
        <v>427</v>
      </c>
      <c r="C24" s="78" t="s">
        <v>427</v>
      </c>
      <c r="D24" s="78" t="s">
        <v>75</v>
      </c>
      <c r="E24" s="78" t="s">
        <v>427</v>
      </c>
      <c r="F24" s="78" t="s">
        <v>427</v>
      </c>
      <c r="G24" s="79" t="s">
        <v>852</v>
      </c>
      <c r="H24" s="78" t="s">
        <v>427</v>
      </c>
      <c r="I24" s="78" t="s">
        <v>427</v>
      </c>
      <c r="J24" s="78" t="s">
        <v>427</v>
      </c>
      <c r="K24" s="78" t="s">
        <v>427</v>
      </c>
      <c r="L24" s="78" t="s">
        <v>427</v>
      </c>
      <c r="M24" s="78" t="s">
        <v>427</v>
      </c>
      <c r="N24" s="78" t="s">
        <v>427</v>
      </c>
      <c r="O24" s="78" t="s">
        <v>427</v>
      </c>
      <c r="P24" s="80" t="s">
        <v>810</v>
      </c>
      <c r="Q24" s="78" t="s">
        <v>427</v>
      </c>
      <c r="R24" s="78" t="s">
        <v>427</v>
      </c>
      <c r="S24" s="78" t="s">
        <v>427</v>
      </c>
      <c r="T24" s="78" t="s">
        <v>427</v>
      </c>
      <c r="U24" s="78" t="s">
        <v>427</v>
      </c>
      <c r="V24" s="78" t="s">
        <v>427</v>
      </c>
      <c r="W24" s="78" t="s">
        <v>427</v>
      </c>
      <c r="X24" s="80" t="s">
        <v>853</v>
      </c>
      <c r="Y24" s="78" t="s">
        <v>427</v>
      </c>
      <c r="Z24" s="78" t="s">
        <v>427</v>
      </c>
    </row>
    <row r="25" spans="1:26" ht="15.6">
      <c r="A25" s="81"/>
      <c r="B25" s="78" t="s">
        <v>427</v>
      </c>
      <c r="C25" s="78" t="s">
        <v>427</v>
      </c>
      <c r="D25" s="78" t="s">
        <v>75</v>
      </c>
      <c r="E25" s="78" t="s">
        <v>427</v>
      </c>
      <c r="F25" s="78" t="s">
        <v>427</v>
      </c>
      <c r="G25" s="79" t="s">
        <v>854</v>
      </c>
      <c r="H25" s="78" t="s">
        <v>427</v>
      </c>
      <c r="I25" s="78" t="s">
        <v>427</v>
      </c>
      <c r="J25" s="78" t="s">
        <v>427</v>
      </c>
      <c r="K25" s="78" t="s">
        <v>427</v>
      </c>
      <c r="L25" s="78" t="s">
        <v>427</v>
      </c>
      <c r="M25" s="78" t="s">
        <v>427</v>
      </c>
      <c r="N25" s="78" t="s">
        <v>427</v>
      </c>
      <c r="O25" s="78" t="s">
        <v>427</v>
      </c>
      <c r="P25" s="80" t="s">
        <v>810</v>
      </c>
      <c r="Q25" s="78" t="s">
        <v>427</v>
      </c>
      <c r="R25" s="78" t="s">
        <v>427</v>
      </c>
      <c r="S25" s="78" t="s">
        <v>427</v>
      </c>
      <c r="T25" s="78" t="s">
        <v>427</v>
      </c>
      <c r="U25" s="78" t="s">
        <v>427</v>
      </c>
      <c r="V25" s="78" t="s">
        <v>427</v>
      </c>
      <c r="W25" s="78" t="s">
        <v>427</v>
      </c>
      <c r="X25" s="80" t="s">
        <v>855</v>
      </c>
      <c r="Y25" s="78" t="s">
        <v>427</v>
      </c>
      <c r="Z25" s="78" t="s">
        <v>427</v>
      </c>
    </row>
    <row r="26" spans="1:26" ht="15.6">
      <c r="A26" s="81"/>
      <c r="B26" s="78" t="s">
        <v>427</v>
      </c>
      <c r="C26" s="78" t="s">
        <v>427</v>
      </c>
      <c r="D26" s="78" t="s">
        <v>75</v>
      </c>
      <c r="E26" s="78" t="s">
        <v>427</v>
      </c>
      <c r="F26" s="78" t="s">
        <v>427</v>
      </c>
      <c r="G26" s="79" t="s">
        <v>856</v>
      </c>
      <c r="H26" s="78" t="s">
        <v>427</v>
      </c>
      <c r="I26" s="78" t="s">
        <v>427</v>
      </c>
      <c r="J26" s="78" t="s">
        <v>427</v>
      </c>
      <c r="K26" s="78" t="s">
        <v>427</v>
      </c>
      <c r="L26" s="78" t="s">
        <v>427</v>
      </c>
      <c r="M26" s="78" t="s">
        <v>427</v>
      </c>
      <c r="N26" s="78" t="s">
        <v>427</v>
      </c>
      <c r="O26" s="78" t="s">
        <v>427</v>
      </c>
      <c r="P26" s="80" t="s">
        <v>810</v>
      </c>
      <c r="Q26" s="78" t="s">
        <v>427</v>
      </c>
      <c r="R26" s="78" t="s">
        <v>427</v>
      </c>
      <c r="S26" s="78" t="s">
        <v>427</v>
      </c>
      <c r="T26" s="78" t="s">
        <v>427</v>
      </c>
      <c r="U26" s="78" t="s">
        <v>427</v>
      </c>
      <c r="V26" s="78" t="s">
        <v>427</v>
      </c>
      <c r="W26" s="78" t="s">
        <v>427</v>
      </c>
      <c r="X26" s="80" t="s">
        <v>857</v>
      </c>
      <c r="Y26" s="78" t="s">
        <v>427</v>
      </c>
      <c r="Z26" s="78" t="s">
        <v>427</v>
      </c>
    </row>
    <row r="27" spans="1:26" ht="15.6">
      <c r="A27" s="81"/>
      <c r="B27" s="78" t="s">
        <v>427</v>
      </c>
      <c r="C27" s="78" t="s">
        <v>427</v>
      </c>
      <c r="D27" s="78" t="s">
        <v>75</v>
      </c>
      <c r="E27" s="78" t="s">
        <v>427</v>
      </c>
      <c r="F27" s="78" t="s">
        <v>427</v>
      </c>
      <c r="G27" s="79" t="s">
        <v>858</v>
      </c>
      <c r="H27" s="78" t="s">
        <v>427</v>
      </c>
      <c r="I27" s="78" t="s">
        <v>427</v>
      </c>
      <c r="J27" s="78" t="s">
        <v>427</v>
      </c>
      <c r="K27" s="78" t="s">
        <v>427</v>
      </c>
      <c r="L27" s="78" t="s">
        <v>427</v>
      </c>
      <c r="M27" s="78" t="s">
        <v>427</v>
      </c>
      <c r="N27" s="78" t="s">
        <v>427</v>
      </c>
      <c r="O27" s="78" t="s">
        <v>427</v>
      </c>
      <c r="P27" s="80" t="s">
        <v>810</v>
      </c>
      <c r="Q27" s="78" t="s">
        <v>427</v>
      </c>
      <c r="R27" s="78" t="s">
        <v>427</v>
      </c>
      <c r="S27" s="78" t="s">
        <v>427</v>
      </c>
      <c r="T27" s="78" t="s">
        <v>427</v>
      </c>
      <c r="U27" s="78" t="s">
        <v>427</v>
      </c>
      <c r="V27" s="78" t="s">
        <v>427</v>
      </c>
      <c r="W27" s="78" t="s">
        <v>427</v>
      </c>
      <c r="X27" s="80" t="s">
        <v>859</v>
      </c>
      <c r="Y27" s="78" t="s">
        <v>427</v>
      </c>
      <c r="Z27" s="78" t="s">
        <v>427</v>
      </c>
    </row>
    <row r="28" spans="1:26" ht="15.6">
      <c r="A28" s="81"/>
      <c r="B28" s="78" t="s">
        <v>427</v>
      </c>
      <c r="C28" s="78" t="s">
        <v>427</v>
      </c>
      <c r="D28" s="78" t="s">
        <v>75</v>
      </c>
      <c r="E28" s="78" t="s">
        <v>427</v>
      </c>
      <c r="F28" s="78" t="s">
        <v>427</v>
      </c>
      <c r="G28" s="79" t="s">
        <v>860</v>
      </c>
      <c r="H28" s="78" t="s">
        <v>427</v>
      </c>
      <c r="I28" s="78" t="s">
        <v>427</v>
      </c>
      <c r="J28" s="78" t="s">
        <v>427</v>
      </c>
      <c r="K28" s="78" t="s">
        <v>427</v>
      </c>
      <c r="L28" s="78" t="s">
        <v>427</v>
      </c>
      <c r="M28" s="78" t="s">
        <v>427</v>
      </c>
      <c r="N28" s="78" t="s">
        <v>427</v>
      </c>
      <c r="O28" s="78" t="s">
        <v>427</v>
      </c>
      <c r="P28" s="80" t="s">
        <v>810</v>
      </c>
      <c r="Q28" s="78" t="s">
        <v>427</v>
      </c>
      <c r="R28" s="78" t="s">
        <v>427</v>
      </c>
      <c r="S28" s="78" t="s">
        <v>427</v>
      </c>
      <c r="T28" s="78" t="s">
        <v>427</v>
      </c>
      <c r="U28" s="78" t="s">
        <v>427</v>
      </c>
      <c r="V28" s="78" t="s">
        <v>427</v>
      </c>
      <c r="W28" s="78" t="s">
        <v>427</v>
      </c>
      <c r="X28" s="80" t="s">
        <v>861</v>
      </c>
      <c r="Y28" s="78" t="s">
        <v>427</v>
      </c>
      <c r="Z28" s="78" t="s">
        <v>427</v>
      </c>
    </row>
    <row r="29" spans="1:26" ht="15.6">
      <c r="A29" s="81"/>
      <c r="B29" s="78" t="s">
        <v>427</v>
      </c>
      <c r="C29" s="78" t="s">
        <v>427</v>
      </c>
      <c r="D29" s="78" t="s">
        <v>75</v>
      </c>
      <c r="E29" s="78" t="s">
        <v>427</v>
      </c>
      <c r="F29" s="78" t="s">
        <v>427</v>
      </c>
      <c r="G29" s="79" t="s">
        <v>862</v>
      </c>
      <c r="H29" s="78" t="s">
        <v>427</v>
      </c>
      <c r="I29" s="78" t="s">
        <v>427</v>
      </c>
      <c r="J29" s="78" t="s">
        <v>427</v>
      </c>
      <c r="K29" s="78" t="s">
        <v>427</v>
      </c>
      <c r="L29" s="78" t="s">
        <v>427</v>
      </c>
      <c r="M29" s="78" t="s">
        <v>427</v>
      </c>
      <c r="N29" s="78" t="s">
        <v>427</v>
      </c>
      <c r="O29" s="78" t="s">
        <v>427</v>
      </c>
      <c r="P29" s="80" t="s">
        <v>810</v>
      </c>
      <c r="Q29" s="78" t="s">
        <v>427</v>
      </c>
      <c r="R29" s="78" t="s">
        <v>427</v>
      </c>
      <c r="S29" s="78" t="s">
        <v>427</v>
      </c>
      <c r="T29" s="78" t="s">
        <v>427</v>
      </c>
      <c r="U29" s="78" t="s">
        <v>427</v>
      </c>
      <c r="V29" s="78" t="s">
        <v>427</v>
      </c>
      <c r="W29" s="78" t="s">
        <v>427</v>
      </c>
      <c r="X29" s="80" t="s">
        <v>863</v>
      </c>
      <c r="Y29" s="78" t="s">
        <v>427</v>
      </c>
      <c r="Z29" s="78" t="s">
        <v>427</v>
      </c>
    </row>
    <row r="30" spans="1:26" ht="15.6">
      <c r="A30" s="81"/>
      <c r="B30" s="78" t="s">
        <v>427</v>
      </c>
      <c r="C30" s="78" t="s">
        <v>427</v>
      </c>
      <c r="D30" s="78" t="s">
        <v>75</v>
      </c>
      <c r="E30" s="78" t="s">
        <v>427</v>
      </c>
      <c r="F30" s="78" t="s">
        <v>427</v>
      </c>
      <c r="G30" s="79" t="s">
        <v>864</v>
      </c>
      <c r="H30" s="78" t="s">
        <v>427</v>
      </c>
      <c r="I30" s="78" t="s">
        <v>427</v>
      </c>
      <c r="J30" s="78" t="s">
        <v>427</v>
      </c>
      <c r="K30" s="78" t="s">
        <v>427</v>
      </c>
      <c r="L30" s="78" t="s">
        <v>427</v>
      </c>
      <c r="M30" s="78" t="s">
        <v>427</v>
      </c>
      <c r="N30" s="78" t="s">
        <v>427</v>
      </c>
      <c r="O30" s="78" t="s">
        <v>427</v>
      </c>
      <c r="P30" s="80" t="s">
        <v>810</v>
      </c>
      <c r="Q30" s="78" t="s">
        <v>427</v>
      </c>
      <c r="R30" s="78" t="s">
        <v>427</v>
      </c>
      <c r="S30" s="78" t="s">
        <v>427</v>
      </c>
      <c r="T30" s="78" t="s">
        <v>427</v>
      </c>
      <c r="U30" s="78" t="s">
        <v>427</v>
      </c>
      <c r="V30" s="78" t="s">
        <v>427</v>
      </c>
      <c r="W30" s="78" t="s">
        <v>427</v>
      </c>
      <c r="X30" s="80" t="s">
        <v>865</v>
      </c>
      <c r="Y30" s="78" t="s">
        <v>427</v>
      </c>
      <c r="Z30" s="78" t="s">
        <v>427</v>
      </c>
    </row>
    <row r="31" spans="1:26" ht="15.6">
      <c r="A31" s="81"/>
      <c r="B31" s="78" t="s">
        <v>427</v>
      </c>
      <c r="C31" s="78" t="s">
        <v>427</v>
      </c>
      <c r="D31" s="78" t="s">
        <v>75</v>
      </c>
      <c r="E31" s="78" t="s">
        <v>427</v>
      </c>
      <c r="F31" s="78" t="s">
        <v>427</v>
      </c>
      <c r="G31" s="79" t="s">
        <v>866</v>
      </c>
      <c r="H31" s="78" t="s">
        <v>427</v>
      </c>
      <c r="I31" s="78" t="s">
        <v>427</v>
      </c>
      <c r="J31" s="78" t="s">
        <v>427</v>
      </c>
      <c r="K31" s="78" t="s">
        <v>427</v>
      </c>
      <c r="L31" s="78" t="s">
        <v>427</v>
      </c>
      <c r="M31" s="78" t="s">
        <v>427</v>
      </c>
      <c r="N31" s="78" t="s">
        <v>427</v>
      </c>
      <c r="O31" s="78" t="s">
        <v>427</v>
      </c>
      <c r="P31" s="80" t="s">
        <v>810</v>
      </c>
      <c r="Q31" s="78" t="s">
        <v>427</v>
      </c>
      <c r="R31" s="78" t="s">
        <v>427</v>
      </c>
      <c r="S31" s="78" t="s">
        <v>427</v>
      </c>
      <c r="T31" s="78" t="s">
        <v>427</v>
      </c>
      <c r="U31" s="78" t="s">
        <v>427</v>
      </c>
      <c r="V31" s="78" t="s">
        <v>427</v>
      </c>
      <c r="W31" s="78" t="s">
        <v>427</v>
      </c>
      <c r="X31" s="80" t="s">
        <v>867</v>
      </c>
      <c r="Y31" s="78" t="s">
        <v>427</v>
      </c>
      <c r="Z31" s="78" t="s">
        <v>427</v>
      </c>
    </row>
    <row r="32" spans="1:26" ht="15.6">
      <c r="A32" s="81"/>
      <c r="B32" s="78" t="s">
        <v>427</v>
      </c>
      <c r="C32" s="78" t="s">
        <v>427</v>
      </c>
      <c r="D32" s="78" t="s">
        <v>75</v>
      </c>
      <c r="E32" s="78" t="s">
        <v>427</v>
      </c>
      <c r="F32" s="78" t="s">
        <v>427</v>
      </c>
      <c r="G32" s="79" t="s">
        <v>868</v>
      </c>
      <c r="H32" s="78" t="s">
        <v>427</v>
      </c>
      <c r="I32" s="78" t="s">
        <v>427</v>
      </c>
      <c r="J32" s="78" t="s">
        <v>427</v>
      </c>
      <c r="K32" s="78" t="s">
        <v>427</v>
      </c>
      <c r="L32" s="78" t="s">
        <v>427</v>
      </c>
      <c r="M32" s="78" t="s">
        <v>427</v>
      </c>
      <c r="N32" s="78" t="s">
        <v>427</v>
      </c>
      <c r="O32" s="78" t="s">
        <v>427</v>
      </c>
      <c r="P32" s="80" t="s">
        <v>155</v>
      </c>
      <c r="Q32" s="78" t="s">
        <v>427</v>
      </c>
      <c r="R32" s="78" t="s">
        <v>427</v>
      </c>
      <c r="S32" s="78" t="s">
        <v>427</v>
      </c>
      <c r="T32" s="78" t="s">
        <v>427</v>
      </c>
      <c r="U32" s="78" t="s">
        <v>427</v>
      </c>
      <c r="V32" s="78" t="s">
        <v>427</v>
      </c>
      <c r="W32" s="78" t="s">
        <v>427</v>
      </c>
      <c r="X32" s="80" t="s">
        <v>869</v>
      </c>
      <c r="Y32" s="78" t="s">
        <v>427</v>
      </c>
      <c r="Z32" s="78" t="s">
        <v>427</v>
      </c>
    </row>
    <row r="33" spans="1:26" ht="15.6">
      <c r="A33" s="81"/>
      <c r="B33" s="78" t="s">
        <v>427</v>
      </c>
      <c r="C33" s="78" t="s">
        <v>427</v>
      </c>
      <c r="D33" s="78" t="s">
        <v>75</v>
      </c>
      <c r="E33" s="78" t="s">
        <v>427</v>
      </c>
      <c r="F33" s="78" t="s">
        <v>427</v>
      </c>
      <c r="G33" s="79" t="s">
        <v>870</v>
      </c>
      <c r="H33" s="78" t="s">
        <v>427</v>
      </c>
      <c r="I33" s="78" t="s">
        <v>427</v>
      </c>
      <c r="J33" s="78" t="s">
        <v>427</v>
      </c>
      <c r="K33" s="78" t="s">
        <v>427</v>
      </c>
      <c r="L33" s="78" t="s">
        <v>427</v>
      </c>
      <c r="M33" s="78" t="s">
        <v>427</v>
      </c>
      <c r="N33" s="78" t="s">
        <v>427</v>
      </c>
      <c r="O33" s="78" t="s">
        <v>427</v>
      </c>
      <c r="P33" s="80" t="s">
        <v>810</v>
      </c>
      <c r="Q33" s="78" t="s">
        <v>427</v>
      </c>
      <c r="R33" s="78" t="s">
        <v>427</v>
      </c>
      <c r="S33" s="78" t="s">
        <v>427</v>
      </c>
      <c r="T33" s="78" t="s">
        <v>427</v>
      </c>
      <c r="U33" s="78" t="s">
        <v>427</v>
      </c>
      <c r="V33" s="78" t="s">
        <v>427</v>
      </c>
      <c r="W33" s="78" t="s">
        <v>427</v>
      </c>
      <c r="X33" s="80" t="s">
        <v>871</v>
      </c>
      <c r="Y33" s="78" t="s">
        <v>427</v>
      </c>
      <c r="Z33" s="78" t="s">
        <v>427</v>
      </c>
    </row>
    <row r="34" spans="1:26" ht="15.6">
      <c r="A34" s="81"/>
      <c r="B34" s="78" t="s">
        <v>427</v>
      </c>
      <c r="C34" s="78" t="s">
        <v>427</v>
      </c>
      <c r="D34" s="78" t="s">
        <v>75</v>
      </c>
      <c r="E34" s="78" t="s">
        <v>427</v>
      </c>
      <c r="F34" s="78" t="s">
        <v>427</v>
      </c>
      <c r="G34" s="79" t="s">
        <v>872</v>
      </c>
      <c r="H34" s="78" t="s">
        <v>427</v>
      </c>
      <c r="I34" s="78" t="s">
        <v>427</v>
      </c>
      <c r="J34" s="78" t="s">
        <v>427</v>
      </c>
      <c r="K34" s="78" t="s">
        <v>427</v>
      </c>
      <c r="L34" s="78" t="s">
        <v>427</v>
      </c>
      <c r="M34" s="78" t="s">
        <v>427</v>
      </c>
      <c r="N34" s="78" t="s">
        <v>427</v>
      </c>
      <c r="O34" s="78" t="s">
        <v>427</v>
      </c>
      <c r="P34" s="80" t="s">
        <v>155</v>
      </c>
      <c r="Q34" s="78" t="s">
        <v>427</v>
      </c>
      <c r="R34" s="78" t="s">
        <v>427</v>
      </c>
      <c r="S34" s="78" t="s">
        <v>427</v>
      </c>
      <c r="T34" s="78" t="s">
        <v>427</v>
      </c>
      <c r="U34" s="78" t="s">
        <v>427</v>
      </c>
      <c r="V34" s="78" t="s">
        <v>427</v>
      </c>
      <c r="W34" s="78" t="s">
        <v>427</v>
      </c>
      <c r="X34" s="80" t="s">
        <v>873</v>
      </c>
      <c r="Y34" s="78" t="s">
        <v>427</v>
      </c>
      <c r="Z34" s="78" t="s">
        <v>427</v>
      </c>
    </row>
    <row r="35" spans="1:26" ht="15.6">
      <c r="A35" s="81"/>
      <c r="B35" s="78" t="s">
        <v>427</v>
      </c>
      <c r="C35" s="78" t="s">
        <v>427</v>
      </c>
      <c r="D35" s="78" t="s">
        <v>75</v>
      </c>
      <c r="E35" s="78" t="s">
        <v>427</v>
      </c>
      <c r="F35" s="78" t="s">
        <v>427</v>
      </c>
      <c r="G35" s="79" t="s">
        <v>874</v>
      </c>
      <c r="H35" s="78" t="s">
        <v>427</v>
      </c>
      <c r="I35" s="78" t="s">
        <v>427</v>
      </c>
      <c r="J35" s="78" t="s">
        <v>427</v>
      </c>
      <c r="K35" s="78" t="s">
        <v>427</v>
      </c>
      <c r="L35" s="78" t="s">
        <v>427</v>
      </c>
      <c r="M35" s="78" t="s">
        <v>427</v>
      </c>
      <c r="N35" s="78" t="s">
        <v>427</v>
      </c>
      <c r="O35" s="78" t="s">
        <v>427</v>
      </c>
      <c r="P35" s="80" t="s">
        <v>810</v>
      </c>
      <c r="Q35" s="78" t="s">
        <v>427</v>
      </c>
      <c r="R35" s="78" t="s">
        <v>427</v>
      </c>
      <c r="S35" s="78" t="s">
        <v>427</v>
      </c>
      <c r="T35" s="78" t="s">
        <v>427</v>
      </c>
      <c r="U35" s="78" t="s">
        <v>427</v>
      </c>
      <c r="V35" s="78" t="s">
        <v>427</v>
      </c>
      <c r="W35" s="78" t="s">
        <v>427</v>
      </c>
      <c r="X35" s="80" t="s">
        <v>875</v>
      </c>
      <c r="Y35" s="78" t="s">
        <v>427</v>
      </c>
      <c r="Z35" s="78" t="s">
        <v>427</v>
      </c>
    </row>
    <row r="36" spans="1:26" ht="15.6">
      <c r="A36" s="81"/>
      <c r="B36" s="78" t="s">
        <v>427</v>
      </c>
      <c r="C36" s="78" t="s">
        <v>427</v>
      </c>
      <c r="D36" s="78" t="s">
        <v>75</v>
      </c>
      <c r="E36" s="78" t="s">
        <v>427</v>
      </c>
      <c r="F36" s="78" t="s">
        <v>427</v>
      </c>
      <c r="G36" s="79" t="s">
        <v>876</v>
      </c>
      <c r="H36" s="78" t="s">
        <v>427</v>
      </c>
      <c r="I36" s="78" t="s">
        <v>427</v>
      </c>
      <c r="J36" s="78" t="s">
        <v>427</v>
      </c>
      <c r="K36" s="78" t="s">
        <v>427</v>
      </c>
      <c r="L36" s="78" t="s">
        <v>427</v>
      </c>
      <c r="M36" s="78" t="s">
        <v>427</v>
      </c>
      <c r="N36" s="78" t="s">
        <v>427</v>
      </c>
      <c r="O36" s="78" t="s">
        <v>427</v>
      </c>
      <c r="P36" s="80" t="s">
        <v>810</v>
      </c>
      <c r="Q36" s="78" t="s">
        <v>427</v>
      </c>
      <c r="R36" s="78" t="s">
        <v>427</v>
      </c>
      <c r="S36" s="78" t="s">
        <v>427</v>
      </c>
      <c r="T36" s="78" t="s">
        <v>427</v>
      </c>
      <c r="U36" s="78" t="s">
        <v>427</v>
      </c>
      <c r="V36" s="78" t="s">
        <v>427</v>
      </c>
      <c r="W36" s="78" t="s">
        <v>427</v>
      </c>
      <c r="X36" s="80" t="s">
        <v>877</v>
      </c>
      <c r="Y36" s="78" t="s">
        <v>427</v>
      </c>
      <c r="Z36" s="78" t="s">
        <v>427</v>
      </c>
    </row>
    <row r="37" spans="1:26" ht="15.6">
      <c r="A37" s="81"/>
      <c r="B37" s="78" t="s">
        <v>427</v>
      </c>
      <c r="C37" s="78" t="s">
        <v>427</v>
      </c>
      <c r="D37" s="78" t="s">
        <v>75</v>
      </c>
      <c r="E37" s="78" t="s">
        <v>427</v>
      </c>
      <c r="F37" s="78" t="s">
        <v>427</v>
      </c>
      <c r="G37" s="79" t="s">
        <v>878</v>
      </c>
      <c r="H37" s="78" t="s">
        <v>427</v>
      </c>
      <c r="I37" s="78" t="s">
        <v>427</v>
      </c>
      <c r="J37" s="78" t="s">
        <v>427</v>
      </c>
      <c r="K37" s="78" t="s">
        <v>427</v>
      </c>
      <c r="L37" s="78" t="s">
        <v>427</v>
      </c>
      <c r="M37" s="78" t="s">
        <v>427</v>
      </c>
      <c r="N37" s="78" t="s">
        <v>427</v>
      </c>
      <c r="O37" s="78" t="s">
        <v>427</v>
      </c>
      <c r="P37" s="80" t="s">
        <v>810</v>
      </c>
      <c r="Q37" s="78" t="s">
        <v>427</v>
      </c>
      <c r="R37" s="78" t="s">
        <v>427</v>
      </c>
      <c r="S37" s="78" t="s">
        <v>427</v>
      </c>
      <c r="T37" s="78" t="s">
        <v>427</v>
      </c>
      <c r="U37" s="78" t="s">
        <v>427</v>
      </c>
      <c r="V37" s="78" t="s">
        <v>427</v>
      </c>
      <c r="W37" s="78" t="s">
        <v>427</v>
      </c>
      <c r="X37" s="80" t="s">
        <v>879</v>
      </c>
      <c r="Y37" s="78" t="s">
        <v>427</v>
      </c>
      <c r="Z37" s="78" t="s">
        <v>427</v>
      </c>
    </row>
    <row r="38" spans="1:26" ht="15.6">
      <c r="A38" s="81"/>
      <c r="B38" s="78" t="s">
        <v>427</v>
      </c>
      <c r="C38" s="78" t="s">
        <v>427</v>
      </c>
      <c r="D38" s="78" t="s">
        <v>75</v>
      </c>
      <c r="E38" s="78" t="s">
        <v>427</v>
      </c>
      <c r="F38" s="78" t="s">
        <v>427</v>
      </c>
      <c r="G38" s="79" t="s">
        <v>880</v>
      </c>
      <c r="H38" s="78" t="s">
        <v>427</v>
      </c>
      <c r="I38" s="78" t="s">
        <v>427</v>
      </c>
      <c r="J38" s="78" t="s">
        <v>427</v>
      </c>
      <c r="K38" s="78" t="s">
        <v>427</v>
      </c>
      <c r="L38" s="78" t="s">
        <v>427</v>
      </c>
      <c r="M38" s="78" t="s">
        <v>427</v>
      </c>
      <c r="N38" s="78" t="s">
        <v>427</v>
      </c>
      <c r="O38" s="78" t="s">
        <v>427</v>
      </c>
      <c r="P38" s="80" t="s">
        <v>810</v>
      </c>
      <c r="Q38" s="78" t="s">
        <v>427</v>
      </c>
      <c r="R38" s="78" t="s">
        <v>427</v>
      </c>
      <c r="S38" s="78" t="s">
        <v>427</v>
      </c>
      <c r="T38" s="78" t="s">
        <v>427</v>
      </c>
      <c r="U38" s="78" t="s">
        <v>427</v>
      </c>
      <c r="V38" s="78" t="s">
        <v>427</v>
      </c>
      <c r="W38" s="78" t="s">
        <v>427</v>
      </c>
      <c r="X38" s="80" t="s">
        <v>881</v>
      </c>
      <c r="Y38" s="78" t="s">
        <v>427</v>
      </c>
      <c r="Z38" s="78" t="s">
        <v>427</v>
      </c>
    </row>
    <row r="39" spans="1:26" ht="15.6">
      <c r="A39" s="81"/>
      <c r="B39" s="78" t="s">
        <v>427</v>
      </c>
      <c r="C39" s="78" t="s">
        <v>427</v>
      </c>
      <c r="D39" s="78" t="s">
        <v>75</v>
      </c>
      <c r="E39" s="78" t="s">
        <v>427</v>
      </c>
      <c r="F39" s="78" t="s">
        <v>427</v>
      </c>
      <c r="G39" s="79" t="s">
        <v>882</v>
      </c>
      <c r="H39" s="78" t="s">
        <v>427</v>
      </c>
      <c r="I39" s="78" t="s">
        <v>427</v>
      </c>
      <c r="J39" s="78" t="s">
        <v>427</v>
      </c>
      <c r="K39" s="78" t="s">
        <v>427</v>
      </c>
      <c r="L39" s="78" t="s">
        <v>427</v>
      </c>
      <c r="M39" s="78" t="s">
        <v>427</v>
      </c>
      <c r="N39" s="78" t="s">
        <v>427</v>
      </c>
      <c r="O39" s="78" t="s">
        <v>427</v>
      </c>
      <c r="P39" s="80" t="s">
        <v>204</v>
      </c>
      <c r="Q39" s="78" t="s">
        <v>427</v>
      </c>
      <c r="R39" s="78" t="s">
        <v>427</v>
      </c>
      <c r="S39" s="78" t="s">
        <v>427</v>
      </c>
      <c r="T39" s="78" t="s">
        <v>427</v>
      </c>
      <c r="U39" s="78" t="s">
        <v>427</v>
      </c>
      <c r="V39" s="78" t="s">
        <v>427</v>
      </c>
      <c r="W39" s="78" t="s">
        <v>427</v>
      </c>
      <c r="X39" s="80" t="s">
        <v>883</v>
      </c>
      <c r="Y39" s="78" t="s">
        <v>427</v>
      </c>
      <c r="Z39" s="78" t="s">
        <v>427</v>
      </c>
    </row>
    <row r="40" spans="1:26" ht="15.6">
      <c r="A40" s="81"/>
      <c r="B40" s="78" t="s">
        <v>427</v>
      </c>
      <c r="C40" s="78" t="s">
        <v>427</v>
      </c>
      <c r="D40" s="78" t="s">
        <v>75</v>
      </c>
      <c r="E40" s="78" t="s">
        <v>427</v>
      </c>
      <c r="F40" s="78" t="s">
        <v>427</v>
      </c>
      <c r="G40" s="79" t="s">
        <v>884</v>
      </c>
      <c r="H40" s="78" t="s">
        <v>427</v>
      </c>
      <c r="I40" s="78" t="s">
        <v>427</v>
      </c>
      <c r="J40" s="78" t="s">
        <v>427</v>
      </c>
      <c r="K40" s="78" t="s">
        <v>427</v>
      </c>
      <c r="L40" s="78" t="s">
        <v>427</v>
      </c>
      <c r="M40" s="78" t="s">
        <v>427</v>
      </c>
      <c r="N40" s="78" t="s">
        <v>427</v>
      </c>
      <c r="O40" s="78" t="s">
        <v>427</v>
      </c>
      <c r="P40" s="80" t="s">
        <v>155</v>
      </c>
      <c r="Q40" s="78" t="s">
        <v>427</v>
      </c>
      <c r="R40" s="78" t="s">
        <v>427</v>
      </c>
      <c r="S40" s="78" t="s">
        <v>427</v>
      </c>
      <c r="T40" s="78" t="s">
        <v>427</v>
      </c>
      <c r="U40" s="78" t="s">
        <v>427</v>
      </c>
      <c r="V40" s="78" t="s">
        <v>427</v>
      </c>
      <c r="W40" s="78" t="s">
        <v>427</v>
      </c>
      <c r="X40" s="80" t="s">
        <v>885</v>
      </c>
      <c r="Y40" s="78" t="s">
        <v>427</v>
      </c>
      <c r="Z40" s="78" t="s">
        <v>427</v>
      </c>
    </row>
    <row r="41" spans="1:26" ht="15.6">
      <c r="A41" s="81"/>
      <c r="B41" s="78" t="s">
        <v>427</v>
      </c>
      <c r="C41" s="78" t="s">
        <v>427</v>
      </c>
      <c r="D41" s="78" t="s">
        <v>75</v>
      </c>
      <c r="E41" s="78" t="s">
        <v>427</v>
      </c>
      <c r="F41" s="78" t="s">
        <v>427</v>
      </c>
      <c r="G41" s="79" t="s">
        <v>886</v>
      </c>
      <c r="H41" s="78" t="s">
        <v>427</v>
      </c>
      <c r="I41" s="78" t="s">
        <v>427</v>
      </c>
      <c r="J41" s="78" t="s">
        <v>427</v>
      </c>
      <c r="K41" s="78" t="s">
        <v>427</v>
      </c>
      <c r="L41" s="78" t="s">
        <v>427</v>
      </c>
      <c r="M41" s="78" t="s">
        <v>427</v>
      </c>
      <c r="N41" s="78" t="s">
        <v>427</v>
      </c>
      <c r="O41" s="78" t="s">
        <v>427</v>
      </c>
      <c r="P41" s="80" t="s">
        <v>155</v>
      </c>
      <c r="Q41" s="78" t="s">
        <v>427</v>
      </c>
      <c r="R41" s="78" t="s">
        <v>427</v>
      </c>
      <c r="S41" s="78" t="s">
        <v>427</v>
      </c>
      <c r="T41" s="78" t="s">
        <v>427</v>
      </c>
      <c r="U41" s="78" t="s">
        <v>427</v>
      </c>
      <c r="V41" s="78" t="s">
        <v>427</v>
      </c>
      <c r="W41" s="78" t="s">
        <v>427</v>
      </c>
      <c r="X41" s="80" t="s">
        <v>887</v>
      </c>
      <c r="Y41" s="78" t="s">
        <v>427</v>
      </c>
      <c r="Z41" s="78" t="s">
        <v>427</v>
      </c>
    </row>
    <row r="42" spans="1:26" ht="15.6">
      <c r="A42" s="81"/>
      <c r="B42" s="78" t="s">
        <v>427</v>
      </c>
      <c r="C42" s="78" t="s">
        <v>427</v>
      </c>
      <c r="D42" s="78" t="s">
        <v>75</v>
      </c>
      <c r="E42" s="78" t="s">
        <v>427</v>
      </c>
      <c r="F42" s="78" t="s">
        <v>427</v>
      </c>
      <c r="G42" s="79" t="s">
        <v>888</v>
      </c>
      <c r="H42" s="78" t="s">
        <v>427</v>
      </c>
      <c r="I42" s="78" t="s">
        <v>427</v>
      </c>
      <c r="J42" s="78" t="s">
        <v>427</v>
      </c>
      <c r="K42" s="78" t="s">
        <v>427</v>
      </c>
      <c r="L42" s="78" t="s">
        <v>427</v>
      </c>
      <c r="M42" s="78" t="s">
        <v>427</v>
      </c>
      <c r="N42" s="78" t="s">
        <v>427</v>
      </c>
      <c r="O42" s="78" t="s">
        <v>427</v>
      </c>
      <c r="P42" s="80" t="s">
        <v>155</v>
      </c>
      <c r="Q42" s="78" t="s">
        <v>427</v>
      </c>
      <c r="R42" s="78" t="s">
        <v>427</v>
      </c>
      <c r="S42" s="78" t="s">
        <v>427</v>
      </c>
      <c r="T42" s="78" t="s">
        <v>427</v>
      </c>
      <c r="U42" s="78" t="s">
        <v>427</v>
      </c>
      <c r="V42" s="78" t="s">
        <v>427</v>
      </c>
      <c r="W42" s="78" t="s">
        <v>427</v>
      </c>
      <c r="X42" s="80" t="s">
        <v>889</v>
      </c>
      <c r="Y42" s="78" t="s">
        <v>427</v>
      </c>
      <c r="Z42" s="78" t="s">
        <v>427</v>
      </c>
    </row>
    <row r="43" spans="1:26" ht="15.6">
      <c r="A43" s="81"/>
      <c r="B43" s="78" t="s">
        <v>427</v>
      </c>
      <c r="C43" s="78" t="s">
        <v>427</v>
      </c>
      <c r="D43" s="78" t="s">
        <v>75</v>
      </c>
      <c r="E43" s="78" t="s">
        <v>427</v>
      </c>
      <c r="F43" s="78" t="s">
        <v>427</v>
      </c>
      <c r="G43" s="79" t="s">
        <v>890</v>
      </c>
      <c r="H43" s="78" t="s">
        <v>427</v>
      </c>
      <c r="I43" s="78" t="s">
        <v>427</v>
      </c>
      <c r="J43" s="78" t="s">
        <v>427</v>
      </c>
      <c r="K43" s="78" t="s">
        <v>427</v>
      </c>
      <c r="L43" s="78" t="s">
        <v>427</v>
      </c>
      <c r="M43" s="78" t="s">
        <v>427</v>
      </c>
      <c r="N43" s="78" t="s">
        <v>427</v>
      </c>
      <c r="O43" s="78" t="s">
        <v>427</v>
      </c>
      <c r="P43" s="80" t="s">
        <v>891</v>
      </c>
      <c r="Q43" s="78" t="s">
        <v>427</v>
      </c>
      <c r="R43" s="78" t="s">
        <v>427</v>
      </c>
      <c r="S43" s="78" t="s">
        <v>427</v>
      </c>
      <c r="T43" s="78" t="s">
        <v>427</v>
      </c>
      <c r="U43" s="78" t="s">
        <v>427</v>
      </c>
      <c r="V43" s="78" t="s">
        <v>427</v>
      </c>
      <c r="W43" s="78" t="s">
        <v>427</v>
      </c>
      <c r="X43" s="80" t="s">
        <v>892</v>
      </c>
      <c r="Y43" s="78" t="s">
        <v>427</v>
      </c>
      <c r="Z43" s="78" t="s">
        <v>427</v>
      </c>
    </row>
    <row r="44" spans="1:26" ht="15.6">
      <c r="A44" s="81"/>
      <c r="B44" s="78" t="s">
        <v>427</v>
      </c>
      <c r="C44" s="78" t="s">
        <v>427</v>
      </c>
      <c r="D44" s="78" t="s">
        <v>75</v>
      </c>
      <c r="E44" s="78" t="s">
        <v>427</v>
      </c>
      <c r="F44" s="78" t="s">
        <v>427</v>
      </c>
      <c r="G44" s="79" t="s">
        <v>893</v>
      </c>
      <c r="H44" s="78" t="s">
        <v>427</v>
      </c>
      <c r="I44" s="78" t="s">
        <v>427</v>
      </c>
      <c r="J44" s="78" t="s">
        <v>427</v>
      </c>
      <c r="K44" s="78" t="s">
        <v>427</v>
      </c>
      <c r="L44" s="78" t="s">
        <v>427</v>
      </c>
      <c r="M44" s="78" t="s">
        <v>427</v>
      </c>
      <c r="N44" s="78" t="s">
        <v>427</v>
      </c>
      <c r="O44" s="78" t="s">
        <v>427</v>
      </c>
      <c r="P44" s="80" t="s">
        <v>891</v>
      </c>
      <c r="Q44" s="78" t="s">
        <v>427</v>
      </c>
      <c r="R44" s="78" t="s">
        <v>427</v>
      </c>
      <c r="S44" s="78" t="s">
        <v>427</v>
      </c>
      <c r="T44" s="78" t="s">
        <v>427</v>
      </c>
      <c r="U44" s="78" t="s">
        <v>427</v>
      </c>
      <c r="V44" s="78" t="s">
        <v>427</v>
      </c>
      <c r="W44" s="78" t="s">
        <v>427</v>
      </c>
      <c r="X44" s="80" t="s">
        <v>894</v>
      </c>
      <c r="Y44" s="78" t="s">
        <v>427</v>
      </c>
      <c r="Z44" s="78" t="s">
        <v>427</v>
      </c>
    </row>
    <row r="45" spans="1:26" ht="15.6">
      <c r="A45" s="81"/>
      <c r="B45" s="78" t="s">
        <v>427</v>
      </c>
      <c r="C45" s="78" t="s">
        <v>427</v>
      </c>
      <c r="D45" s="78" t="s">
        <v>75</v>
      </c>
      <c r="E45" s="78" t="s">
        <v>427</v>
      </c>
      <c r="F45" s="78" t="s">
        <v>427</v>
      </c>
      <c r="G45" s="79" t="s">
        <v>895</v>
      </c>
      <c r="H45" s="78" t="s">
        <v>427</v>
      </c>
      <c r="I45" s="78" t="s">
        <v>427</v>
      </c>
      <c r="J45" s="78" t="s">
        <v>427</v>
      </c>
      <c r="K45" s="78" t="s">
        <v>427</v>
      </c>
      <c r="L45" s="78" t="s">
        <v>427</v>
      </c>
      <c r="M45" s="78" t="s">
        <v>427</v>
      </c>
      <c r="N45" s="78" t="s">
        <v>427</v>
      </c>
      <c r="O45" s="78" t="s">
        <v>427</v>
      </c>
      <c r="P45" s="80" t="s">
        <v>891</v>
      </c>
      <c r="Q45" s="78" t="s">
        <v>427</v>
      </c>
      <c r="R45" s="78" t="s">
        <v>427</v>
      </c>
      <c r="S45" s="78" t="s">
        <v>427</v>
      </c>
      <c r="T45" s="78" t="s">
        <v>427</v>
      </c>
      <c r="U45" s="78" t="s">
        <v>427</v>
      </c>
      <c r="V45" s="78" t="s">
        <v>427</v>
      </c>
      <c r="W45" s="78" t="s">
        <v>427</v>
      </c>
      <c r="X45" s="80" t="s">
        <v>896</v>
      </c>
      <c r="Y45" s="78" t="s">
        <v>427</v>
      </c>
      <c r="Z45" s="78" t="s">
        <v>427</v>
      </c>
    </row>
    <row r="46" spans="1:26" ht="15.6">
      <c r="A46" s="81"/>
      <c r="B46" s="78" t="s">
        <v>427</v>
      </c>
      <c r="C46" s="78" t="s">
        <v>427</v>
      </c>
      <c r="D46" s="78" t="s">
        <v>75</v>
      </c>
      <c r="E46" s="78" t="s">
        <v>427</v>
      </c>
      <c r="F46" s="78" t="s">
        <v>427</v>
      </c>
      <c r="G46" s="79" t="s">
        <v>897</v>
      </c>
      <c r="H46" s="78" t="s">
        <v>427</v>
      </c>
      <c r="I46" s="78" t="s">
        <v>427</v>
      </c>
      <c r="J46" s="78" t="s">
        <v>427</v>
      </c>
      <c r="K46" s="78" t="s">
        <v>427</v>
      </c>
      <c r="L46" s="78" t="s">
        <v>427</v>
      </c>
      <c r="M46" s="78" t="s">
        <v>427</v>
      </c>
      <c r="N46" s="78" t="s">
        <v>427</v>
      </c>
      <c r="O46" s="78" t="s">
        <v>427</v>
      </c>
      <c r="P46" s="80" t="s">
        <v>891</v>
      </c>
      <c r="Q46" s="78" t="s">
        <v>427</v>
      </c>
      <c r="R46" s="78" t="s">
        <v>427</v>
      </c>
      <c r="S46" s="78" t="s">
        <v>427</v>
      </c>
      <c r="T46" s="78" t="s">
        <v>427</v>
      </c>
      <c r="U46" s="78" t="s">
        <v>427</v>
      </c>
      <c r="V46" s="78" t="s">
        <v>427</v>
      </c>
      <c r="W46" s="78" t="s">
        <v>427</v>
      </c>
      <c r="X46" s="80" t="s">
        <v>898</v>
      </c>
      <c r="Y46" s="78" t="s">
        <v>427</v>
      </c>
      <c r="Z46" s="78" t="s">
        <v>427</v>
      </c>
    </row>
    <row r="47" spans="1:26" ht="15.6">
      <c r="A47" s="81"/>
      <c r="B47" s="78" t="s">
        <v>427</v>
      </c>
      <c r="C47" s="78" t="s">
        <v>427</v>
      </c>
      <c r="D47" s="78" t="s">
        <v>75</v>
      </c>
      <c r="E47" s="78" t="s">
        <v>427</v>
      </c>
      <c r="F47" s="78" t="s">
        <v>427</v>
      </c>
      <c r="G47" s="79" t="s">
        <v>899</v>
      </c>
      <c r="H47" s="78" t="s">
        <v>427</v>
      </c>
      <c r="I47" s="78" t="s">
        <v>427</v>
      </c>
      <c r="J47" s="78" t="s">
        <v>427</v>
      </c>
      <c r="K47" s="78" t="s">
        <v>427</v>
      </c>
      <c r="L47" s="78" t="s">
        <v>427</v>
      </c>
      <c r="M47" s="78" t="s">
        <v>427</v>
      </c>
      <c r="N47" s="78" t="s">
        <v>427</v>
      </c>
      <c r="O47" s="78" t="s">
        <v>427</v>
      </c>
      <c r="P47" s="80" t="s">
        <v>891</v>
      </c>
      <c r="Q47" s="78" t="s">
        <v>427</v>
      </c>
      <c r="R47" s="78" t="s">
        <v>427</v>
      </c>
      <c r="S47" s="78" t="s">
        <v>427</v>
      </c>
      <c r="T47" s="78" t="s">
        <v>427</v>
      </c>
      <c r="U47" s="78" t="s">
        <v>427</v>
      </c>
      <c r="V47" s="78" t="s">
        <v>427</v>
      </c>
      <c r="W47" s="78" t="s">
        <v>427</v>
      </c>
      <c r="X47" s="80" t="s">
        <v>900</v>
      </c>
      <c r="Y47" s="78" t="s">
        <v>427</v>
      </c>
      <c r="Z47" s="78" t="s">
        <v>427</v>
      </c>
    </row>
    <row r="48" spans="1:26" ht="15.6">
      <c r="A48" s="81"/>
      <c r="B48" s="78" t="s">
        <v>427</v>
      </c>
      <c r="C48" s="78" t="s">
        <v>427</v>
      </c>
      <c r="D48" s="78" t="s">
        <v>75</v>
      </c>
      <c r="E48" s="78" t="s">
        <v>427</v>
      </c>
      <c r="F48" s="78" t="s">
        <v>427</v>
      </c>
      <c r="G48" s="79" t="s">
        <v>901</v>
      </c>
      <c r="H48" s="78" t="s">
        <v>427</v>
      </c>
      <c r="I48" s="78" t="s">
        <v>427</v>
      </c>
      <c r="J48" s="78" t="s">
        <v>427</v>
      </c>
      <c r="K48" s="78" t="s">
        <v>427</v>
      </c>
      <c r="L48" s="78" t="s">
        <v>427</v>
      </c>
      <c r="M48" s="78" t="s">
        <v>427</v>
      </c>
      <c r="N48" s="78" t="s">
        <v>427</v>
      </c>
      <c r="O48" s="78" t="s">
        <v>427</v>
      </c>
      <c r="P48" s="80" t="s">
        <v>891</v>
      </c>
      <c r="Q48" s="78" t="s">
        <v>427</v>
      </c>
      <c r="R48" s="78" t="s">
        <v>427</v>
      </c>
      <c r="S48" s="78" t="s">
        <v>427</v>
      </c>
      <c r="T48" s="78" t="s">
        <v>427</v>
      </c>
      <c r="U48" s="78" t="s">
        <v>427</v>
      </c>
      <c r="V48" s="78" t="s">
        <v>427</v>
      </c>
      <c r="W48" s="78" t="s">
        <v>427</v>
      </c>
      <c r="X48" s="80" t="s">
        <v>902</v>
      </c>
      <c r="Y48" s="78" t="s">
        <v>427</v>
      </c>
      <c r="Z48" s="78" t="s">
        <v>427</v>
      </c>
    </row>
    <row r="49" spans="1:26" ht="15.6">
      <c r="A49" s="81"/>
      <c r="B49" s="78" t="s">
        <v>427</v>
      </c>
      <c r="C49" s="78" t="s">
        <v>427</v>
      </c>
      <c r="D49" s="78" t="s">
        <v>75</v>
      </c>
      <c r="E49" s="78" t="s">
        <v>427</v>
      </c>
      <c r="F49" s="78" t="s">
        <v>427</v>
      </c>
      <c r="G49" s="79" t="s">
        <v>903</v>
      </c>
      <c r="H49" s="78" t="s">
        <v>427</v>
      </c>
      <c r="I49" s="78" t="s">
        <v>427</v>
      </c>
      <c r="J49" s="78" t="s">
        <v>427</v>
      </c>
      <c r="K49" s="78" t="s">
        <v>427</v>
      </c>
      <c r="L49" s="78" t="s">
        <v>427</v>
      </c>
      <c r="M49" s="78" t="s">
        <v>427</v>
      </c>
      <c r="N49" s="78" t="s">
        <v>427</v>
      </c>
      <c r="O49" s="78" t="s">
        <v>427</v>
      </c>
      <c r="P49" s="80" t="s">
        <v>904</v>
      </c>
      <c r="Q49" s="78" t="s">
        <v>427</v>
      </c>
      <c r="R49" s="78" t="s">
        <v>427</v>
      </c>
      <c r="S49" s="78" t="s">
        <v>427</v>
      </c>
      <c r="T49" s="78" t="s">
        <v>427</v>
      </c>
      <c r="U49" s="78" t="s">
        <v>427</v>
      </c>
      <c r="V49" s="78" t="s">
        <v>427</v>
      </c>
      <c r="W49" s="78" t="s">
        <v>427</v>
      </c>
      <c r="X49" s="80" t="s">
        <v>905</v>
      </c>
      <c r="Y49" s="78" t="s">
        <v>427</v>
      </c>
      <c r="Z49" s="78" t="s">
        <v>427</v>
      </c>
    </row>
    <row r="50" spans="1:26" ht="15.6">
      <c r="A50" s="81"/>
      <c r="B50" s="78" t="s">
        <v>427</v>
      </c>
      <c r="C50" s="78" t="s">
        <v>427</v>
      </c>
      <c r="D50" s="78" t="s">
        <v>75</v>
      </c>
      <c r="E50" s="78" t="s">
        <v>427</v>
      </c>
      <c r="F50" s="78" t="s">
        <v>427</v>
      </c>
      <c r="G50" s="79" t="s">
        <v>906</v>
      </c>
      <c r="H50" s="78" t="s">
        <v>427</v>
      </c>
      <c r="I50" s="78" t="s">
        <v>427</v>
      </c>
      <c r="J50" s="78" t="s">
        <v>427</v>
      </c>
      <c r="K50" s="78" t="s">
        <v>427</v>
      </c>
      <c r="L50" s="78" t="s">
        <v>427</v>
      </c>
      <c r="M50" s="78" t="s">
        <v>427</v>
      </c>
      <c r="N50" s="78" t="s">
        <v>427</v>
      </c>
      <c r="O50" s="78" t="s">
        <v>427</v>
      </c>
      <c r="P50" s="80" t="s">
        <v>904</v>
      </c>
      <c r="Q50" s="78" t="s">
        <v>427</v>
      </c>
      <c r="R50" s="78" t="s">
        <v>427</v>
      </c>
      <c r="S50" s="78" t="s">
        <v>427</v>
      </c>
      <c r="T50" s="78" t="s">
        <v>427</v>
      </c>
      <c r="U50" s="78" t="s">
        <v>427</v>
      </c>
      <c r="V50" s="78" t="s">
        <v>427</v>
      </c>
      <c r="W50" s="78" t="s">
        <v>427</v>
      </c>
      <c r="X50" s="80" t="s">
        <v>907</v>
      </c>
      <c r="Y50" s="78" t="s">
        <v>427</v>
      </c>
      <c r="Z50" s="78" t="s">
        <v>427</v>
      </c>
    </row>
    <row r="51" spans="1:26" ht="15.6">
      <c r="A51" s="81"/>
      <c r="B51" s="78" t="s">
        <v>427</v>
      </c>
      <c r="C51" s="78" t="s">
        <v>427</v>
      </c>
      <c r="D51" s="78" t="s">
        <v>75</v>
      </c>
      <c r="E51" s="78" t="s">
        <v>427</v>
      </c>
      <c r="F51" s="78" t="s">
        <v>427</v>
      </c>
      <c r="G51" s="79" t="s">
        <v>908</v>
      </c>
      <c r="H51" s="78" t="s">
        <v>427</v>
      </c>
      <c r="I51" s="78" t="s">
        <v>427</v>
      </c>
      <c r="J51" s="78" t="s">
        <v>427</v>
      </c>
      <c r="K51" s="78" t="s">
        <v>427</v>
      </c>
      <c r="L51" s="78" t="s">
        <v>427</v>
      </c>
      <c r="M51" s="78" t="s">
        <v>427</v>
      </c>
      <c r="N51" s="78" t="s">
        <v>427</v>
      </c>
      <c r="O51" s="78" t="s">
        <v>427</v>
      </c>
      <c r="P51" s="80" t="s">
        <v>904</v>
      </c>
      <c r="Q51" s="78" t="s">
        <v>427</v>
      </c>
      <c r="R51" s="78" t="s">
        <v>427</v>
      </c>
      <c r="S51" s="78" t="s">
        <v>427</v>
      </c>
      <c r="T51" s="78" t="s">
        <v>427</v>
      </c>
      <c r="U51" s="78" t="s">
        <v>427</v>
      </c>
      <c r="V51" s="78" t="s">
        <v>427</v>
      </c>
      <c r="W51" s="78" t="s">
        <v>427</v>
      </c>
      <c r="X51" s="80" t="s">
        <v>909</v>
      </c>
      <c r="Y51" s="78" t="s">
        <v>427</v>
      </c>
      <c r="Z51" s="78" t="s">
        <v>427</v>
      </c>
    </row>
    <row r="52" spans="1:26" ht="15.6">
      <c r="A52" s="81"/>
      <c r="B52" s="78" t="s">
        <v>427</v>
      </c>
      <c r="C52" s="78" t="s">
        <v>427</v>
      </c>
      <c r="D52" s="78" t="s">
        <v>75</v>
      </c>
      <c r="E52" s="78" t="s">
        <v>427</v>
      </c>
      <c r="F52" s="78" t="s">
        <v>427</v>
      </c>
      <c r="G52" s="79" t="s">
        <v>910</v>
      </c>
      <c r="H52" s="78" t="s">
        <v>427</v>
      </c>
      <c r="I52" s="78" t="s">
        <v>427</v>
      </c>
      <c r="J52" s="78" t="s">
        <v>427</v>
      </c>
      <c r="K52" s="78" t="s">
        <v>427</v>
      </c>
      <c r="L52" s="78" t="s">
        <v>427</v>
      </c>
      <c r="M52" s="78" t="s">
        <v>427</v>
      </c>
      <c r="N52" s="78" t="s">
        <v>427</v>
      </c>
      <c r="O52" s="78" t="s">
        <v>427</v>
      </c>
      <c r="P52" s="80" t="s">
        <v>904</v>
      </c>
      <c r="Q52" s="78" t="s">
        <v>427</v>
      </c>
      <c r="R52" s="78" t="s">
        <v>427</v>
      </c>
      <c r="S52" s="78" t="s">
        <v>427</v>
      </c>
      <c r="T52" s="78" t="s">
        <v>427</v>
      </c>
      <c r="U52" s="78" t="s">
        <v>427</v>
      </c>
      <c r="V52" s="78" t="s">
        <v>427</v>
      </c>
      <c r="W52" s="78" t="s">
        <v>427</v>
      </c>
      <c r="X52" s="80" t="s">
        <v>911</v>
      </c>
      <c r="Y52" s="78" t="s">
        <v>427</v>
      </c>
      <c r="Z52" s="78" t="s">
        <v>427</v>
      </c>
    </row>
    <row r="53" spans="1:26" ht="15.6">
      <c r="A53" s="81"/>
      <c r="B53" s="78" t="s">
        <v>427</v>
      </c>
      <c r="C53" s="78" t="s">
        <v>427</v>
      </c>
      <c r="D53" s="78" t="s">
        <v>75</v>
      </c>
      <c r="E53" s="78" t="s">
        <v>427</v>
      </c>
      <c r="F53" s="78" t="s">
        <v>427</v>
      </c>
      <c r="G53" s="79" t="s">
        <v>912</v>
      </c>
      <c r="H53" s="78" t="s">
        <v>427</v>
      </c>
      <c r="I53" s="78" t="s">
        <v>427</v>
      </c>
      <c r="J53" s="78" t="s">
        <v>427</v>
      </c>
      <c r="K53" s="78" t="s">
        <v>427</v>
      </c>
      <c r="L53" s="78" t="s">
        <v>427</v>
      </c>
      <c r="M53" s="78" t="s">
        <v>427</v>
      </c>
      <c r="N53" s="78" t="s">
        <v>427</v>
      </c>
      <c r="O53" s="78" t="s">
        <v>427</v>
      </c>
      <c r="P53" s="80" t="s">
        <v>904</v>
      </c>
      <c r="Q53" s="78" t="s">
        <v>427</v>
      </c>
      <c r="R53" s="78" t="s">
        <v>427</v>
      </c>
      <c r="S53" s="78" t="s">
        <v>427</v>
      </c>
      <c r="T53" s="78" t="s">
        <v>427</v>
      </c>
      <c r="U53" s="78" t="s">
        <v>427</v>
      </c>
      <c r="V53" s="78" t="s">
        <v>427</v>
      </c>
      <c r="W53" s="78" t="s">
        <v>427</v>
      </c>
      <c r="X53" s="80" t="s">
        <v>913</v>
      </c>
      <c r="Y53" s="78" t="s">
        <v>427</v>
      </c>
      <c r="Z53" s="78" t="s">
        <v>427</v>
      </c>
    </row>
    <row r="54" spans="1:26" ht="15.6">
      <c r="A54" s="81"/>
      <c r="B54" s="78" t="s">
        <v>427</v>
      </c>
      <c r="C54" s="78" t="s">
        <v>427</v>
      </c>
      <c r="D54" s="78" t="s">
        <v>75</v>
      </c>
      <c r="E54" s="78" t="s">
        <v>427</v>
      </c>
      <c r="F54" s="78" t="s">
        <v>427</v>
      </c>
      <c r="G54" s="79" t="s">
        <v>914</v>
      </c>
      <c r="H54" s="78" t="s">
        <v>427</v>
      </c>
      <c r="I54" s="78" t="s">
        <v>427</v>
      </c>
      <c r="J54" s="78" t="s">
        <v>427</v>
      </c>
      <c r="K54" s="78" t="s">
        <v>427</v>
      </c>
      <c r="L54" s="78" t="s">
        <v>427</v>
      </c>
      <c r="M54" s="78" t="s">
        <v>427</v>
      </c>
      <c r="N54" s="78" t="s">
        <v>427</v>
      </c>
      <c r="O54" s="78" t="s">
        <v>427</v>
      </c>
      <c r="P54" s="80" t="s">
        <v>904</v>
      </c>
      <c r="Q54" s="78" t="s">
        <v>427</v>
      </c>
      <c r="R54" s="78" t="s">
        <v>427</v>
      </c>
      <c r="S54" s="78" t="s">
        <v>427</v>
      </c>
      <c r="T54" s="78" t="s">
        <v>427</v>
      </c>
      <c r="U54" s="78" t="s">
        <v>427</v>
      </c>
      <c r="V54" s="78" t="s">
        <v>427</v>
      </c>
      <c r="W54" s="78" t="s">
        <v>427</v>
      </c>
      <c r="X54" s="80" t="s">
        <v>915</v>
      </c>
      <c r="Y54" s="78" t="s">
        <v>427</v>
      </c>
      <c r="Z54" s="78" t="s">
        <v>427</v>
      </c>
    </row>
    <row r="55" spans="1:26" ht="15.6">
      <c r="A55" s="81"/>
      <c r="B55" s="78" t="s">
        <v>427</v>
      </c>
      <c r="C55" s="78" t="s">
        <v>427</v>
      </c>
      <c r="D55" s="78" t="s">
        <v>75</v>
      </c>
      <c r="E55" s="78" t="s">
        <v>427</v>
      </c>
      <c r="F55" s="78" t="s">
        <v>427</v>
      </c>
      <c r="G55" s="79" t="s">
        <v>916</v>
      </c>
      <c r="H55" s="78" t="s">
        <v>427</v>
      </c>
      <c r="I55" s="78" t="s">
        <v>427</v>
      </c>
      <c r="J55" s="78" t="s">
        <v>427</v>
      </c>
      <c r="K55" s="78" t="s">
        <v>427</v>
      </c>
      <c r="L55" s="78" t="s">
        <v>427</v>
      </c>
      <c r="M55" s="78" t="s">
        <v>427</v>
      </c>
      <c r="N55" s="78" t="s">
        <v>427</v>
      </c>
      <c r="O55" s="78" t="s">
        <v>427</v>
      </c>
      <c r="P55" s="80" t="s">
        <v>904</v>
      </c>
      <c r="Q55" s="78" t="s">
        <v>427</v>
      </c>
      <c r="R55" s="78" t="s">
        <v>427</v>
      </c>
      <c r="S55" s="78" t="s">
        <v>427</v>
      </c>
      <c r="T55" s="78" t="s">
        <v>427</v>
      </c>
      <c r="U55" s="78" t="s">
        <v>427</v>
      </c>
      <c r="V55" s="78" t="s">
        <v>427</v>
      </c>
      <c r="W55" s="78" t="s">
        <v>427</v>
      </c>
      <c r="X55" s="80" t="s">
        <v>917</v>
      </c>
      <c r="Y55" s="78" t="s">
        <v>427</v>
      </c>
      <c r="Z55" s="78" t="s">
        <v>427</v>
      </c>
    </row>
    <row r="56" spans="1:26" ht="15.6">
      <c r="A56" s="81"/>
      <c r="B56" s="78" t="s">
        <v>427</v>
      </c>
      <c r="C56" s="78" t="s">
        <v>427</v>
      </c>
      <c r="D56" s="78" t="s">
        <v>75</v>
      </c>
      <c r="E56" s="78" t="s">
        <v>427</v>
      </c>
      <c r="F56" s="78" t="s">
        <v>427</v>
      </c>
      <c r="G56" s="79" t="s">
        <v>918</v>
      </c>
      <c r="H56" s="78" t="s">
        <v>427</v>
      </c>
      <c r="I56" s="78" t="s">
        <v>427</v>
      </c>
      <c r="J56" s="78" t="s">
        <v>427</v>
      </c>
      <c r="K56" s="78" t="s">
        <v>427</v>
      </c>
      <c r="L56" s="78" t="s">
        <v>427</v>
      </c>
      <c r="M56" s="78" t="s">
        <v>427</v>
      </c>
      <c r="N56" s="78" t="s">
        <v>427</v>
      </c>
      <c r="O56" s="78" t="s">
        <v>427</v>
      </c>
      <c r="P56" s="80" t="s">
        <v>904</v>
      </c>
      <c r="Q56" s="78" t="s">
        <v>427</v>
      </c>
      <c r="R56" s="78" t="s">
        <v>427</v>
      </c>
      <c r="S56" s="78" t="s">
        <v>427</v>
      </c>
      <c r="T56" s="78" t="s">
        <v>427</v>
      </c>
      <c r="U56" s="78" t="s">
        <v>427</v>
      </c>
      <c r="V56" s="78" t="s">
        <v>427</v>
      </c>
      <c r="W56" s="78" t="s">
        <v>427</v>
      </c>
      <c r="X56" s="80" t="s">
        <v>919</v>
      </c>
      <c r="Y56" s="78" t="s">
        <v>427</v>
      </c>
      <c r="Z56" s="78" t="s">
        <v>427</v>
      </c>
    </row>
    <row r="57" spans="1:26" ht="15.6">
      <c r="A57" s="81"/>
      <c r="B57" s="78" t="s">
        <v>427</v>
      </c>
      <c r="C57" s="78" t="s">
        <v>427</v>
      </c>
      <c r="D57" s="78" t="s">
        <v>75</v>
      </c>
      <c r="E57" s="78" t="s">
        <v>427</v>
      </c>
      <c r="F57" s="78" t="s">
        <v>427</v>
      </c>
      <c r="G57" s="79" t="s">
        <v>920</v>
      </c>
      <c r="H57" s="78" t="s">
        <v>427</v>
      </c>
      <c r="I57" s="78" t="s">
        <v>427</v>
      </c>
      <c r="J57" s="78" t="s">
        <v>427</v>
      </c>
      <c r="K57" s="78" t="s">
        <v>427</v>
      </c>
      <c r="L57" s="78" t="s">
        <v>427</v>
      </c>
      <c r="M57" s="78" t="s">
        <v>427</v>
      </c>
      <c r="N57" s="78" t="s">
        <v>427</v>
      </c>
      <c r="O57" s="78" t="s">
        <v>427</v>
      </c>
      <c r="P57" s="80" t="s">
        <v>663</v>
      </c>
      <c r="Q57" s="78" t="s">
        <v>427</v>
      </c>
      <c r="R57" s="78" t="s">
        <v>427</v>
      </c>
      <c r="S57" s="78" t="s">
        <v>427</v>
      </c>
      <c r="T57" s="78" t="s">
        <v>427</v>
      </c>
      <c r="U57" s="78" t="s">
        <v>427</v>
      </c>
      <c r="V57" s="78" t="s">
        <v>427</v>
      </c>
      <c r="W57" s="78" t="s">
        <v>427</v>
      </c>
      <c r="X57" s="80" t="s">
        <v>921</v>
      </c>
      <c r="Y57" s="78" t="s">
        <v>427</v>
      </c>
      <c r="Z57" s="78" t="s">
        <v>427</v>
      </c>
    </row>
    <row r="58" spans="1:26" ht="15.6">
      <c r="A58" s="81"/>
      <c r="B58" s="78" t="s">
        <v>427</v>
      </c>
      <c r="C58" s="78" t="s">
        <v>427</v>
      </c>
      <c r="D58" s="78" t="s">
        <v>75</v>
      </c>
      <c r="E58" s="78" t="s">
        <v>427</v>
      </c>
      <c r="F58" s="78" t="s">
        <v>427</v>
      </c>
      <c r="G58" s="79" t="s">
        <v>922</v>
      </c>
      <c r="H58" s="78" t="s">
        <v>427</v>
      </c>
      <c r="I58" s="78" t="s">
        <v>427</v>
      </c>
      <c r="J58" s="78" t="s">
        <v>427</v>
      </c>
      <c r="K58" s="78" t="s">
        <v>427</v>
      </c>
      <c r="L58" s="78" t="s">
        <v>427</v>
      </c>
      <c r="M58" s="78" t="s">
        <v>427</v>
      </c>
      <c r="N58" s="78" t="s">
        <v>427</v>
      </c>
      <c r="O58" s="78" t="s">
        <v>427</v>
      </c>
      <c r="P58" s="80" t="s">
        <v>923</v>
      </c>
      <c r="Q58" s="78" t="s">
        <v>427</v>
      </c>
      <c r="R58" s="78" t="s">
        <v>427</v>
      </c>
      <c r="S58" s="78" t="s">
        <v>427</v>
      </c>
      <c r="T58" s="78" t="s">
        <v>427</v>
      </c>
      <c r="U58" s="78" t="s">
        <v>427</v>
      </c>
      <c r="V58" s="78" t="s">
        <v>427</v>
      </c>
      <c r="W58" s="78" t="s">
        <v>427</v>
      </c>
      <c r="X58" s="78" t="s">
        <v>427</v>
      </c>
      <c r="Y58" s="78" t="s">
        <v>427</v>
      </c>
      <c r="Z58" s="78" t="s">
        <v>427</v>
      </c>
    </row>
    <row r="59" spans="1:26" ht="15.6">
      <c r="A59" s="81"/>
      <c r="B59" s="78" t="s">
        <v>427</v>
      </c>
      <c r="C59" s="78" t="s">
        <v>427</v>
      </c>
      <c r="D59" s="78" t="s">
        <v>75</v>
      </c>
      <c r="E59" s="78" t="s">
        <v>427</v>
      </c>
      <c r="F59" s="78" t="s">
        <v>427</v>
      </c>
      <c r="G59" s="79" t="s">
        <v>924</v>
      </c>
      <c r="H59" s="78" t="s">
        <v>427</v>
      </c>
      <c r="I59" s="78" t="s">
        <v>427</v>
      </c>
      <c r="J59" s="78" t="s">
        <v>427</v>
      </c>
      <c r="K59" s="78" t="s">
        <v>427</v>
      </c>
      <c r="L59" s="78" t="s">
        <v>427</v>
      </c>
      <c r="M59" s="78" t="s">
        <v>427</v>
      </c>
      <c r="N59" s="78" t="s">
        <v>427</v>
      </c>
      <c r="O59" s="78" t="s">
        <v>427</v>
      </c>
      <c r="P59" s="80" t="s">
        <v>891</v>
      </c>
      <c r="Q59" s="78" t="s">
        <v>427</v>
      </c>
      <c r="R59" s="78" t="s">
        <v>427</v>
      </c>
      <c r="S59" s="78" t="s">
        <v>427</v>
      </c>
      <c r="T59" s="78" t="s">
        <v>427</v>
      </c>
      <c r="U59" s="78" t="s">
        <v>427</v>
      </c>
      <c r="V59" s="78" t="s">
        <v>427</v>
      </c>
      <c r="W59" s="78" t="s">
        <v>427</v>
      </c>
      <c r="X59" s="78" t="s">
        <v>427</v>
      </c>
      <c r="Y59" s="78" t="s">
        <v>427</v>
      </c>
      <c r="Z59" s="78" t="s">
        <v>427</v>
      </c>
    </row>
    <row r="60" spans="1:26" ht="15.6">
      <c r="A60" s="81"/>
      <c r="B60" s="78" t="s">
        <v>427</v>
      </c>
      <c r="C60" s="78" t="s">
        <v>427</v>
      </c>
      <c r="D60" s="78" t="s">
        <v>75</v>
      </c>
      <c r="E60" s="78" t="s">
        <v>427</v>
      </c>
      <c r="F60" s="78" t="s">
        <v>427</v>
      </c>
      <c r="G60" s="79" t="s">
        <v>925</v>
      </c>
      <c r="H60" s="78" t="s">
        <v>427</v>
      </c>
      <c r="I60" s="78" t="s">
        <v>427</v>
      </c>
      <c r="J60" s="78" t="s">
        <v>427</v>
      </c>
      <c r="K60" s="78" t="s">
        <v>427</v>
      </c>
      <c r="L60" s="78" t="s">
        <v>427</v>
      </c>
      <c r="M60" s="78" t="s">
        <v>427</v>
      </c>
      <c r="N60" s="78" t="s">
        <v>427</v>
      </c>
      <c r="O60" s="78" t="s">
        <v>427</v>
      </c>
      <c r="P60" s="80" t="s">
        <v>810</v>
      </c>
      <c r="Q60" s="78" t="s">
        <v>427</v>
      </c>
      <c r="R60" s="78" t="s">
        <v>427</v>
      </c>
      <c r="S60" s="78" t="s">
        <v>427</v>
      </c>
      <c r="T60" s="78" t="s">
        <v>427</v>
      </c>
      <c r="U60" s="78" t="s">
        <v>427</v>
      </c>
      <c r="V60" s="78" t="s">
        <v>427</v>
      </c>
      <c r="W60" s="78" t="s">
        <v>427</v>
      </c>
      <c r="X60" s="78" t="s">
        <v>427</v>
      </c>
      <c r="Y60" s="78" t="s">
        <v>427</v>
      </c>
      <c r="Z60" s="78" t="s">
        <v>427</v>
      </c>
    </row>
    <row r="61" spans="1:26" ht="15.6">
      <c r="A61" s="81"/>
      <c r="B61" s="78" t="s">
        <v>427</v>
      </c>
      <c r="C61" s="78" t="s">
        <v>427</v>
      </c>
      <c r="D61" s="78" t="s">
        <v>75</v>
      </c>
      <c r="E61" s="78" t="s">
        <v>427</v>
      </c>
      <c r="F61" s="78" t="s">
        <v>427</v>
      </c>
      <c r="G61" s="79" t="s">
        <v>926</v>
      </c>
      <c r="H61" s="78" t="s">
        <v>427</v>
      </c>
      <c r="I61" s="78" t="s">
        <v>427</v>
      </c>
      <c r="J61" s="78" t="s">
        <v>427</v>
      </c>
      <c r="K61" s="78" t="s">
        <v>427</v>
      </c>
      <c r="L61" s="78" t="s">
        <v>427</v>
      </c>
      <c r="M61" s="78" t="s">
        <v>427</v>
      </c>
      <c r="N61" s="78" t="s">
        <v>427</v>
      </c>
      <c r="O61" s="78" t="s">
        <v>427</v>
      </c>
      <c r="P61" s="80" t="s">
        <v>810</v>
      </c>
      <c r="Q61" s="78" t="s">
        <v>427</v>
      </c>
      <c r="R61" s="78" t="s">
        <v>427</v>
      </c>
      <c r="S61" s="78" t="s">
        <v>427</v>
      </c>
      <c r="T61" s="78" t="s">
        <v>427</v>
      </c>
      <c r="U61" s="78" t="s">
        <v>427</v>
      </c>
      <c r="V61" s="78" t="s">
        <v>427</v>
      </c>
      <c r="W61" s="78" t="s">
        <v>427</v>
      </c>
      <c r="X61" s="78" t="s">
        <v>427</v>
      </c>
      <c r="Y61" s="78" t="s">
        <v>427</v>
      </c>
      <c r="Z61" s="78" t="s">
        <v>427</v>
      </c>
    </row>
    <row r="62" spans="1:26" ht="15.6">
      <c r="A62" s="81"/>
      <c r="B62" s="78" t="s">
        <v>427</v>
      </c>
      <c r="C62" s="78" t="s">
        <v>427</v>
      </c>
      <c r="D62" s="78" t="s">
        <v>75</v>
      </c>
      <c r="E62" s="78" t="s">
        <v>427</v>
      </c>
      <c r="F62" s="78" t="s">
        <v>427</v>
      </c>
      <c r="G62" s="79" t="s">
        <v>927</v>
      </c>
      <c r="H62" s="78" t="s">
        <v>427</v>
      </c>
      <c r="I62" s="78" t="s">
        <v>427</v>
      </c>
      <c r="J62" s="78" t="s">
        <v>427</v>
      </c>
      <c r="K62" s="78" t="s">
        <v>427</v>
      </c>
      <c r="L62" s="78" t="s">
        <v>427</v>
      </c>
      <c r="M62" s="78" t="s">
        <v>427</v>
      </c>
      <c r="N62" s="78" t="s">
        <v>427</v>
      </c>
      <c r="O62" s="78" t="s">
        <v>427</v>
      </c>
      <c r="P62" s="80" t="s">
        <v>810</v>
      </c>
      <c r="Q62" s="78" t="s">
        <v>427</v>
      </c>
      <c r="R62" s="78" t="s">
        <v>427</v>
      </c>
      <c r="S62" s="78" t="s">
        <v>427</v>
      </c>
      <c r="T62" s="78" t="s">
        <v>427</v>
      </c>
      <c r="U62" s="78" t="s">
        <v>427</v>
      </c>
      <c r="V62" s="78" t="s">
        <v>427</v>
      </c>
      <c r="W62" s="78" t="s">
        <v>427</v>
      </c>
      <c r="X62" s="78" t="s">
        <v>427</v>
      </c>
      <c r="Y62" s="78" t="s">
        <v>427</v>
      </c>
      <c r="Z62" s="78" t="s">
        <v>427</v>
      </c>
    </row>
  </sheetData>
  <phoneticPr fontId="2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597-935A-4310-81BD-B3651D6B93AB}">
  <dimension ref="A1:Z12"/>
  <sheetViews>
    <sheetView workbookViewId="0">
      <pane ySplit="1" topLeftCell="A2" activePane="bottomLeft" state="frozen"/>
      <selection pane="bottomLeft" activeCell="G2" sqref="G2"/>
    </sheetView>
  </sheetViews>
  <sheetFormatPr defaultRowHeight="13.8"/>
  <cols>
    <col min="1" max="1" width="3.6640625" bestFit="1" customWidth="1"/>
    <col min="2" max="2" width="12.5546875" bestFit="1" customWidth="1"/>
    <col min="3" max="3" width="4.33203125" bestFit="1" customWidth="1"/>
    <col min="5" max="5" width="11.88671875" bestFit="1" customWidth="1"/>
    <col min="6" max="6" width="17.6640625" bestFit="1" customWidth="1"/>
    <col min="7" max="7" width="18.5546875" bestFit="1" customWidth="1"/>
    <col min="8" max="8" width="10.88671875" bestFit="1" customWidth="1"/>
    <col min="9" max="9" width="17" bestFit="1" customWidth="1"/>
    <col min="10" max="10" width="11.33203125" bestFit="1" customWidth="1"/>
    <col min="11" max="11" width="17.6640625" bestFit="1" customWidth="1"/>
    <col min="12" max="12" width="12.5546875" bestFit="1" customWidth="1"/>
    <col min="13" max="13" width="17" bestFit="1" customWidth="1"/>
    <col min="14" max="14" width="10" bestFit="1" customWidth="1"/>
    <col min="15" max="15" width="11" bestFit="1" customWidth="1"/>
    <col min="16" max="16" width="14.88671875" bestFit="1" customWidth="1"/>
    <col min="17" max="17" width="4.5546875" bestFit="1" customWidth="1"/>
    <col min="18" max="18" width="5" bestFit="1" customWidth="1"/>
    <col min="19" max="20" width="6.5546875" bestFit="1" customWidth="1"/>
    <col min="21" max="21" width="12" bestFit="1" customWidth="1"/>
    <col min="22" max="22" width="4.88671875" bestFit="1" customWidth="1"/>
    <col min="23" max="23" width="13.33203125" bestFit="1" customWidth="1"/>
    <col min="24" max="24" width="18" bestFit="1" customWidth="1"/>
    <col min="25" max="25" width="8.109375" bestFit="1" customWidth="1"/>
    <col min="26" max="26" width="12.109375" bestFit="1" customWidth="1"/>
  </cols>
  <sheetData>
    <row r="1" spans="1:26" ht="15">
      <c r="A1" s="75" t="s">
        <v>48</v>
      </c>
      <c r="B1" s="76" t="s">
        <v>49</v>
      </c>
      <c r="C1" s="76" t="s">
        <v>50</v>
      </c>
      <c r="D1" s="76" t="s">
        <v>51</v>
      </c>
      <c r="E1" s="76" t="s">
        <v>52</v>
      </c>
      <c r="F1" s="76" t="s">
        <v>53</v>
      </c>
      <c r="G1" s="76" t="s">
        <v>54</v>
      </c>
      <c r="H1" s="76" t="s">
        <v>55</v>
      </c>
      <c r="I1" s="76" t="s">
        <v>56</v>
      </c>
      <c r="J1" s="76" t="s">
        <v>57</v>
      </c>
      <c r="K1" s="76" t="s">
        <v>58</v>
      </c>
      <c r="L1" s="76" t="s">
        <v>59</v>
      </c>
      <c r="M1" s="76" t="s">
        <v>60</v>
      </c>
      <c r="N1" s="76" t="s">
        <v>61</v>
      </c>
      <c r="O1" s="76" t="s">
        <v>62</v>
      </c>
      <c r="P1" s="76" t="s">
        <v>63</v>
      </c>
      <c r="Q1" s="76" t="s">
        <v>64</v>
      </c>
      <c r="R1" s="76" t="s">
        <v>65</v>
      </c>
      <c r="S1" s="76" t="s">
        <v>66</v>
      </c>
      <c r="T1" s="76" t="s">
        <v>67</v>
      </c>
      <c r="U1" s="76" t="s">
        <v>68</v>
      </c>
      <c r="V1" s="76" t="s">
        <v>69</v>
      </c>
      <c r="W1" s="76" t="s">
        <v>70</v>
      </c>
      <c r="X1" s="76" t="s">
        <v>71</v>
      </c>
      <c r="Y1" s="76" t="s">
        <v>72</v>
      </c>
      <c r="Z1" s="76" t="s">
        <v>74</v>
      </c>
    </row>
    <row r="2" spans="1:26" ht="14.4">
      <c r="A2" s="77" t="s">
        <v>427</v>
      </c>
      <c r="B2" s="78" t="s">
        <v>427</v>
      </c>
      <c r="C2" s="78" t="s">
        <v>427</v>
      </c>
      <c r="D2" s="78" t="s">
        <v>75</v>
      </c>
      <c r="E2" s="78" t="s">
        <v>427</v>
      </c>
      <c r="F2" s="78" t="s">
        <v>427</v>
      </c>
      <c r="G2" s="78" t="s">
        <v>928</v>
      </c>
      <c r="H2" s="78" t="s">
        <v>427</v>
      </c>
      <c r="I2" s="78" t="s">
        <v>427</v>
      </c>
      <c r="J2" s="78" t="s">
        <v>427</v>
      </c>
      <c r="K2" s="78" t="s">
        <v>427</v>
      </c>
      <c r="L2" s="78" t="s">
        <v>427</v>
      </c>
      <c r="M2" s="78" t="s">
        <v>427</v>
      </c>
      <c r="N2" s="78" t="s">
        <v>427</v>
      </c>
      <c r="O2" s="78" t="s">
        <v>427</v>
      </c>
      <c r="P2" s="78" t="s">
        <v>155</v>
      </c>
      <c r="Q2" s="78" t="s">
        <v>427</v>
      </c>
      <c r="R2" s="78" t="s">
        <v>427</v>
      </c>
      <c r="S2" s="78" t="s">
        <v>427</v>
      </c>
      <c r="T2" s="78" t="s">
        <v>427</v>
      </c>
      <c r="U2" s="78" t="s">
        <v>427</v>
      </c>
      <c r="V2" s="78" t="s">
        <v>427</v>
      </c>
      <c r="W2" s="78" t="s">
        <v>427</v>
      </c>
      <c r="X2" s="78" t="s">
        <v>929</v>
      </c>
      <c r="Y2" s="78" t="s">
        <v>427</v>
      </c>
      <c r="Z2" s="78" t="s">
        <v>427</v>
      </c>
    </row>
    <row r="3" spans="1:26" ht="14.4">
      <c r="A3" s="77" t="s">
        <v>427</v>
      </c>
      <c r="B3" s="78" t="s">
        <v>427</v>
      </c>
      <c r="C3" s="78" t="s">
        <v>427</v>
      </c>
      <c r="D3" s="78" t="s">
        <v>75</v>
      </c>
      <c r="E3" s="78" t="s">
        <v>427</v>
      </c>
      <c r="F3" s="78" t="s">
        <v>427</v>
      </c>
      <c r="G3" s="78" t="s">
        <v>930</v>
      </c>
      <c r="H3" s="78" t="s">
        <v>427</v>
      </c>
      <c r="I3" s="78" t="s">
        <v>427</v>
      </c>
      <c r="J3" s="78" t="s">
        <v>427</v>
      </c>
      <c r="K3" s="78" t="s">
        <v>427</v>
      </c>
      <c r="L3" s="78" t="s">
        <v>427</v>
      </c>
      <c r="M3" s="78" t="s">
        <v>427</v>
      </c>
      <c r="N3" s="78" t="s">
        <v>427</v>
      </c>
      <c r="O3" s="78" t="s">
        <v>427</v>
      </c>
      <c r="P3" s="78" t="s">
        <v>315</v>
      </c>
      <c r="Q3" s="78" t="s">
        <v>427</v>
      </c>
      <c r="R3" s="78" t="s">
        <v>427</v>
      </c>
      <c r="S3" s="78" t="s">
        <v>427</v>
      </c>
      <c r="T3" s="78" t="s">
        <v>427</v>
      </c>
      <c r="U3" s="78" t="s">
        <v>427</v>
      </c>
      <c r="V3" s="78" t="s">
        <v>427</v>
      </c>
      <c r="W3" s="78" t="s">
        <v>427</v>
      </c>
      <c r="X3" s="78" t="s">
        <v>931</v>
      </c>
      <c r="Y3" s="78" t="s">
        <v>427</v>
      </c>
      <c r="Z3" s="78" t="s">
        <v>427</v>
      </c>
    </row>
    <row r="4" spans="1:26" ht="14.4">
      <c r="A4" s="77" t="s">
        <v>427</v>
      </c>
      <c r="B4" s="78" t="s">
        <v>427</v>
      </c>
      <c r="C4" s="78" t="s">
        <v>427</v>
      </c>
      <c r="D4" s="78" t="s">
        <v>75</v>
      </c>
      <c r="E4" s="78" t="s">
        <v>427</v>
      </c>
      <c r="F4" s="78" t="s">
        <v>427</v>
      </c>
      <c r="G4" s="78" t="s">
        <v>932</v>
      </c>
      <c r="H4" s="78" t="s">
        <v>427</v>
      </c>
      <c r="I4" s="78" t="s">
        <v>427</v>
      </c>
      <c r="J4" s="78" t="s">
        <v>427</v>
      </c>
      <c r="K4" s="78" t="s">
        <v>427</v>
      </c>
      <c r="L4" s="78" t="s">
        <v>427</v>
      </c>
      <c r="M4" s="78" t="s">
        <v>427</v>
      </c>
      <c r="N4" s="78" t="s">
        <v>427</v>
      </c>
      <c r="O4" s="78" t="s">
        <v>427</v>
      </c>
      <c r="P4" s="78" t="s">
        <v>315</v>
      </c>
      <c r="Q4" s="78" t="s">
        <v>427</v>
      </c>
      <c r="R4" s="78" t="s">
        <v>427</v>
      </c>
      <c r="S4" s="78" t="s">
        <v>427</v>
      </c>
      <c r="T4" s="78" t="s">
        <v>427</v>
      </c>
      <c r="U4" s="78" t="s">
        <v>427</v>
      </c>
      <c r="V4" s="78" t="s">
        <v>427</v>
      </c>
      <c r="W4" s="78" t="s">
        <v>427</v>
      </c>
      <c r="X4" s="78" t="s">
        <v>933</v>
      </c>
      <c r="Y4" s="78" t="s">
        <v>427</v>
      </c>
      <c r="Z4" s="78" t="s">
        <v>427</v>
      </c>
    </row>
    <row r="5" spans="1:26" ht="14.4">
      <c r="A5" s="77" t="s">
        <v>427</v>
      </c>
      <c r="B5" s="78" t="s">
        <v>427</v>
      </c>
      <c r="C5" s="78" t="s">
        <v>427</v>
      </c>
      <c r="D5" s="78" t="s">
        <v>75</v>
      </c>
      <c r="E5" s="78" t="s">
        <v>427</v>
      </c>
      <c r="F5" s="78" t="s">
        <v>427</v>
      </c>
      <c r="G5" s="78" t="s">
        <v>934</v>
      </c>
      <c r="H5" s="78" t="s">
        <v>427</v>
      </c>
      <c r="I5" s="78" t="s">
        <v>427</v>
      </c>
      <c r="J5" s="78" t="s">
        <v>427</v>
      </c>
      <c r="K5" s="78" t="s">
        <v>427</v>
      </c>
      <c r="L5" s="78" t="s">
        <v>427</v>
      </c>
      <c r="M5" s="78" t="s">
        <v>427</v>
      </c>
      <c r="N5" s="78" t="s">
        <v>427</v>
      </c>
      <c r="O5" s="78" t="s">
        <v>427</v>
      </c>
      <c r="P5" s="78" t="s">
        <v>204</v>
      </c>
      <c r="Q5" s="78" t="s">
        <v>427</v>
      </c>
      <c r="R5" s="78" t="s">
        <v>427</v>
      </c>
      <c r="S5" s="78" t="s">
        <v>427</v>
      </c>
      <c r="T5" s="78" t="s">
        <v>427</v>
      </c>
      <c r="U5" s="78" t="s">
        <v>427</v>
      </c>
      <c r="V5" s="78" t="s">
        <v>427</v>
      </c>
      <c r="W5" s="78" t="s">
        <v>427</v>
      </c>
      <c r="X5" s="78" t="s">
        <v>935</v>
      </c>
      <c r="Y5" s="78" t="s">
        <v>427</v>
      </c>
      <c r="Z5" s="78" t="s">
        <v>427</v>
      </c>
    </row>
    <row r="6" spans="1:26" ht="14.4">
      <c r="A6" s="77" t="s">
        <v>427</v>
      </c>
      <c r="B6" s="78" t="s">
        <v>427</v>
      </c>
      <c r="C6" s="78" t="s">
        <v>427</v>
      </c>
      <c r="D6" s="78" t="s">
        <v>75</v>
      </c>
      <c r="E6" s="78" t="s">
        <v>427</v>
      </c>
      <c r="F6" s="78" t="s">
        <v>427</v>
      </c>
      <c r="G6" s="78" t="s">
        <v>936</v>
      </c>
      <c r="H6" s="78" t="s">
        <v>427</v>
      </c>
      <c r="I6" s="78" t="s">
        <v>427</v>
      </c>
      <c r="J6" s="78" t="s">
        <v>427</v>
      </c>
      <c r="K6" s="78" t="s">
        <v>427</v>
      </c>
      <c r="L6" s="78" t="s">
        <v>427</v>
      </c>
      <c r="M6" s="78" t="s">
        <v>427</v>
      </c>
      <c r="N6" s="78" t="s">
        <v>427</v>
      </c>
      <c r="O6" s="78" t="s">
        <v>427</v>
      </c>
      <c r="P6" s="78" t="s">
        <v>204</v>
      </c>
      <c r="Q6" s="78" t="s">
        <v>427</v>
      </c>
      <c r="R6" s="78" t="s">
        <v>427</v>
      </c>
      <c r="S6" s="78" t="s">
        <v>427</v>
      </c>
      <c r="T6" s="78" t="s">
        <v>427</v>
      </c>
      <c r="U6" s="78" t="s">
        <v>427</v>
      </c>
      <c r="V6" s="78" t="s">
        <v>427</v>
      </c>
      <c r="W6" s="78" t="s">
        <v>427</v>
      </c>
      <c r="X6" s="78" t="s">
        <v>937</v>
      </c>
      <c r="Y6" s="78" t="s">
        <v>427</v>
      </c>
      <c r="Z6" s="78" t="s">
        <v>427</v>
      </c>
    </row>
    <row r="7" spans="1:26" ht="14.4">
      <c r="A7" s="77" t="s">
        <v>427</v>
      </c>
      <c r="B7" s="78" t="s">
        <v>427</v>
      </c>
      <c r="C7" s="78" t="s">
        <v>427</v>
      </c>
      <c r="D7" s="78" t="s">
        <v>75</v>
      </c>
      <c r="E7" s="78" t="s">
        <v>427</v>
      </c>
      <c r="F7" s="78" t="s">
        <v>427</v>
      </c>
      <c r="G7" s="78" t="s">
        <v>938</v>
      </c>
      <c r="H7" s="78" t="s">
        <v>427</v>
      </c>
      <c r="I7" s="78" t="s">
        <v>427</v>
      </c>
      <c r="J7" s="78" t="s">
        <v>427</v>
      </c>
      <c r="K7" s="78" t="s">
        <v>427</v>
      </c>
      <c r="L7" s="78" t="s">
        <v>427</v>
      </c>
      <c r="M7" s="78" t="s">
        <v>427</v>
      </c>
      <c r="N7" s="78" t="s">
        <v>427</v>
      </c>
      <c r="O7" s="78" t="s">
        <v>427</v>
      </c>
      <c r="P7" s="78" t="s">
        <v>315</v>
      </c>
      <c r="Q7" s="78" t="s">
        <v>427</v>
      </c>
      <c r="R7" s="78" t="s">
        <v>427</v>
      </c>
      <c r="S7" s="78" t="s">
        <v>427</v>
      </c>
      <c r="T7" s="78" t="s">
        <v>427</v>
      </c>
      <c r="U7" s="78" t="s">
        <v>427</v>
      </c>
      <c r="V7" s="78" t="s">
        <v>427</v>
      </c>
      <c r="W7" s="78" t="s">
        <v>427</v>
      </c>
      <c r="X7" s="78" t="s">
        <v>939</v>
      </c>
      <c r="Y7" s="78" t="s">
        <v>427</v>
      </c>
      <c r="Z7" s="78" t="s">
        <v>427</v>
      </c>
    </row>
    <row r="8" spans="1:26" ht="14.4">
      <c r="A8" s="77" t="s">
        <v>427</v>
      </c>
      <c r="B8" s="78" t="s">
        <v>427</v>
      </c>
      <c r="C8" s="78" t="s">
        <v>427</v>
      </c>
      <c r="D8" s="78" t="s">
        <v>75</v>
      </c>
      <c r="E8" s="78" t="s">
        <v>427</v>
      </c>
      <c r="F8" s="78" t="s">
        <v>427</v>
      </c>
      <c r="G8" s="78" t="s">
        <v>940</v>
      </c>
      <c r="H8" s="78" t="s">
        <v>427</v>
      </c>
      <c r="I8" s="78" t="s">
        <v>427</v>
      </c>
      <c r="J8" s="78" t="s">
        <v>427</v>
      </c>
      <c r="K8" s="78" t="s">
        <v>427</v>
      </c>
      <c r="L8" s="78" t="s">
        <v>427</v>
      </c>
      <c r="M8" s="78" t="s">
        <v>427</v>
      </c>
      <c r="N8" s="78" t="s">
        <v>427</v>
      </c>
      <c r="O8" s="78" t="s">
        <v>427</v>
      </c>
      <c r="P8" s="78" t="s">
        <v>204</v>
      </c>
      <c r="Q8" s="78" t="s">
        <v>427</v>
      </c>
      <c r="R8" s="78" t="s">
        <v>427</v>
      </c>
      <c r="S8" s="78" t="s">
        <v>427</v>
      </c>
      <c r="T8" s="78" t="s">
        <v>427</v>
      </c>
      <c r="U8" s="78" t="s">
        <v>427</v>
      </c>
      <c r="V8" s="78" t="s">
        <v>427</v>
      </c>
      <c r="W8" s="78" t="s">
        <v>427</v>
      </c>
      <c r="X8" s="78" t="s">
        <v>941</v>
      </c>
      <c r="Y8" s="78" t="s">
        <v>427</v>
      </c>
      <c r="Z8" s="78" t="s">
        <v>427</v>
      </c>
    </row>
    <row r="9" spans="1:26" ht="14.4">
      <c r="A9" s="77" t="s">
        <v>427</v>
      </c>
      <c r="B9" s="78" t="s">
        <v>427</v>
      </c>
      <c r="C9" s="78" t="s">
        <v>427</v>
      </c>
      <c r="D9" s="78" t="s">
        <v>75</v>
      </c>
      <c r="E9" s="78" t="s">
        <v>427</v>
      </c>
      <c r="F9" s="78" t="s">
        <v>427</v>
      </c>
      <c r="G9" s="78" t="s">
        <v>942</v>
      </c>
      <c r="H9" s="78" t="s">
        <v>427</v>
      </c>
      <c r="I9" s="78" t="s">
        <v>427</v>
      </c>
      <c r="J9" s="78" t="s">
        <v>427</v>
      </c>
      <c r="K9" s="78" t="s">
        <v>427</v>
      </c>
      <c r="L9" s="78" t="s">
        <v>427</v>
      </c>
      <c r="M9" s="78" t="s">
        <v>427</v>
      </c>
      <c r="N9" s="78" t="s">
        <v>427</v>
      </c>
      <c r="O9" s="78" t="s">
        <v>427</v>
      </c>
      <c r="P9" s="78" t="s">
        <v>204</v>
      </c>
      <c r="Q9" s="78" t="s">
        <v>427</v>
      </c>
      <c r="R9" s="78" t="s">
        <v>427</v>
      </c>
      <c r="S9" s="78" t="s">
        <v>427</v>
      </c>
      <c r="T9" s="78" t="s">
        <v>427</v>
      </c>
      <c r="U9" s="78" t="s">
        <v>427</v>
      </c>
      <c r="V9" s="78" t="s">
        <v>427</v>
      </c>
      <c r="W9" s="78" t="s">
        <v>427</v>
      </c>
      <c r="X9" s="78" t="s">
        <v>943</v>
      </c>
      <c r="Y9" s="78" t="s">
        <v>427</v>
      </c>
      <c r="Z9" s="78" t="s">
        <v>427</v>
      </c>
    </row>
    <row r="10" spans="1:26" ht="14.4">
      <c r="A10" s="77" t="s">
        <v>427</v>
      </c>
      <c r="B10" s="78" t="s">
        <v>427</v>
      </c>
      <c r="C10" s="78" t="s">
        <v>427</v>
      </c>
      <c r="D10" s="78" t="s">
        <v>75</v>
      </c>
      <c r="E10" s="78" t="s">
        <v>427</v>
      </c>
      <c r="F10" s="78" t="s">
        <v>427</v>
      </c>
      <c r="G10" s="78" t="s">
        <v>944</v>
      </c>
      <c r="H10" s="78" t="s">
        <v>427</v>
      </c>
      <c r="I10" s="78" t="s">
        <v>427</v>
      </c>
      <c r="J10" s="78" t="s">
        <v>427</v>
      </c>
      <c r="K10" s="78" t="s">
        <v>427</v>
      </c>
      <c r="L10" s="78" t="s">
        <v>427</v>
      </c>
      <c r="M10" s="78" t="s">
        <v>427</v>
      </c>
      <c r="N10" s="78" t="s">
        <v>427</v>
      </c>
      <c r="O10" s="78" t="s">
        <v>427</v>
      </c>
      <c r="P10" s="78" t="s">
        <v>204</v>
      </c>
      <c r="Q10" s="78" t="s">
        <v>427</v>
      </c>
      <c r="R10" s="78" t="s">
        <v>427</v>
      </c>
      <c r="S10" s="78" t="s">
        <v>427</v>
      </c>
      <c r="T10" s="78" t="s">
        <v>427</v>
      </c>
      <c r="U10" s="78" t="s">
        <v>427</v>
      </c>
      <c r="V10" s="78" t="s">
        <v>427</v>
      </c>
      <c r="W10" s="78" t="s">
        <v>427</v>
      </c>
      <c r="X10" s="78" t="s">
        <v>945</v>
      </c>
      <c r="Y10" s="78" t="s">
        <v>427</v>
      </c>
      <c r="Z10" s="78" t="s">
        <v>427</v>
      </c>
    </row>
    <row r="11" spans="1:26" ht="14.4">
      <c r="A11" s="77" t="s">
        <v>427</v>
      </c>
      <c r="B11" s="78" t="s">
        <v>427</v>
      </c>
      <c r="C11" s="78" t="s">
        <v>427</v>
      </c>
      <c r="D11" s="78" t="s">
        <v>75</v>
      </c>
      <c r="E11" s="78" t="s">
        <v>427</v>
      </c>
      <c r="F11" s="78" t="s">
        <v>427</v>
      </c>
      <c r="G11" s="78" t="s">
        <v>946</v>
      </c>
      <c r="H11" s="78" t="s">
        <v>427</v>
      </c>
      <c r="I11" s="78" t="s">
        <v>427</v>
      </c>
      <c r="J11" s="78" t="s">
        <v>427</v>
      </c>
      <c r="K11" s="78" t="s">
        <v>427</v>
      </c>
      <c r="L11" s="78" t="s">
        <v>427</v>
      </c>
      <c r="M11" s="78" t="s">
        <v>427</v>
      </c>
      <c r="N11" s="78" t="s">
        <v>427</v>
      </c>
      <c r="O11" s="78" t="s">
        <v>427</v>
      </c>
      <c r="P11" s="78" t="s">
        <v>155</v>
      </c>
      <c r="Q11" s="78" t="s">
        <v>427</v>
      </c>
      <c r="R11" s="78" t="s">
        <v>427</v>
      </c>
      <c r="S11" s="78" t="s">
        <v>427</v>
      </c>
      <c r="T11" s="78" t="s">
        <v>427</v>
      </c>
      <c r="U11" s="78" t="s">
        <v>427</v>
      </c>
      <c r="V11" s="78" t="s">
        <v>427</v>
      </c>
      <c r="W11" s="78" t="s">
        <v>427</v>
      </c>
      <c r="X11" s="78" t="s">
        <v>947</v>
      </c>
      <c r="Y11" s="78" t="s">
        <v>427</v>
      </c>
      <c r="Z11" s="78" t="s">
        <v>427</v>
      </c>
    </row>
    <row r="12" spans="1:26" ht="14.4">
      <c r="A12" s="77" t="s">
        <v>427</v>
      </c>
      <c r="B12" s="78" t="s">
        <v>427</v>
      </c>
      <c r="C12" s="78" t="s">
        <v>427</v>
      </c>
      <c r="D12" s="78" t="s">
        <v>75</v>
      </c>
      <c r="E12" s="78" t="s">
        <v>427</v>
      </c>
      <c r="F12" s="78" t="s">
        <v>427</v>
      </c>
      <c r="G12" s="78" t="s">
        <v>948</v>
      </c>
      <c r="H12" s="78" t="s">
        <v>427</v>
      </c>
      <c r="I12" s="78" t="s">
        <v>427</v>
      </c>
      <c r="J12" s="78" t="s">
        <v>427</v>
      </c>
      <c r="K12" s="78" t="s">
        <v>427</v>
      </c>
      <c r="L12" s="78" t="s">
        <v>427</v>
      </c>
      <c r="M12" s="78" t="s">
        <v>427</v>
      </c>
      <c r="N12" s="78" t="s">
        <v>427</v>
      </c>
      <c r="O12" s="78" t="s">
        <v>427</v>
      </c>
      <c r="P12" s="78" t="s">
        <v>315</v>
      </c>
      <c r="Q12" s="78" t="s">
        <v>427</v>
      </c>
      <c r="R12" s="78" t="s">
        <v>427</v>
      </c>
      <c r="S12" s="78" t="s">
        <v>427</v>
      </c>
      <c r="T12" s="78" t="s">
        <v>427</v>
      </c>
      <c r="U12" s="78" t="s">
        <v>427</v>
      </c>
      <c r="V12" s="78" t="s">
        <v>427</v>
      </c>
      <c r="W12" s="78" t="s">
        <v>427</v>
      </c>
      <c r="X12" s="78" t="s">
        <v>949</v>
      </c>
      <c r="Y12" s="78" t="s">
        <v>427</v>
      </c>
      <c r="Z12" s="78" t="s">
        <v>427</v>
      </c>
    </row>
  </sheetData>
  <phoneticPr fontId="2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DC1A-0EA5-45D0-8168-7A09A94C1003}">
  <sheetPr codeName="Sheet6">
    <pageSetUpPr fitToPage="1"/>
  </sheetPr>
  <dimension ref="A1:AF115"/>
  <sheetViews>
    <sheetView view="pageBreakPreview" topLeftCell="F1" zoomScale="115" zoomScaleNormal="70" zoomScaleSheetLayoutView="115" workbookViewId="0">
      <pane ySplit="1" topLeftCell="A7" activePane="bottomLeft" state="frozen"/>
      <selection pane="bottomLeft" activeCell="I12" sqref="I12"/>
    </sheetView>
  </sheetViews>
  <sheetFormatPr defaultColWidth="8.88671875" defaultRowHeight="16.5" customHeight="1"/>
  <cols>
    <col min="1" max="1" width="12.44140625" style="7" customWidth="1"/>
    <col min="2" max="2" width="14" style="5" customWidth="1"/>
    <col min="3" max="3" width="9.88671875" style="5" customWidth="1"/>
    <col min="4" max="4" width="10.44140625" style="5" customWidth="1"/>
    <col min="5" max="5" width="24" style="5" customWidth="1"/>
    <col min="6" max="6" width="21.44140625" style="5" customWidth="1"/>
    <col min="7" max="7" width="33.6640625" style="5" customWidth="1"/>
    <col min="8" max="8" width="33.44140625" style="5" bestFit="1" customWidth="1"/>
    <col min="9" max="10" width="29.109375" style="57" customWidth="1"/>
    <col min="11" max="11" width="24.44140625" style="7" customWidth="1"/>
    <col min="12" max="12" width="17.33203125" style="5" customWidth="1"/>
    <col min="13" max="13" width="21.5546875" style="5" customWidth="1"/>
    <col min="14" max="14" width="15.109375" style="5" customWidth="1"/>
    <col min="15" max="15" width="40.109375" style="5" bestFit="1" customWidth="1"/>
    <col min="16" max="16" width="17.5546875" style="5" customWidth="1"/>
    <col min="17" max="17" width="19.33203125" style="5" customWidth="1"/>
    <col min="18" max="18" width="20.88671875" style="5" customWidth="1"/>
    <col min="19" max="19" width="11.109375" style="5" customWidth="1"/>
    <col min="20" max="20" width="11.5546875" style="5" customWidth="1"/>
    <col min="21" max="22" width="16.33203125" style="5" customWidth="1"/>
    <col min="23" max="23" width="14.88671875" style="5" customWidth="1"/>
    <col min="24" max="24" width="12.5546875" style="5" customWidth="1"/>
    <col min="25" max="25" width="15" style="5" customWidth="1"/>
    <col min="26" max="26" width="36.6640625" style="5" customWidth="1"/>
    <col min="27" max="27" width="12.5546875" style="5" customWidth="1"/>
    <col min="28" max="28" width="16.88671875" style="5" bestFit="1" customWidth="1"/>
    <col min="29" max="29" width="18.109375" style="5" bestFit="1" customWidth="1"/>
    <col min="30" max="30" width="21.44140625" style="5" customWidth="1"/>
    <col min="31" max="32" width="12.5546875" style="5" customWidth="1"/>
    <col min="33" max="16384" width="8.88671875" style="5"/>
  </cols>
  <sheetData>
    <row r="1" spans="1:32" customFormat="1" ht="15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10" t="s">
        <v>53</v>
      </c>
      <c r="G1" s="9" t="s">
        <v>54</v>
      </c>
      <c r="H1" s="9" t="s">
        <v>950</v>
      </c>
      <c r="I1" s="9" t="s">
        <v>951</v>
      </c>
      <c r="J1" s="53" t="s">
        <v>952</v>
      </c>
      <c r="K1" s="9" t="s">
        <v>56</v>
      </c>
      <c r="L1" s="9" t="s">
        <v>57</v>
      </c>
      <c r="M1" s="9" t="s">
        <v>58</v>
      </c>
      <c r="N1" s="9" t="s">
        <v>59</v>
      </c>
      <c r="O1" s="9" t="s">
        <v>60</v>
      </c>
      <c r="P1" s="9" t="s">
        <v>61</v>
      </c>
      <c r="Q1" s="9" t="s">
        <v>62</v>
      </c>
      <c r="R1" s="9" t="s">
        <v>63</v>
      </c>
      <c r="S1" s="9" t="s">
        <v>64</v>
      </c>
      <c r="T1" s="9" t="s">
        <v>65</v>
      </c>
      <c r="U1" s="9" t="s">
        <v>66</v>
      </c>
      <c r="V1" s="9" t="s">
        <v>67</v>
      </c>
      <c r="W1" s="9" t="s">
        <v>68</v>
      </c>
      <c r="X1" s="9" t="s">
        <v>69</v>
      </c>
      <c r="Y1" s="9" t="s">
        <v>70</v>
      </c>
      <c r="Z1" s="9" t="s">
        <v>71</v>
      </c>
      <c r="AA1" s="9" t="s">
        <v>72</v>
      </c>
      <c r="AB1" s="59" t="s">
        <v>953</v>
      </c>
      <c r="AC1" s="59" t="s">
        <v>954</v>
      </c>
      <c r="AD1" s="9" t="s">
        <v>74</v>
      </c>
      <c r="AE1" s="4"/>
      <c r="AF1" s="4"/>
    </row>
    <row r="2" spans="1:32" s="36" customFormat="1" ht="16.8">
      <c r="A2" s="11">
        <v>1</v>
      </c>
      <c r="B2" s="12"/>
      <c r="C2" s="12" t="s">
        <v>955</v>
      </c>
      <c r="D2" s="12" t="s">
        <v>75</v>
      </c>
      <c r="E2" s="12"/>
      <c r="F2" s="12"/>
      <c r="G2" s="19" t="s">
        <v>6391</v>
      </c>
      <c r="H2" s="122" t="s">
        <v>956</v>
      </c>
      <c r="I2" s="127" t="s">
        <v>957</v>
      </c>
      <c r="J2" s="127" t="s">
        <v>958</v>
      </c>
      <c r="K2" s="14">
        <v>16</v>
      </c>
      <c r="L2" s="14" t="s">
        <v>155</v>
      </c>
      <c r="M2" s="12"/>
      <c r="N2" s="16" t="s">
        <v>959</v>
      </c>
      <c r="O2" s="12" t="s">
        <v>960</v>
      </c>
      <c r="P2" s="13"/>
      <c r="Q2" s="13">
        <v>0</v>
      </c>
      <c r="R2" s="13" t="s">
        <v>961</v>
      </c>
      <c r="S2" s="13">
        <v>0</v>
      </c>
      <c r="T2" s="13">
        <v>100</v>
      </c>
      <c r="U2" s="13">
        <v>0.1</v>
      </c>
      <c r="V2" s="13">
        <v>0</v>
      </c>
      <c r="W2" s="12"/>
      <c r="X2" s="12"/>
      <c r="Y2" s="12"/>
      <c r="Z2" s="12"/>
      <c r="AA2" s="12"/>
      <c r="AB2" s="12"/>
      <c r="AC2" s="12"/>
      <c r="AD2" s="12"/>
      <c r="AE2" s="5"/>
      <c r="AF2" s="5"/>
    </row>
    <row r="3" spans="1:32" s="36" customFormat="1" ht="16.8">
      <c r="A3" s="11">
        <v>2</v>
      </c>
      <c r="B3" s="12"/>
      <c r="C3" s="12" t="s">
        <v>955</v>
      </c>
      <c r="D3" s="12" t="s">
        <v>75</v>
      </c>
      <c r="E3" s="12"/>
      <c r="F3" s="12"/>
      <c r="G3" s="19" t="s">
        <v>962</v>
      </c>
      <c r="H3" s="123"/>
      <c r="I3" s="128"/>
      <c r="J3" s="128"/>
      <c r="K3" s="14">
        <v>16</v>
      </c>
      <c r="L3" s="14" t="s">
        <v>155</v>
      </c>
      <c r="M3" s="12"/>
      <c r="N3" s="13" t="s">
        <v>963</v>
      </c>
      <c r="O3" s="13" t="s">
        <v>964</v>
      </c>
      <c r="P3" s="13"/>
      <c r="Q3" s="13">
        <v>0</v>
      </c>
      <c r="R3" s="13"/>
      <c r="S3" s="13">
        <v>20</v>
      </c>
      <c r="T3" s="13">
        <v>800</v>
      </c>
      <c r="U3" s="13">
        <v>1</v>
      </c>
      <c r="V3" s="13">
        <v>0</v>
      </c>
      <c r="W3" s="12"/>
      <c r="X3" s="12"/>
      <c r="Y3" s="12"/>
      <c r="Z3" s="12"/>
      <c r="AA3" s="12"/>
      <c r="AB3" s="12"/>
      <c r="AC3" s="12"/>
      <c r="AD3" s="12"/>
      <c r="AE3" s="5"/>
      <c r="AF3" s="5"/>
    </row>
    <row r="4" spans="1:32" s="35" customFormat="1" ht="50.4">
      <c r="A4" s="32">
        <v>3</v>
      </c>
      <c r="B4" s="33"/>
      <c r="C4" s="12" t="s">
        <v>955</v>
      </c>
      <c r="D4" s="33" t="s">
        <v>148</v>
      </c>
      <c r="E4" s="33"/>
      <c r="F4" s="37"/>
      <c r="G4" s="40" t="s">
        <v>965</v>
      </c>
      <c r="H4" s="124"/>
      <c r="I4" s="129"/>
      <c r="J4" s="129"/>
      <c r="K4" s="34">
        <v>8</v>
      </c>
      <c r="L4" s="34" t="s">
        <v>204</v>
      </c>
      <c r="M4" s="33"/>
      <c r="N4" s="33" t="s">
        <v>966</v>
      </c>
      <c r="O4" s="33" t="s">
        <v>967</v>
      </c>
      <c r="P4" s="34"/>
      <c r="Q4" s="34">
        <v>0</v>
      </c>
      <c r="R4" s="34"/>
      <c r="S4" s="34"/>
      <c r="T4" s="34"/>
      <c r="U4" s="34"/>
      <c r="V4" s="34"/>
      <c r="W4" s="33"/>
      <c r="X4" s="33"/>
      <c r="Y4" s="33"/>
      <c r="Z4" s="41" t="s">
        <v>968</v>
      </c>
      <c r="AA4" s="33"/>
      <c r="AB4" s="33"/>
      <c r="AC4" s="33"/>
      <c r="AD4" s="33"/>
    </row>
    <row r="5" spans="1:32" s="50" customFormat="1" ht="16.8">
      <c r="A5" s="45">
        <v>4</v>
      </c>
      <c r="B5" s="46"/>
      <c r="C5" s="46" t="s">
        <v>955</v>
      </c>
      <c r="D5" s="46" t="s">
        <v>148</v>
      </c>
      <c r="E5" s="46"/>
      <c r="F5" s="46"/>
      <c r="G5" s="19" t="s">
        <v>969</v>
      </c>
      <c r="H5" s="47" t="s">
        <v>970</v>
      </c>
      <c r="I5" s="52" t="s">
        <v>971</v>
      </c>
      <c r="J5" s="106" t="e">
        <v>#N/A</v>
      </c>
      <c r="K5" s="48">
        <v>16</v>
      </c>
      <c r="L5" s="49" t="s">
        <v>155</v>
      </c>
      <c r="M5" s="46"/>
      <c r="N5" s="48" t="s">
        <v>972</v>
      </c>
      <c r="O5" s="46" t="s">
        <v>973</v>
      </c>
      <c r="P5" s="48"/>
      <c r="Q5" s="48">
        <v>0</v>
      </c>
      <c r="R5" s="48"/>
      <c r="S5" s="13">
        <v>0</v>
      </c>
      <c r="T5" s="13">
        <v>800</v>
      </c>
      <c r="U5" s="48">
        <v>0.15</v>
      </c>
      <c r="V5" s="48">
        <v>0</v>
      </c>
      <c r="W5" s="46"/>
      <c r="X5" s="46"/>
      <c r="Y5" s="46"/>
      <c r="Z5" s="46"/>
      <c r="AA5" s="46"/>
      <c r="AB5" s="46"/>
      <c r="AC5" s="46"/>
      <c r="AD5" s="46"/>
    </row>
    <row r="6" spans="1:32" ht="33.6" customHeight="1">
      <c r="A6" s="11">
        <v>5</v>
      </c>
      <c r="B6" s="12"/>
      <c r="C6" s="12" t="s">
        <v>955</v>
      </c>
      <c r="D6" s="12" t="s">
        <v>75</v>
      </c>
      <c r="E6" s="12"/>
      <c r="F6" s="12"/>
      <c r="G6" s="39" t="s">
        <v>974</v>
      </c>
      <c r="H6" s="38" t="s">
        <v>975</v>
      </c>
      <c r="I6" s="54" t="s">
        <v>976</v>
      </c>
      <c r="J6" s="115" t="s">
        <v>977</v>
      </c>
      <c r="K6" s="105">
        <v>8</v>
      </c>
      <c r="L6" s="14" t="s">
        <v>204</v>
      </c>
      <c r="M6" s="12"/>
      <c r="N6" s="12" t="s">
        <v>978</v>
      </c>
      <c r="O6" s="12" t="s">
        <v>979</v>
      </c>
      <c r="P6" s="13" t="s">
        <v>980</v>
      </c>
      <c r="Q6" s="13">
        <v>0</v>
      </c>
      <c r="R6" s="13"/>
      <c r="S6" s="13">
        <v>0</v>
      </c>
      <c r="T6" s="13">
        <v>3</v>
      </c>
      <c r="U6" s="48">
        <v>1</v>
      </c>
      <c r="V6" s="48">
        <v>0</v>
      </c>
      <c r="W6" s="12"/>
      <c r="X6" s="12"/>
      <c r="Y6" s="12"/>
      <c r="Z6" s="118" t="s">
        <v>981</v>
      </c>
      <c r="AA6" s="12"/>
      <c r="AB6" s="12"/>
      <c r="AC6" s="12"/>
      <c r="AD6" s="121" t="s">
        <v>982</v>
      </c>
    </row>
    <row r="7" spans="1:32" ht="33.6" customHeight="1">
      <c r="A7" s="45">
        <v>6</v>
      </c>
      <c r="B7" s="12"/>
      <c r="C7" s="12" t="s">
        <v>955</v>
      </c>
      <c r="D7" s="12" t="s">
        <v>75</v>
      </c>
      <c r="E7" s="12"/>
      <c r="F7" s="12"/>
      <c r="G7" s="39" t="s">
        <v>983</v>
      </c>
      <c r="H7" s="38" t="s">
        <v>984</v>
      </c>
      <c r="I7" s="55" t="s">
        <v>985</v>
      </c>
      <c r="J7" s="115"/>
      <c r="K7" s="105">
        <v>8</v>
      </c>
      <c r="L7" s="14" t="s">
        <v>204</v>
      </c>
      <c r="M7" s="12"/>
      <c r="N7" s="12" t="s">
        <v>978</v>
      </c>
      <c r="O7" s="12" t="s">
        <v>986</v>
      </c>
      <c r="P7" s="13" t="s">
        <v>980</v>
      </c>
      <c r="Q7" s="13">
        <v>0</v>
      </c>
      <c r="R7" s="13"/>
      <c r="S7" s="13">
        <v>0</v>
      </c>
      <c r="T7" s="13">
        <v>3</v>
      </c>
      <c r="U7" s="48">
        <v>1</v>
      </c>
      <c r="V7" s="48">
        <v>0</v>
      </c>
      <c r="W7" s="12"/>
      <c r="X7" s="12"/>
      <c r="Y7" s="12"/>
      <c r="Z7" s="125"/>
      <c r="AA7" s="12"/>
      <c r="AB7" s="12"/>
      <c r="AC7" s="12"/>
      <c r="AD7" s="121"/>
    </row>
    <row r="8" spans="1:32" ht="33.6" customHeight="1">
      <c r="A8" s="11">
        <v>7</v>
      </c>
      <c r="B8" s="12"/>
      <c r="C8" s="12" t="s">
        <v>955</v>
      </c>
      <c r="D8" s="12" t="s">
        <v>75</v>
      </c>
      <c r="E8" s="12"/>
      <c r="F8" s="12"/>
      <c r="G8" s="39" t="s">
        <v>987</v>
      </c>
      <c r="H8" s="38" t="s">
        <v>988</v>
      </c>
      <c r="I8" s="55" t="s">
        <v>989</v>
      </c>
      <c r="J8" s="115"/>
      <c r="K8" s="105">
        <v>8</v>
      </c>
      <c r="L8" s="14" t="s">
        <v>204</v>
      </c>
      <c r="M8" s="12"/>
      <c r="N8" s="12" t="s">
        <v>978</v>
      </c>
      <c r="O8" s="12" t="s">
        <v>990</v>
      </c>
      <c r="P8" s="13" t="s">
        <v>980</v>
      </c>
      <c r="Q8" s="13">
        <v>0</v>
      </c>
      <c r="R8" s="13"/>
      <c r="S8" s="13">
        <v>0</v>
      </c>
      <c r="T8" s="13">
        <v>3</v>
      </c>
      <c r="U8" s="48">
        <v>1</v>
      </c>
      <c r="V8" s="48">
        <v>0</v>
      </c>
      <c r="W8" s="12"/>
      <c r="X8" s="12"/>
      <c r="Y8" s="12"/>
      <c r="Z8" s="125"/>
      <c r="AA8" s="12"/>
      <c r="AB8" s="12"/>
      <c r="AC8" s="12"/>
      <c r="AD8" s="121"/>
    </row>
    <row r="9" spans="1:32" ht="33.6" customHeight="1">
      <c r="A9" s="45">
        <v>8</v>
      </c>
      <c r="B9" s="12"/>
      <c r="C9" s="12" t="s">
        <v>955</v>
      </c>
      <c r="D9" s="12" t="s">
        <v>75</v>
      </c>
      <c r="E9" s="12"/>
      <c r="F9" s="12"/>
      <c r="G9" s="39" t="s">
        <v>991</v>
      </c>
      <c r="H9" s="38" t="s">
        <v>992</v>
      </c>
      <c r="I9" s="55" t="s">
        <v>993</v>
      </c>
      <c r="J9" s="115"/>
      <c r="K9" s="105">
        <v>8</v>
      </c>
      <c r="L9" s="14" t="s">
        <v>204</v>
      </c>
      <c r="M9" s="12"/>
      <c r="N9" s="12" t="s">
        <v>978</v>
      </c>
      <c r="O9" s="12" t="s">
        <v>994</v>
      </c>
      <c r="P9" s="13" t="s">
        <v>980</v>
      </c>
      <c r="Q9" s="13">
        <v>0</v>
      </c>
      <c r="R9" s="13"/>
      <c r="S9" s="13">
        <v>0</v>
      </c>
      <c r="T9" s="13">
        <v>3</v>
      </c>
      <c r="U9" s="48">
        <v>1</v>
      </c>
      <c r="V9" s="48">
        <v>0</v>
      </c>
      <c r="W9" s="12"/>
      <c r="X9" s="12"/>
      <c r="Y9" s="12"/>
      <c r="Z9" s="125"/>
      <c r="AA9" s="12"/>
      <c r="AB9" s="12"/>
      <c r="AC9" s="12"/>
      <c r="AD9" s="121"/>
    </row>
    <row r="10" spans="1:32" ht="33.6" customHeight="1">
      <c r="A10" s="11">
        <v>9</v>
      </c>
      <c r="B10" s="12"/>
      <c r="C10" s="12" t="s">
        <v>955</v>
      </c>
      <c r="D10" s="12" t="s">
        <v>75</v>
      </c>
      <c r="E10" s="12"/>
      <c r="F10" s="12"/>
      <c r="G10" s="39" t="s">
        <v>995</v>
      </c>
      <c r="H10" s="38" t="s">
        <v>996</v>
      </c>
      <c r="I10" s="55" t="s">
        <v>997</v>
      </c>
      <c r="J10" s="58" t="s">
        <v>998</v>
      </c>
      <c r="K10" s="14">
        <v>8</v>
      </c>
      <c r="L10" s="14" t="s">
        <v>204</v>
      </c>
      <c r="M10" s="12"/>
      <c r="N10" s="12" t="s">
        <v>978</v>
      </c>
      <c r="O10" s="12" t="s">
        <v>999</v>
      </c>
      <c r="P10" s="13" t="s">
        <v>980</v>
      </c>
      <c r="Q10" s="13">
        <v>0</v>
      </c>
      <c r="R10" s="13"/>
      <c r="S10" s="13">
        <v>0</v>
      </c>
      <c r="T10" s="13">
        <v>3</v>
      </c>
      <c r="U10" s="48">
        <v>1</v>
      </c>
      <c r="V10" s="48">
        <v>0</v>
      </c>
      <c r="W10" s="12"/>
      <c r="X10" s="12"/>
      <c r="Y10" s="12"/>
      <c r="Z10" s="125"/>
      <c r="AA10" s="12"/>
      <c r="AB10" s="12"/>
      <c r="AC10" s="12"/>
      <c r="AD10" s="121"/>
    </row>
    <row r="11" spans="1:32" ht="33.6" customHeight="1">
      <c r="A11" s="45">
        <v>10</v>
      </c>
      <c r="B11" s="12"/>
      <c r="C11" s="12" t="s">
        <v>955</v>
      </c>
      <c r="D11" s="12" t="s">
        <v>75</v>
      </c>
      <c r="E11" s="12"/>
      <c r="F11" s="12"/>
      <c r="G11" s="39" t="s">
        <v>1000</v>
      </c>
      <c r="H11" s="38" t="s">
        <v>1001</v>
      </c>
      <c r="I11" s="55" t="s">
        <v>1002</v>
      </c>
      <c r="J11" s="113" t="s">
        <v>977</v>
      </c>
      <c r="K11" s="14">
        <v>8</v>
      </c>
      <c r="L11" s="14" t="s">
        <v>204</v>
      </c>
      <c r="M11" s="12"/>
      <c r="N11" s="12" t="s">
        <v>978</v>
      </c>
      <c r="O11" s="12" t="s">
        <v>1003</v>
      </c>
      <c r="P11" s="13" t="s">
        <v>980</v>
      </c>
      <c r="Q11" s="13">
        <v>0</v>
      </c>
      <c r="R11" s="13"/>
      <c r="S11" s="13">
        <v>0</v>
      </c>
      <c r="T11" s="13">
        <v>3</v>
      </c>
      <c r="U11" s="48">
        <v>1</v>
      </c>
      <c r="V11" s="48">
        <v>0</v>
      </c>
      <c r="W11" s="12"/>
      <c r="X11" s="12"/>
      <c r="Y11" s="12"/>
      <c r="Z11" s="125"/>
      <c r="AA11" s="12"/>
      <c r="AB11" s="12"/>
      <c r="AC11" s="12"/>
      <c r="AD11" s="121"/>
    </row>
    <row r="12" spans="1:32" ht="33.6">
      <c r="A12" s="11">
        <v>11</v>
      </c>
      <c r="B12" s="12"/>
      <c r="C12" s="12" t="s">
        <v>955</v>
      </c>
      <c r="D12" s="12" t="s">
        <v>75</v>
      </c>
      <c r="E12" s="12"/>
      <c r="F12" s="12"/>
      <c r="G12" s="39" t="s">
        <v>1004</v>
      </c>
      <c r="H12" s="38" t="s">
        <v>1005</v>
      </c>
      <c r="I12" s="55" t="s">
        <v>1006</v>
      </c>
      <c r="J12" s="114"/>
      <c r="K12" s="14">
        <v>8</v>
      </c>
      <c r="L12" s="14" t="s">
        <v>204</v>
      </c>
      <c r="M12" s="12"/>
      <c r="N12" s="12" t="s">
        <v>978</v>
      </c>
      <c r="O12" s="12" t="s">
        <v>1007</v>
      </c>
      <c r="P12" s="13" t="s">
        <v>980</v>
      </c>
      <c r="Q12" s="13">
        <v>0</v>
      </c>
      <c r="R12" s="13"/>
      <c r="S12" s="13">
        <v>0</v>
      </c>
      <c r="T12" s="13">
        <v>3</v>
      </c>
      <c r="U12" s="48">
        <v>1</v>
      </c>
      <c r="V12" s="48">
        <v>0</v>
      </c>
      <c r="W12" s="12"/>
      <c r="X12" s="12"/>
      <c r="Y12" s="12"/>
      <c r="Z12" s="126"/>
      <c r="AA12" s="12"/>
      <c r="AB12" s="12"/>
      <c r="AC12" s="12"/>
      <c r="AD12" s="121"/>
    </row>
    <row r="13" spans="1:32" ht="33.6">
      <c r="A13" s="45">
        <v>12</v>
      </c>
      <c r="B13" s="12"/>
      <c r="C13" s="12" t="s">
        <v>955</v>
      </c>
      <c r="D13" s="12" t="s">
        <v>75</v>
      </c>
      <c r="E13" s="12"/>
      <c r="F13" s="12"/>
      <c r="G13" s="39" t="s">
        <v>1008</v>
      </c>
      <c r="H13" s="38" t="s">
        <v>975</v>
      </c>
      <c r="I13" s="54" t="s">
        <v>976</v>
      </c>
      <c r="J13" s="115" t="s">
        <v>977</v>
      </c>
      <c r="K13" s="14">
        <v>16</v>
      </c>
      <c r="L13" s="14" t="s">
        <v>155</v>
      </c>
      <c r="M13" s="12"/>
      <c r="N13" s="16" t="s">
        <v>959</v>
      </c>
      <c r="O13" s="12" t="s">
        <v>1009</v>
      </c>
      <c r="P13" s="13"/>
      <c r="Q13" s="13">
        <v>0</v>
      </c>
      <c r="R13" s="13" t="s">
        <v>961</v>
      </c>
      <c r="S13" s="13">
        <v>0</v>
      </c>
      <c r="T13" s="13">
        <v>100</v>
      </c>
      <c r="U13" s="13">
        <v>0.1</v>
      </c>
      <c r="V13" s="13">
        <v>0</v>
      </c>
      <c r="W13" s="12"/>
      <c r="X13" s="12"/>
      <c r="Y13" s="12"/>
      <c r="Z13" s="12"/>
      <c r="AA13" s="12"/>
      <c r="AB13" s="12"/>
      <c r="AC13" s="12"/>
      <c r="AD13" s="12"/>
    </row>
    <row r="14" spans="1:32" ht="33.6" customHeight="1">
      <c r="A14" s="11">
        <v>13</v>
      </c>
      <c r="B14" s="12"/>
      <c r="C14" s="12" t="s">
        <v>955</v>
      </c>
      <c r="D14" s="12" t="s">
        <v>75</v>
      </c>
      <c r="E14" s="12"/>
      <c r="F14" s="12"/>
      <c r="G14" s="39" t="s">
        <v>1010</v>
      </c>
      <c r="H14" s="38" t="s">
        <v>984</v>
      </c>
      <c r="I14" s="55" t="s">
        <v>985</v>
      </c>
      <c r="J14" s="115"/>
      <c r="K14" s="14">
        <v>16</v>
      </c>
      <c r="L14" s="14" t="s">
        <v>155</v>
      </c>
      <c r="M14" s="12"/>
      <c r="N14" s="16" t="s">
        <v>959</v>
      </c>
      <c r="O14" s="12" t="s">
        <v>1011</v>
      </c>
      <c r="P14" s="13"/>
      <c r="Q14" s="13">
        <v>0</v>
      </c>
      <c r="R14" s="13" t="s">
        <v>961</v>
      </c>
      <c r="S14" s="13">
        <v>0</v>
      </c>
      <c r="T14" s="13">
        <v>100</v>
      </c>
      <c r="U14" s="13">
        <v>0.1</v>
      </c>
      <c r="V14" s="13">
        <v>0</v>
      </c>
      <c r="W14" s="12"/>
      <c r="X14" s="12"/>
      <c r="Y14" s="12"/>
      <c r="Z14" s="12"/>
      <c r="AA14" s="12"/>
      <c r="AB14" s="12"/>
      <c r="AC14" s="12"/>
      <c r="AD14" s="12"/>
    </row>
    <row r="15" spans="1:32" ht="33.6" customHeight="1">
      <c r="A15" s="45">
        <v>14</v>
      </c>
      <c r="B15" s="12"/>
      <c r="C15" s="12" t="s">
        <v>955</v>
      </c>
      <c r="D15" s="12" t="s">
        <v>75</v>
      </c>
      <c r="E15" s="12"/>
      <c r="F15" s="12"/>
      <c r="G15" s="39" t="s">
        <v>1012</v>
      </c>
      <c r="H15" s="38" t="s">
        <v>988</v>
      </c>
      <c r="I15" s="55" t="s">
        <v>989</v>
      </c>
      <c r="J15" s="115"/>
      <c r="K15" s="14">
        <v>16</v>
      </c>
      <c r="L15" s="14" t="s">
        <v>155</v>
      </c>
      <c r="M15" s="12"/>
      <c r="N15" s="16" t="s">
        <v>959</v>
      </c>
      <c r="O15" s="12" t="s">
        <v>1013</v>
      </c>
      <c r="P15" s="13"/>
      <c r="Q15" s="13">
        <v>0</v>
      </c>
      <c r="R15" s="13" t="s">
        <v>961</v>
      </c>
      <c r="S15" s="13">
        <v>0</v>
      </c>
      <c r="T15" s="13">
        <v>100</v>
      </c>
      <c r="U15" s="13">
        <v>0.1</v>
      </c>
      <c r="V15" s="13">
        <v>0</v>
      </c>
      <c r="W15" s="12"/>
      <c r="X15" s="12"/>
      <c r="Y15" s="12"/>
      <c r="Z15" s="12"/>
      <c r="AA15" s="12"/>
      <c r="AB15" s="12"/>
      <c r="AC15" s="12"/>
      <c r="AD15" s="12"/>
    </row>
    <row r="16" spans="1:32" ht="33.6" customHeight="1">
      <c r="A16" s="11">
        <v>15</v>
      </c>
      <c r="B16" s="12"/>
      <c r="C16" s="12" t="s">
        <v>955</v>
      </c>
      <c r="D16" s="12" t="s">
        <v>75</v>
      </c>
      <c r="E16" s="12"/>
      <c r="F16" s="12"/>
      <c r="G16" s="39" t="s">
        <v>1014</v>
      </c>
      <c r="H16" s="38" t="s">
        <v>992</v>
      </c>
      <c r="I16" s="55" t="s">
        <v>993</v>
      </c>
      <c r="J16" s="115"/>
      <c r="K16" s="14">
        <v>16</v>
      </c>
      <c r="L16" s="14" t="s">
        <v>155</v>
      </c>
      <c r="M16" s="12"/>
      <c r="N16" s="16" t="s">
        <v>959</v>
      </c>
      <c r="O16" s="12" t="s">
        <v>1015</v>
      </c>
      <c r="P16" s="13"/>
      <c r="Q16" s="13">
        <v>0</v>
      </c>
      <c r="R16" s="13" t="s">
        <v>961</v>
      </c>
      <c r="S16" s="13">
        <v>0</v>
      </c>
      <c r="T16" s="13">
        <v>100</v>
      </c>
      <c r="U16" s="13">
        <v>0.1</v>
      </c>
      <c r="V16" s="13">
        <v>0</v>
      </c>
      <c r="W16" s="12"/>
      <c r="X16" s="12"/>
      <c r="Y16" s="12"/>
      <c r="Z16" s="12"/>
      <c r="AA16" s="12"/>
      <c r="AB16" s="12"/>
      <c r="AC16" s="12"/>
      <c r="AD16" s="12"/>
    </row>
    <row r="17" spans="1:30" ht="33.6" customHeight="1">
      <c r="A17" s="45">
        <v>16</v>
      </c>
      <c r="B17" s="12"/>
      <c r="C17" s="12" t="s">
        <v>955</v>
      </c>
      <c r="D17" s="12" t="s">
        <v>75</v>
      </c>
      <c r="E17" s="12"/>
      <c r="F17" s="12"/>
      <c r="G17" s="39" t="s">
        <v>1016</v>
      </c>
      <c r="H17" s="38" t="s">
        <v>996</v>
      </c>
      <c r="I17" s="55" t="s">
        <v>997</v>
      </c>
      <c r="J17" s="58" t="s">
        <v>998</v>
      </c>
      <c r="K17" s="14">
        <v>16</v>
      </c>
      <c r="L17" s="14" t="s">
        <v>155</v>
      </c>
      <c r="M17" s="12"/>
      <c r="N17" s="16" t="s">
        <v>959</v>
      </c>
      <c r="O17" s="12" t="s">
        <v>1017</v>
      </c>
      <c r="P17" s="13"/>
      <c r="Q17" s="13">
        <v>0</v>
      </c>
      <c r="R17" s="13" t="s">
        <v>961</v>
      </c>
      <c r="S17" s="13">
        <v>0</v>
      </c>
      <c r="T17" s="13">
        <v>100</v>
      </c>
      <c r="U17" s="13">
        <v>0.1</v>
      </c>
      <c r="V17" s="13">
        <v>0</v>
      </c>
      <c r="W17" s="12"/>
      <c r="X17" s="12"/>
      <c r="Y17" s="12"/>
      <c r="Z17" s="12"/>
      <c r="AA17" s="12"/>
      <c r="AB17" s="12"/>
      <c r="AC17" s="12"/>
      <c r="AD17" s="12"/>
    </row>
    <row r="18" spans="1:30" ht="33.6" customHeight="1">
      <c r="A18" s="11">
        <v>17</v>
      </c>
      <c r="B18" s="12"/>
      <c r="C18" s="12" t="s">
        <v>955</v>
      </c>
      <c r="D18" s="12" t="s">
        <v>75</v>
      </c>
      <c r="E18" s="12"/>
      <c r="F18" s="12"/>
      <c r="G18" s="39" t="s">
        <v>1018</v>
      </c>
      <c r="H18" s="38" t="s">
        <v>1001</v>
      </c>
      <c r="I18" s="55" t="s">
        <v>1002</v>
      </c>
      <c r="J18" s="113" t="s">
        <v>977</v>
      </c>
      <c r="K18" s="14">
        <v>16</v>
      </c>
      <c r="L18" s="14" t="s">
        <v>155</v>
      </c>
      <c r="M18" s="12"/>
      <c r="N18" s="16" t="s">
        <v>959</v>
      </c>
      <c r="O18" s="12" t="s">
        <v>1019</v>
      </c>
      <c r="P18" s="13"/>
      <c r="Q18" s="13">
        <v>0</v>
      </c>
      <c r="R18" s="13" t="s">
        <v>961</v>
      </c>
      <c r="S18" s="13">
        <v>0</v>
      </c>
      <c r="T18" s="13">
        <v>100</v>
      </c>
      <c r="U18" s="13">
        <v>0.1</v>
      </c>
      <c r="V18" s="13">
        <v>0</v>
      </c>
      <c r="W18" s="12"/>
      <c r="X18" s="12"/>
      <c r="Y18" s="12"/>
      <c r="Z18" s="12"/>
      <c r="AA18" s="12"/>
      <c r="AB18" s="12"/>
      <c r="AC18" s="12"/>
      <c r="AD18" s="12"/>
    </row>
    <row r="19" spans="1:30" ht="33.6" customHeight="1">
      <c r="A19" s="45">
        <v>18</v>
      </c>
      <c r="B19" s="12"/>
      <c r="C19" s="12" t="s">
        <v>955</v>
      </c>
      <c r="D19" s="12" t="s">
        <v>75</v>
      </c>
      <c r="E19" s="12"/>
      <c r="F19" s="12"/>
      <c r="G19" s="39" t="s">
        <v>1020</v>
      </c>
      <c r="H19" s="38" t="s">
        <v>1005</v>
      </c>
      <c r="I19" s="55" t="s">
        <v>1006</v>
      </c>
      <c r="J19" s="114"/>
      <c r="K19" s="14">
        <v>16</v>
      </c>
      <c r="L19" s="14" t="s">
        <v>155</v>
      </c>
      <c r="M19" s="12"/>
      <c r="N19" s="16" t="s">
        <v>959</v>
      </c>
      <c r="O19" s="12" t="s">
        <v>1021</v>
      </c>
      <c r="P19" s="13"/>
      <c r="Q19" s="13">
        <v>0</v>
      </c>
      <c r="R19" s="13" t="s">
        <v>961</v>
      </c>
      <c r="S19" s="13">
        <v>0</v>
      </c>
      <c r="T19" s="13">
        <v>100</v>
      </c>
      <c r="U19" s="13">
        <v>0.1</v>
      </c>
      <c r="V19" s="13">
        <v>0</v>
      </c>
      <c r="W19" s="12"/>
      <c r="X19" s="12"/>
      <c r="Y19" s="12"/>
      <c r="Z19" s="12"/>
      <c r="AA19" s="12"/>
      <c r="AB19" s="12"/>
      <c r="AC19" s="12"/>
      <c r="AD19" s="12"/>
    </row>
    <row r="20" spans="1:30" ht="33.6">
      <c r="A20" s="11">
        <v>19</v>
      </c>
      <c r="B20" s="12"/>
      <c r="C20" s="12" t="s">
        <v>955</v>
      </c>
      <c r="D20" s="12" t="s">
        <v>75</v>
      </c>
      <c r="E20" s="12"/>
      <c r="F20" s="12"/>
      <c r="G20" s="39" t="s">
        <v>1022</v>
      </c>
      <c r="H20" s="38" t="s">
        <v>975</v>
      </c>
      <c r="I20" s="54" t="s">
        <v>976</v>
      </c>
      <c r="J20" s="115" t="s">
        <v>977</v>
      </c>
      <c r="K20" s="14">
        <v>16</v>
      </c>
      <c r="L20" s="14" t="s">
        <v>155</v>
      </c>
      <c r="M20" s="12"/>
      <c r="N20" s="13">
        <v>200</v>
      </c>
      <c r="O20" s="12" t="s">
        <v>1023</v>
      </c>
      <c r="P20" s="13"/>
      <c r="Q20" s="13">
        <v>0</v>
      </c>
      <c r="R20" s="13"/>
      <c r="S20" s="13">
        <v>200</v>
      </c>
      <c r="T20" s="13">
        <v>200</v>
      </c>
      <c r="U20" s="13">
        <v>1</v>
      </c>
      <c r="V20" s="13">
        <v>0</v>
      </c>
      <c r="W20" s="12"/>
      <c r="X20" s="12"/>
      <c r="Y20" s="12"/>
      <c r="Z20" s="12"/>
      <c r="AA20" s="12"/>
      <c r="AB20" s="12"/>
      <c r="AC20" s="12"/>
      <c r="AD20" s="12"/>
    </row>
    <row r="21" spans="1:30" ht="33.6" customHeight="1">
      <c r="A21" s="45">
        <v>20</v>
      </c>
      <c r="B21" s="12"/>
      <c r="C21" s="12" t="s">
        <v>955</v>
      </c>
      <c r="D21" s="12" t="s">
        <v>75</v>
      </c>
      <c r="E21" s="12"/>
      <c r="F21" s="12"/>
      <c r="G21" s="39" t="s">
        <v>1024</v>
      </c>
      <c r="H21" s="38" t="s">
        <v>984</v>
      </c>
      <c r="I21" s="55" t="s">
        <v>985</v>
      </c>
      <c r="J21" s="115"/>
      <c r="K21" s="14">
        <v>16</v>
      </c>
      <c r="L21" s="14" t="s">
        <v>155</v>
      </c>
      <c r="M21" s="12"/>
      <c r="N21" s="13">
        <v>200</v>
      </c>
      <c r="O21" s="12" t="s">
        <v>1025</v>
      </c>
      <c r="P21" s="13"/>
      <c r="Q21" s="13">
        <v>0</v>
      </c>
      <c r="R21" s="13"/>
      <c r="S21" s="13">
        <v>200</v>
      </c>
      <c r="T21" s="13">
        <v>200</v>
      </c>
      <c r="U21" s="13">
        <v>1</v>
      </c>
      <c r="V21" s="13">
        <v>0</v>
      </c>
      <c r="W21" s="12"/>
      <c r="X21" s="12"/>
      <c r="Y21" s="12"/>
      <c r="Z21" s="12"/>
      <c r="AA21" s="12"/>
      <c r="AB21" s="12"/>
      <c r="AC21" s="12"/>
      <c r="AD21" s="12"/>
    </row>
    <row r="22" spans="1:30" ht="33.6" customHeight="1">
      <c r="A22" s="11">
        <v>21</v>
      </c>
      <c r="B22" s="12"/>
      <c r="C22" s="12" t="s">
        <v>955</v>
      </c>
      <c r="D22" s="12" t="s">
        <v>75</v>
      </c>
      <c r="E22" s="12"/>
      <c r="F22" s="12"/>
      <c r="G22" s="39" t="s">
        <v>1026</v>
      </c>
      <c r="H22" s="38" t="s">
        <v>988</v>
      </c>
      <c r="I22" s="55" t="s">
        <v>989</v>
      </c>
      <c r="J22" s="115"/>
      <c r="K22" s="14">
        <v>16</v>
      </c>
      <c r="L22" s="14" t="s">
        <v>155</v>
      </c>
      <c r="M22" s="12"/>
      <c r="N22" s="13">
        <v>200</v>
      </c>
      <c r="O22" s="12" t="s">
        <v>1027</v>
      </c>
      <c r="P22" s="13"/>
      <c r="Q22" s="13">
        <v>0</v>
      </c>
      <c r="R22" s="13"/>
      <c r="S22" s="13">
        <v>200</v>
      </c>
      <c r="T22" s="13">
        <v>200</v>
      </c>
      <c r="U22" s="13">
        <v>1</v>
      </c>
      <c r="V22" s="13">
        <v>0</v>
      </c>
      <c r="W22" s="12"/>
      <c r="X22" s="12"/>
      <c r="Y22" s="12"/>
      <c r="Z22" s="12"/>
      <c r="AA22" s="12"/>
      <c r="AB22" s="12"/>
      <c r="AC22" s="12"/>
      <c r="AD22" s="12"/>
    </row>
    <row r="23" spans="1:30" ht="33.6" customHeight="1">
      <c r="A23" s="45">
        <v>22</v>
      </c>
      <c r="B23" s="12"/>
      <c r="C23" s="12" t="s">
        <v>955</v>
      </c>
      <c r="D23" s="12" t="s">
        <v>75</v>
      </c>
      <c r="E23" s="12"/>
      <c r="F23" s="12"/>
      <c r="G23" s="39" t="s">
        <v>1028</v>
      </c>
      <c r="H23" s="38" t="s">
        <v>992</v>
      </c>
      <c r="I23" s="55" t="s">
        <v>993</v>
      </c>
      <c r="J23" s="115"/>
      <c r="K23" s="14">
        <v>16</v>
      </c>
      <c r="L23" s="14" t="s">
        <v>155</v>
      </c>
      <c r="M23" s="12"/>
      <c r="N23" s="13">
        <v>200</v>
      </c>
      <c r="O23" s="12" t="s">
        <v>1029</v>
      </c>
      <c r="P23" s="13"/>
      <c r="Q23" s="13">
        <v>0</v>
      </c>
      <c r="R23" s="13"/>
      <c r="S23" s="13">
        <v>200</v>
      </c>
      <c r="T23" s="13">
        <v>200</v>
      </c>
      <c r="U23" s="13">
        <v>1</v>
      </c>
      <c r="V23" s="13">
        <v>0</v>
      </c>
      <c r="W23" s="12"/>
      <c r="X23" s="12"/>
      <c r="Y23" s="12"/>
      <c r="Z23" s="12"/>
      <c r="AA23" s="12"/>
      <c r="AB23" s="12"/>
      <c r="AC23" s="12"/>
      <c r="AD23" s="12"/>
    </row>
    <row r="24" spans="1:30" ht="33.6" customHeight="1">
      <c r="A24" s="11">
        <v>23</v>
      </c>
      <c r="B24" s="12"/>
      <c r="C24" s="12" t="s">
        <v>955</v>
      </c>
      <c r="D24" s="12" t="s">
        <v>75</v>
      </c>
      <c r="E24" s="12"/>
      <c r="F24" s="12"/>
      <c r="G24" s="39" t="s">
        <v>1030</v>
      </c>
      <c r="H24" s="38" t="s">
        <v>996</v>
      </c>
      <c r="I24" s="55" t="s">
        <v>997</v>
      </c>
      <c r="J24" s="58" t="s">
        <v>998</v>
      </c>
      <c r="K24" s="14">
        <v>16</v>
      </c>
      <c r="L24" s="14" t="s">
        <v>155</v>
      </c>
      <c r="M24" s="12"/>
      <c r="N24" s="13">
        <v>200</v>
      </c>
      <c r="O24" s="12" t="s">
        <v>1031</v>
      </c>
      <c r="P24" s="13"/>
      <c r="Q24" s="13">
        <v>0</v>
      </c>
      <c r="R24" s="13"/>
      <c r="S24" s="13">
        <v>200</v>
      </c>
      <c r="T24" s="13">
        <v>200</v>
      </c>
      <c r="U24" s="13">
        <v>1</v>
      </c>
      <c r="V24" s="13">
        <v>0</v>
      </c>
      <c r="W24" s="12"/>
      <c r="X24" s="12"/>
      <c r="Y24" s="12"/>
      <c r="Z24" s="12"/>
      <c r="AA24" s="12"/>
      <c r="AB24" s="12"/>
      <c r="AC24" s="12"/>
      <c r="AD24" s="12"/>
    </row>
    <row r="25" spans="1:30" ht="33.6" customHeight="1">
      <c r="A25" s="45">
        <v>24</v>
      </c>
      <c r="B25" s="12"/>
      <c r="C25" s="12" t="s">
        <v>955</v>
      </c>
      <c r="D25" s="12" t="s">
        <v>75</v>
      </c>
      <c r="E25" s="12"/>
      <c r="F25" s="12"/>
      <c r="G25" s="39" t="s">
        <v>1032</v>
      </c>
      <c r="H25" s="38" t="s">
        <v>1001</v>
      </c>
      <c r="I25" s="55" t="s">
        <v>1002</v>
      </c>
      <c r="J25" s="113" t="s">
        <v>977</v>
      </c>
      <c r="K25" s="14">
        <v>16</v>
      </c>
      <c r="L25" s="14" t="s">
        <v>155</v>
      </c>
      <c r="M25" s="12"/>
      <c r="N25" s="13">
        <v>200</v>
      </c>
      <c r="O25" s="12" t="s">
        <v>1033</v>
      </c>
      <c r="P25" s="13"/>
      <c r="Q25" s="13">
        <v>0</v>
      </c>
      <c r="R25" s="13"/>
      <c r="S25" s="13">
        <v>200</v>
      </c>
      <c r="T25" s="13">
        <v>200</v>
      </c>
      <c r="U25" s="13">
        <v>1</v>
      </c>
      <c r="V25" s="13">
        <v>0</v>
      </c>
      <c r="W25" s="12"/>
      <c r="X25" s="12"/>
      <c r="Y25" s="12"/>
      <c r="Z25" s="12"/>
      <c r="AA25" s="12"/>
      <c r="AB25" s="12"/>
      <c r="AC25" s="12"/>
      <c r="AD25" s="12"/>
    </row>
    <row r="26" spans="1:30" ht="33.6" customHeight="1">
      <c r="A26" s="11">
        <v>25</v>
      </c>
      <c r="B26" s="12"/>
      <c r="C26" s="12" t="s">
        <v>955</v>
      </c>
      <c r="D26" s="12" t="s">
        <v>75</v>
      </c>
      <c r="E26" s="12"/>
      <c r="F26" s="12"/>
      <c r="G26" s="39" t="s">
        <v>1034</v>
      </c>
      <c r="H26" s="38" t="s">
        <v>1005</v>
      </c>
      <c r="I26" s="55" t="s">
        <v>1006</v>
      </c>
      <c r="J26" s="114"/>
      <c r="K26" s="14">
        <v>16</v>
      </c>
      <c r="L26" s="14" t="s">
        <v>155</v>
      </c>
      <c r="M26" s="12"/>
      <c r="N26" s="13">
        <v>200</v>
      </c>
      <c r="O26" s="12" t="s">
        <v>1035</v>
      </c>
      <c r="P26" s="13"/>
      <c r="Q26" s="13">
        <v>0</v>
      </c>
      <c r="R26" s="13"/>
      <c r="S26" s="13">
        <v>200</v>
      </c>
      <c r="T26" s="13">
        <v>200</v>
      </c>
      <c r="U26" s="13">
        <v>1</v>
      </c>
      <c r="V26" s="13">
        <v>0</v>
      </c>
      <c r="W26" s="12"/>
      <c r="X26" s="12"/>
      <c r="Y26" s="12"/>
      <c r="Z26" s="12"/>
      <c r="AA26" s="12"/>
      <c r="AB26" s="12"/>
      <c r="AC26" s="12"/>
      <c r="AD26" s="12"/>
    </row>
    <row r="27" spans="1:30" ht="16.8">
      <c r="A27" s="45">
        <v>26</v>
      </c>
      <c r="B27" s="12"/>
      <c r="C27" s="12" t="s">
        <v>955</v>
      </c>
      <c r="D27" s="12" t="s">
        <v>148</v>
      </c>
      <c r="E27" s="12"/>
      <c r="F27" s="12"/>
      <c r="G27" s="39" t="s">
        <v>1036</v>
      </c>
      <c r="H27" s="12" t="s">
        <v>1037</v>
      </c>
      <c r="I27" s="56" t="s">
        <v>1038</v>
      </c>
      <c r="J27" s="58" t="e">
        <v>#N/A</v>
      </c>
      <c r="K27" s="14">
        <v>16</v>
      </c>
      <c r="L27" s="14" t="s">
        <v>155</v>
      </c>
      <c r="M27" s="12"/>
      <c r="N27" s="16" t="s">
        <v>1039</v>
      </c>
      <c r="O27" s="12" t="s">
        <v>1040</v>
      </c>
      <c r="P27" s="13"/>
      <c r="Q27" s="13">
        <v>0</v>
      </c>
      <c r="R27" s="13"/>
      <c r="S27" s="13">
        <v>0</v>
      </c>
      <c r="T27" s="13">
        <v>5000</v>
      </c>
      <c r="U27" s="13">
        <v>1</v>
      </c>
      <c r="V27" s="13">
        <v>0</v>
      </c>
      <c r="W27" s="12"/>
      <c r="X27" s="12" t="s">
        <v>1041</v>
      </c>
      <c r="Y27" s="12"/>
      <c r="Z27" s="12" t="s">
        <v>1042</v>
      </c>
      <c r="AA27" s="12"/>
      <c r="AB27" s="12"/>
      <c r="AC27" s="12"/>
      <c r="AD27" s="12"/>
    </row>
    <row r="28" spans="1:30" ht="16.8">
      <c r="A28" s="11">
        <v>27</v>
      </c>
      <c r="B28" s="12"/>
      <c r="C28" s="12" t="s">
        <v>955</v>
      </c>
      <c r="D28" s="12" t="s">
        <v>148</v>
      </c>
      <c r="E28" s="12"/>
      <c r="F28" s="12"/>
      <c r="G28" s="39" t="s">
        <v>1043</v>
      </c>
      <c r="H28" s="12" t="s">
        <v>1044</v>
      </c>
      <c r="I28" s="56" t="s">
        <v>1045</v>
      </c>
      <c r="J28" s="58" t="e">
        <v>#N/A</v>
      </c>
      <c r="K28" s="14">
        <v>16</v>
      </c>
      <c r="L28" s="14" t="s">
        <v>155</v>
      </c>
      <c r="M28" s="12"/>
      <c r="N28" s="16" t="s">
        <v>1039</v>
      </c>
      <c r="O28" s="12" t="s">
        <v>1046</v>
      </c>
      <c r="P28" s="13"/>
      <c r="Q28" s="13">
        <v>0</v>
      </c>
      <c r="R28" s="13"/>
      <c r="S28" s="13">
        <v>0</v>
      </c>
      <c r="T28" s="13">
        <v>5000</v>
      </c>
      <c r="U28" s="13">
        <v>1</v>
      </c>
      <c r="V28" s="13">
        <v>0</v>
      </c>
      <c r="W28" s="12"/>
      <c r="X28" s="12" t="s">
        <v>1041</v>
      </c>
      <c r="Y28" s="12"/>
      <c r="Z28" s="12" t="s">
        <v>1042</v>
      </c>
      <c r="AA28" s="12"/>
      <c r="AB28" s="12"/>
      <c r="AC28" s="12"/>
      <c r="AD28" s="12"/>
    </row>
    <row r="29" spans="1:30" ht="16.8">
      <c r="A29" s="45">
        <v>28</v>
      </c>
      <c r="B29" s="12"/>
      <c r="C29" s="12" t="s">
        <v>955</v>
      </c>
      <c r="D29" s="12" t="s">
        <v>148</v>
      </c>
      <c r="E29" s="12"/>
      <c r="F29" s="12"/>
      <c r="G29" s="39" t="s">
        <v>1047</v>
      </c>
      <c r="H29" s="12" t="s">
        <v>1048</v>
      </c>
      <c r="I29" s="56" t="s">
        <v>1049</v>
      </c>
      <c r="J29" s="58" t="e">
        <v>#N/A</v>
      </c>
      <c r="K29" s="14">
        <v>16</v>
      </c>
      <c r="L29" s="14" t="s">
        <v>155</v>
      </c>
      <c r="M29" s="12"/>
      <c r="N29" s="16" t="s">
        <v>1039</v>
      </c>
      <c r="O29" s="12" t="s">
        <v>1050</v>
      </c>
      <c r="P29" s="13"/>
      <c r="Q29" s="13">
        <v>0</v>
      </c>
      <c r="R29" s="13"/>
      <c r="S29" s="13">
        <v>0</v>
      </c>
      <c r="T29" s="13">
        <v>5000</v>
      </c>
      <c r="U29" s="13">
        <v>1</v>
      </c>
      <c r="V29" s="13">
        <v>0</v>
      </c>
      <c r="W29" s="12"/>
      <c r="X29" s="12" t="s">
        <v>1041</v>
      </c>
      <c r="Y29" s="12"/>
      <c r="Z29" s="12" t="s">
        <v>1042</v>
      </c>
      <c r="AA29" s="12"/>
      <c r="AB29" s="12"/>
      <c r="AC29" s="12"/>
      <c r="AD29" s="12"/>
    </row>
    <row r="30" spans="1:30" ht="16.8">
      <c r="A30" s="11">
        <v>29</v>
      </c>
      <c r="B30" s="12"/>
      <c r="C30" s="12" t="s">
        <v>955</v>
      </c>
      <c r="D30" s="12" t="s">
        <v>148</v>
      </c>
      <c r="E30" s="12"/>
      <c r="F30" s="12"/>
      <c r="G30" s="39" t="s">
        <v>1051</v>
      </c>
      <c r="H30" s="12" t="s">
        <v>1052</v>
      </c>
      <c r="I30" s="56" t="s">
        <v>1053</v>
      </c>
      <c r="J30" s="58" t="e">
        <v>#N/A</v>
      </c>
      <c r="K30" s="14">
        <v>16</v>
      </c>
      <c r="L30" s="14" t="s">
        <v>155</v>
      </c>
      <c r="M30" s="12"/>
      <c r="N30" s="16" t="s">
        <v>1039</v>
      </c>
      <c r="O30" s="12" t="s">
        <v>1054</v>
      </c>
      <c r="P30" s="13"/>
      <c r="Q30" s="13">
        <v>0</v>
      </c>
      <c r="R30" s="13"/>
      <c r="S30" s="13">
        <v>0</v>
      </c>
      <c r="T30" s="13">
        <v>5000</v>
      </c>
      <c r="U30" s="13">
        <v>1</v>
      </c>
      <c r="V30" s="13">
        <v>0</v>
      </c>
      <c r="W30" s="12"/>
      <c r="X30" s="12" t="s">
        <v>1041</v>
      </c>
      <c r="Y30" s="12"/>
      <c r="Z30" s="12" t="s">
        <v>1042</v>
      </c>
      <c r="AA30" s="12"/>
      <c r="AB30" s="12"/>
      <c r="AC30" s="12"/>
      <c r="AD30" s="12"/>
    </row>
    <row r="31" spans="1:30" ht="16.8">
      <c r="A31" s="45">
        <v>30</v>
      </c>
      <c r="B31" s="12"/>
      <c r="C31" s="12" t="s">
        <v>955</v>
      </c>
      <c r="D31" s="12" t="s">
        <v>148</v>
      </c>
      <c r="E31" s="12"/>
      <c r="F31" s="12"/>
      <c r="G31" s="39" t="s">
        <v>1055</v>
      </c>
      <c r="H31" s="12" t="s">
        <v>1056</v>
      </c>
      <c r="I31" s="56" t="s">
        <v>1057</v>
      </c>
      <c r="J31" s="58" t="e">
        <v>#N/A</v>
      </c>
      <c r="K31" s="14">
        <v>16</v>
      </c>
      <c r="L31" s="14" t="s">
        <v>155</v>
      </c>
      <c r="M31" s="12"/>
      <c r="N31" s="16" t="s">
        <v>1039</v>
      </c>
      <c r="O31" s="12" t="s">
        <v>1058</v>
      </c>
      <c r="P31" s="13"/>
      <c r="Q31" s="13">
        <v>0</v>
      </c>
      <c r="R31" s="13"/>
      <c r="S31" s="13">
        <v>0</v>
      </c>
      <c r="T31" s="13">
        <v>5000</v>
      </c>
      <c r="U31" s="13">
        <v>1</v>
      </c>
      <c r="V31" s="13">
        <v>0</v>
      </c>
      <c r="W31" s="12"/>
      <c r="X31" s="12" t="s">
        <v>1041</v>
      </c>
      <c r="Y31" s="12"/>
      <c r="Z31" s="12" t="s">
        <v>1042</v>
      </c>
      <c r="AA31" s="12"/>
      <c r="AB31" s="12"/>
      <c r="AC31" s="12"/>
      <c r="AD31" s="12"/>
    </row>
    <row r="32" spans="1:30" ht="16.8">
      <c r="A32" s="11">
        <v>31</v>
      </c>
      <c r="B32" s="12"/>
      <c r="C32" s="12" t="s">
        <v>955</v>
      </c>
      <c r="D32" s="12" t="s">
        <v>148</v>
      </c>
      <c r="E32" s="12"/>
      <c r="F32" s="12"/>
      <c r="G32" s="39" t="s">
        <v>1059</v>
      </c>
      <c r="H32" s="12" t="s">
        <v>1060</v>
      </c>
      <c r="I32" s="56" t="s">
        <v>1061</v>
      </c>
      <c r="J32" s="58" t="e">
        <v>#N/A</v>
      </c>
      <c r="K32" s="14">
        <v>16</v>
      </c>
      <c r="L32" s="14" t="s">
        <v>155</v>
      </c>
      <c r="M32" s="12"/>
      <c r="N32" s="16" t="s">
        <v>1039</v>
      </c>
      <c r="O32" s="12" t="s">
        <v>1062</v>
      </c>
      <c r="P32" s="13"/>
      <c r="Q32" s="13">
        <v>0</v>
      </c>
      <c r="R32" s="13"/>
      <c r="S32" s="13">
        <v>0</v>
      </c>
      <c r="T32" s="13">
        <v>5000</v>
      </c>
      <c r="U32" s="13">
        <v>1</v>
      </c>
      <c r="V32" s="13">
        <v>0</v>
      </c>
      <c r="W32" s="12"/>
      <c r="X32" s="12" t="s">
        <v>1041</v>
      </c>
      <c r="Y32" s="12"/>
      <c r="Z32" s="12" t="s">
        <v>1042</v>
      </c>
      <c r="AA32" s="12"/>
      <c r="AB32" s="12"/>
      <c r="AC32" s="12"/>
      <c r="AD32" s="12"/>
    </row>
    <row r="33" spans="1:30" ht="16.8">
      <c r="A33" s="45">
        <v>32</v>
      </c>
      <c r="B33" s="12"/>
      <c r="C33" s="12" t="s">
        <v>955</v>
      </c>
      <c r="D33" s="12" t="s">
        <v>148</v>
      </c>
      <c r="E33" s="12"/>
      <c r="F33" s="12"/>
      <c r="G33" s="39" t="s">
        <v>1063</v>
      </c>
      <c r="H33" s="12" t="s">
        <v>1064</v>
      </c>
      <c r="I33" s="56" t="s">
        <v>1065</v>
      </c>
      <c r="J33" s="58" t="e">
        <v>#N/A</v>
      </c>
      <c r="K33" s="14">
        <v>16</v>
      </c>
      <c r="L33" s="14" t="s">
        <v>155</v>
      </c>
      <c r="M33" s="12"/>
      <c r="N33" s="16" t="s">
        <v>1039</v>
      </c>
      <c r="O33" s="12" t="s">
        <v>1066</v>
      </c>
      <c r="P33" s="13"/>
      <c r="Q33" s="13">
        <v>0</v>
      </c>
      <c r="R33" s="13"/>
      <c r="S33" s="13">
        <v>0</v>
      </c>
      <c r="T33" s="13">
        <v>5000</v>
      </c>
      <c r="U33" s="13">
        <v>1</v>
      </c>
      <c r="V33" s="13">
        <v>0</v>
      </c>
      <c r="W33" s="12"/>
      <c r="X33" s="12" t="s">
        <v>1041</v>
      </c>
      <c r="Y33" s="12"/>
      <c r="Z33" s="12" t="s">
        <v>1042</v>
      </c>
      <c r="AA33" s="12"/>
      <c r="AB33" s="12"/>
      <c r="AC33" s="12"/>
      <c r="AD33" s="12"/>
    </row>
    <row r="34" spans="1:30" ht="33.6" customHeight="1">
      <c r="A34" s="11">
        <v>33</v>
      </c>
      <c r="B34" s="12"/>
      <c r="C34" s="12" t="s">
        <v>955</v>
      </c>
      <c r="D34" s="12" t="s">
        <v>148</v>
      </c>
      <c r="E34" s="12"/>
      <c r="F34" s="12"/>
      <c r="G34" s="39" t="s">
        <v>1067</v>
      </c>
      <c r="H34" s="38" t="s">
        <v>975</v>
      </c>
      <c r="I34" s="54" t="s">
        <v>976</v>
      </c>
      <c r="J34" s="115" t="s">
        <v>977</v>
      </c>
      <c r="K34" s="13">
        <v>8</v>
      </c>
      <c r="L34" s="14" t="s">
        <v>204</v>
      </c>
      <c r="M34" s="12"/>
      <c r="N34" s="12" t="s">
        <v>966</v>
      </c>
      <c r="O34" s="12" t="s">
        <v>1068</v>
      </c>
      <c r="P34" s="13"/>
      <c r="Q34" s="13">
        <v>0</v>
      </c>
      <c r="R34" s="12"/>
      <c r="S34" s="12"/>
      <c r="T34" s="12"/>
      <c r="U34" s="13"/>
      <c r="V34" s="13"/>
      <c r="W34" s="12"/>
      <c r="X34" s="12"/>
      <c r="Y34" s="12"/>
      <c r="Z34" s="118" t="s">
        <v>1069</v>
      </c>
      <c r="AA34" s="12"/>
      <c r="AB34" s="12"/>
      <c r="AC34" s="12"/>
      <c r="AD34" s="12"/>
    </row>
    <row r="35" spans="1:30" ht="33.6" customHeight="1">
      <c r="A35" s="45">
        <v>34</v>
      </c>
      <c r="B35" s="12"/>
      <c r="C35" s="12" t="s">
        <v>955</v>
      </c>
      <c r="D35" s="12" t="s">
        <v>148</v>
      </c>
      <c r="E35" s="12"/>
      <c r="F35" s="12"/>
      <c r="G35" s="39" t="s">
        <v>1070</v>
      </c>
      <c r="H35" s="38" t="s">
        <v>984</v>
      </c>
      <c r="I35" s="55" t="s">
        <v>985</v>
      </c>
      <c r="J35" s="115"/>
      <c r="K35" s="13">
        <v>8</v>
      </c>
      <c r="L35" s="14" t="s">
        <v>204</v>
      </c>
      <c r="M35" s="12"/>
      <c r="N35" s="12" t="s">
        <v>966</v>
      </c>
      <c r="O35" s="12" t="s">
        <v>1071</v>
      </c>
      <c r="P35" s="13"/>
      <c r="Q35" s="13">
        <v>0</v>
      </c>
      <c r="R35" s="12"/>
      <c r="S35" s="12"/>
      <c r="T35" s="12"/>
      <c r="U35" s="13"/>
      <c r="V35" s="13"/>
      <c r="W35" s="12"/>
      <c r="X35" s="12"/>
      <c r="Y35" s="12"/>
      <c r="Z35" s="119"/>
      <c r="AA35" s="12"/>
      <c r="AB35" s="12"/>
      <c r="AC35" s="12"/>
      <c r="AD35" s="12"/>
    </row>
    <row r="36" spans="1:30" ht="33.6" customHeight="1">
      <c r="A36" s="11">
        <v>35</v>
      </c>
      <c r="B36" s="12"/>
      <c r="C36" s="12" t="s">
        <v>955</v>
      </c>
      <c r="D36" s="12" t="s">
        <v>148</v>
      </c>
      <c r="E36" s="12"/>
      <c r="F36" s="12"/>
      <c r="G36" s="39" t="s">
        <v>1072</v>
      </c>
      <c r="H36" s="38" t="s">
        <v>988</v>
      </c>
      <c r="I36" s="55" t="s">
        <v>989</v>
      </c>
      <c r="J36" s="115"/>
      <c r="K36" s="13">
        <v>8</v>
      </c>
      <c r="L36" s="14" t="s">
        <v>204</v>
      </c>
      <c r="M36" s="12"/>
      <c r="N36" s="12" t="s">
        <v>966</v>
      </c>
      <c r="O36" s="12" t="s">
        <v>1073</v>
      </c>
      <c r="P36" s="13"/>
      <c r="Q36" s="13">
        <v>0</v>
      </c>
      <c r="R36" s="12"/>
      <c r="S36" s="12"/>
      <c r="T36" s="12"/>
      <c r="U36" s="13"/>
      <c r="V36" s="13"/>
      <c r="W36" s="12"/>
      <c r="X36" s="12"/>
      <c r="Y36" s="12"/>
      <c r="Z36" s="119"/>
      <c r="AA36" s="12"/>
      <c r="AB36" s="12"/>
      <c r="AC36" s="12"/>
      <c r="AD36" s="12"/>
    </row>
    <row r="37" spans="1:30" ht="33.6" customHeight="1">
      <c r="A37" s="45">
        <v>36</v>
      </c>
      <c r="B37" s="12"/>
      <c r="C37" s="12" t="s">
        <v>955</v>
      </c>
      <c r="D37" s="12" t="s">
        <v>148</v>
      </c>
      <c r="E37" s="12"/>
      <c r="F37" s="12"/>
      <c r="G37" s="39" t="s">
        <v>1074</v>
      </c>
      <c r="H37" s="38" t="s">
        <v>992</v>
      </c>
      <c r="I37" s="55" t="s">
        <v>993</v>
      </c>
      <c r="J37" s="115"/>
      <c r="K37" s="13">
        <v>8</v>
      </c>
      <c r="L37" s="14" t="s">
        <v>204</v>
      </c>
      <c r="M37" s="12"/>
      <c r="N37" s="12" t="s">
        <v>966</v>
      </c>
      <c r="O37" s="12" t="s">
        <v>1075</v>
      </c>
      <c r="P37" s="13"/>
      <c r="Q37" s="13">
        <v>0</v>
      </c>
      <c r="R37" s="12"/>
      <c r="S37" s="12"/>
      <c r="T37" s="12"/>
      <c r="U37" s="13"/>
      <c r="V37" s="13"/>
      <c r="W37" s="12"/>
      <c r="X37" s="12"/>
      <c r="Y37" s="12"/>
      <c r="Z37" s="119"/>
      <c r="AA37" s="12"/>
      <c r="AB37" s="12"/>
      <c r="AC37" s="12"/>
      <c r="AD37" s="12"/>
    </row>
    <row r="38" spans="1:30" ht="33.6" customHeight="1">
      <c r="A38" s="11">
        <v>37</v>
      </c>
      <c r="B38" s="12"/>
      <c r="C38" s="12" t="s">
        <v>955</v>
      </c>
      <c r="D38" s="12" t="s">
        <v>148</v>
      </c>
      <c r="E38" s="12"/>
      <c r="F38" s="12"/>
      <c r="G38" s="39" t="s">
        <v>1076</v>
      </c>
      <c r="H38" s="38" t="s">
        <v>996</v>
      </c>
      <c r="I38" s="55" t="s">
        <v>997</v>
      </c>
      <c r="J38" s="58" t="s">
        <v>998</v>
      </c>
      <c r="K38" s="13">
        <v>8</v>
      </c>
      <c r="L38" s="14" t="s">
        <v>204</v>
      </c>
      <c r="M38" s="12"/>
      <c r="N38" s="12" t="s">
        <v>966</v>
      </c>
      <c r="O38" s="12" t="s">
        <v>1077</v>
      </c>
      <c r="P38" s="13"/>
      <c r="Q38" s="13">
        <v>0</v>
      </c>
      <c r="R38" s="12"/>
      <c r="S38" s="12"/>
      <c r="T38" s="12"/>
      <c r="U38" s="13"/>
      <c r="V38" s="13"/>
      <c r="W38" s="12"/>
      <c r="X38" s="12"/>
      <c r="Y38" s="12"/>
      <c r="Z38" s="119"/>
      <c r="AA38" s="12"/>
      <c r="AB38" s="12"/>
      <c r="AC38" s="12"/>
      <c r="AD38" s="12"/>
    </row>
    <row r="39" spans="1:30" ht="33.6" customHeight="1">
      <c r="A39" s="45">
        <v>38</v>
      </c>
      <c r="B39" s="12"/>
      <c r="C39" s="12" t="s">
        <v>955</v>
      </c>
      <c r="D39" s="12" t="s">
        <v>148</v>
      </c>
      <c r="E39" s="12"/>
      <c r="F39" s="12"/>
      <c r="G39" s="39" t="s">
        <v>1078</v>
      </c>
      <c r="H39" s="38" t="s">
        <v>1001</v>
      </c>
      <c r="I39" s="55" t="s">
        <v>1002</v>
      </c>
      <c r="J39" s="113" t="s">
        <v>977</v>
      </c>
      <c r="K39" s="13">
        <v>8</v>
      </c>
      <c r="L39" s="14" t="s">
        <v>204</v>
      </c>
      <c r="M39" s="12"/>
      <c r="N39" s="12" t="s">
        <v>966</v>
      </c>
      <c r="O39" s="12" t="s">
        <v>1079</v>
      </c>
      <c r="P39" s="13"/>
      <c r="Q39" s="13">
        <v>0</v>
      </c>
      <c r="R39" s="12"/>
      <c r="S39" s="12"/>
      <c r="T39" s="12"/>
      <c r="U39" s="13"/>
      <c r="V39" s="13"/>
      <c r="W39" s="12"/>
      <c r="X39" s="12"/>
      <c r="Y39" s="12"/>
      <c r="Z39" s="119"/>
      <c r="AA39" s="12"/>
      <c r="AB39" s="12"/>
      <c r="AC39" s="12"/>
      <c r="AD39" s="12"/>
    </row>
    <row r="40" spans="1:30" ht="33.6" customHeight="1">
      <c r="A40" s="11">
        <v>39</v>
      </c>
      <c r="B40" s="12"/>
      <c r="C40" s="12" t="s">
        <v>955</v>
      </c>
      <c r="D40" s="12" t="s">
        <v>148</v>
      </c>
      <c r="E40" s="12"/>
      <c r="F40" s="12"/>
      <c r="G40" s="39" t="s">
        <v>1080</v>
      </c>
      <c r="H40" s="38" t="s">
        <v>1005</v>
      </c>
      <c r="I40" s="55" t="s">
        <v>1006</v>
      </c>
      <c r="J40" s="114"/>
      <c r="K40" s="13">
        <v>8</v>
      </c>
      <c r="L40" s="14" t="s">
        <v>204</v>
      </c>
      <c r="M40" s="12"/>
      <c r="N40" s="12" t="s">
        <v>966</v>
      </c>
      <c r="O40" s="12" t="s">
        <v>1081</v>
      </c>
      <c r="P40" s="13"/>
      <c r="Q40" s="13">
        <v>0</v>
      </c>
      <c r="R40" s="12"/>
      <c r="S40" s="12"/>
      <c r="T40" s="12"/>
      <c r="U40" s="13"/>
      <c r="V40" s="13"/>
      <c r="W40" s="12"/>
      <c r="X40" s="12"/>
      <c r="Y40" s="12"/>
      <c r="Z40" s="120"/>
      <c r="AA40" s="12"/>
      <c r="AB40" s="12"/>
      <c r="AC40" s="12"/>
      <c r="AD40" s="12"/>
    </row>
    <row r="41" spans="1:30" ht="16.8">
      <c r="A41" s="45">
        <v>40</v>
      </c>
      <c r="B41" s="12"/>
      <c r="C41" s="12" t="s">
        <v>955</v>
      </c>
      <c r="D41" s="12" t="s">
        <v>148</v>
      </c>
      <c r="E41" s="12"/>
      <c r="F41" s="12"/>
      <c r="G41" s="39" t="s">
        <v>1082</v>
      </c>
      <c r="H41" s="12" t="s">
        <v>1083</v>
      </c>
      <c r="I41" s="56" t="s">
        <v>1084</v>
      </c>
      <c r="J41" s="58" t="e">
        <v>#N/A</v>
      </c>
      <c r="K41" s="13">
        <v>16</v>
      </c>
      <c r="L41" s="14" t="s">
        <v>155</v>
      </c>
      <c r="M41" s="12"/>
      <c r="N41" s="16" t="s">
        <v>1039</v>
      </c>
      <c r="O41" s="12" t="s">
        <v>1085</v>
      </c>
      <c r="P41" s="13"/>
      <c r="Q41" s="13">
        <v>0</v>
      </c>
      <c r="R41" s="13"/>
      <c r="S41" s="13">
        <v>0</v>
      </c>
      <c r="T41" s="13">
        <v>5000</v>
      </c>
      <c r="U41" s="13">
        <v>1</v>
      </c>
      <c r="V41" s="13">
        <v>0</v>
      </c>
      <c r="W41" s="12"/>
      <c r="X41" s="12" t="s">
        <v>1041</v>
      </c>
      <c r="Y41" s="12"/>
      <c r="Z41" s="12" t="s">
        <v>1042</v>
      </c>
      <c r="AA41" s="12"/>
      <c r="AB41" s="12"/>
      <c r="AC41" s="12"/>
      <c r="AD41" s="12"/>
    </row>
    <row r="42" spans="1:30" ht="16.8">
      <c r="A42" s="11">
        <v>41</v>
      </c>
      <c r="B42" s="12"/>
      <c r="C42" s="12" t="s">
        <v>955</v>
      </c>
      <c r="D42" s="12" t="s">
        <v>148</v>
      </c>
      <c r="E42" s="12"/>
      <c r="F42" s="12"/>
      <c r="G42" s="39" t="s">
        <v>1086</v>
      </c>
      <c r="H42" s="12" t="s">
        <v>1087</v>
      </c>
      <c r="I42" s="56" t="s">
        <v>1088</v>
      </c>
      <c r="J42" s="58" t="e">
        <v>#N/A</v>
      </c>
      <c r="K42" s="13">
        <v>16</v>
      </c>
      <c r="L42" s="14" t="s">
        <v>155</v>
      </c>
      <c r="M42" s="12"/>
      <c r="N42" s="16" t="s">
        <v>1039</v>
      </c>
      <c r="O42" s="12" t="s">
        <v>1089</v>
      </c>
      <c r="P42" s="13"/>
      <c r="Q42" s="13">
        <v>0</v>
      </c>
      <c r="R42" s="13"/>
      <c r="S42" s="13">
        <v>0</v>
      </c>
      <c r="T42" s="13">
        <v>5000</v>
      </c>
      <c r="U42" s="13">
        <v>1</v>
      </c>
      <c r="V42" s="13">
        <v>0</v>
      </c>
      <c r="W42" s="12"/>
      <c r="X42" s="12" t="s">
        <v>1041</v>
      </c>
      <c r="Y42" s="12"/>
      <c r="Z42" s="12" t="s">
        <v>1042</v>
      </c>
      <c r="AA42" s="12"/>
      <c r="AB42" s="12"/>
      <c r="AC42" s="12"/>
      <c r="AD42" s="12"/>
    </row>
    <row r="43" spans="1:30" ht="16.8">
      <c r="A43" s="45">
        <v>42</v>
      </c>
      <c r="B43" s="12"/>
      <c r="C43" s="12" t="s">
        <v>955</v>
      </c>
      <c r="D43" s="12" t="s">
        <v>148</v>
      </c>
      <c r="E43" s="12"/>
      <c r="F43" s="12"/>
      <c r="G43" s="39" t="s">
        <v>1090</v>
      </c>
      <c r="H43" s="12" t="s">
        <v>1091</v>
      </c>
      <c r="I43" s="56" t="s">
        <v>1092</v>
      </c>
      <c r="J43" s="58" t="e">
        <v>#N/A</v>
      </c>
      <c r="K43" s="13">
        <v>16</v>
      </c>
      <c r="L43" s="14" t="s">
        <v>155</v>
      </c>
      <c r="M43" s="12"/>
      <c r="N43" s="16" t="s">
        <v>1039</v>
      </c>
      <c r="O43" s="12" t="s">
        <v>1093</v>
      </c>
      <c r="P43" s="13"/>
      <c r="Q43" s="13">
        <v>0</v>
      </c>
      <c r="R43" s="13"/>
      <c r="S43" s="13">
        <v>0</v>
      </c>
      <c r="T43" s="13">
        <v>5000</v>
      </c>
      <c r="U43" s="13">
        <v>1</v>
      </c>
      <c r="V43" s="13">
        <v>0</v>
      </c>
      <c r="W43" s="12"/>
      <c r="X43" s="12" t="s">
        <v>1041</v>
      </c>
      <c r="Y43" s="12"/>
      <c r="Z43" s="12" t="s">
        <v>1042</v>
      </c>
      <c r="AA43" s="12"/>
      <c r="AB43" s="12"/>
      <c r="AC43" s="12"/>
      <c r="AD43" s="12"/>
    </row>
    <row r="44" spans="1:30" ht="16.8">
      <c r="A44" s="11">
        <v>43</v>
      </c>
      <c r="B44" s="12"/>
      <c r="C44" s="12" t="s">
        <v>955</v>
      </c>
      <c r="D44" s="12" t="s">
        <v>148</v>
      </c>
      <c r="E44" s="12"/>
      <c r="F44" s="12"/>
      <c r="G44" s="39" t="s">
        <v>1094</v>
      </c>
      <c r="H44" s="12" t="s">
        <v>1095</v>
      </c>
      <c r="I44" s="56" t="s">
        <v>1096</v>
      </c>
      <c r="J44" s="58" t="e">
        <v>#N/A</v>
      </c>
      <c r="K44" s="13">
        <v>16</v>
      </c>
      <c r="L44" s="14" t="s">
        <v>155</v>
      </c>
      <c r="M44" s="12"/>
      <c r="N44" s="16" t="s">
        <v>1039</v>
      </c>
      <c r="O44" s="12" t="s">
        <v>1097</v>
      </c>
      <c r="P44" s="13"/>
      <c r="Q44" s="13">
        <v>0</v>
      </c>
      <c r="R44" s="13"/>
      <c r="S44" s="13">
        <v>0</v>
      </c>
      <c r="T44" s="13">
        <v>5000</v>
      </c>
      <c r="U44" s="13">
        <v>1</v>
      </c>
      <c r="V44" s="13">
        <v>0</v>
      </c>
      <c r="W44" s="12"/>
      <c r="X44" s="12" t="s">
        <v>1041</v>
      </c>
      <c r="Y44" s="12"/>
      <c r="Z44" s="12" t="s">
        <v>1042</v>
      </c>
      <c r="AA44" s="12"/>
      <c r="AB44" s="12"/>
      <c r="AC44" s="12"/>
      <c r="AD44" s="12"/>
    </row>
    <row r="45" spans="1:30" ht="16.8">
      <c r="A45" s="45">
        <v>44</v>
      </c>
      <c r="B45" s="12"/>
      <c r="C45" s="12" t="s">
        <v>955</v>
      </c>
      <c r="D45" s="12" t="s">
        <v>148</v>
      </c>
      <c r="E45" s="12"/>
      <c r="F45" s="12"/>
      <c r="G45" s="39" t="s">
        <v>1098</v>
      </c>
      <c r="H45" s="12" t="s">
        <v>1099</v>
      </c>
      <c r="I45" s="56" t="s">
        <v>1100</v>
      </c>
      <c r="J45" s="58" t="e">
        <v>#N/A</v>
      </c>
      <c r="K45" s="13">
        <v>16</v>
      </c>
      <c r="L45" s="14" t="s">
        <v>155</v>
      </c>
      <c r="M45" s="12"/>
      <c r="N45" s="16" t="s">
        <v>1039</v>
      </c>
      <c r="O45" s="12" t="s">
        <v>1101</v>
      </c>
      <c r="P45" s="13"/>
      <c r="Q45" s="13">
        <v>0</v>
      </c>
      <c r="R45" s="13"/>
      <c r="S45" s="13">
        <v>0</v>
      </c>
      <c r="T45" s="13">
        <v>5000</v>
      </c>
      <c r="U45" s="13">
        <v>1</v>
      </c>
      <c r="V45" s="13">
        <v>0</v>
      </c>
      <c r="W45" s="12"/>
      <c r="X45" s="12" t="s">
        <v>1041</v>
      </c>
      <c r="Y45" s="12"/>
      <c r="Z45" s="12" t="s">
        <v>1042</v>
      </c>
      <c r="AA45" s="12"/>
      <c r="AB45" s="12"/>
      <c r="AC45" s="12"/>
      <c r="AD45" s="12"/>
    </row>
    <row r="46" spans="1:30" ht="16.8">
      <c r="A46" s="11">
        <v>45</v>
      </c>
      <c r="B46" s="12"/>
      <c r="C46" s="12" t="s">
        <v>955</v>
      </c>
      <c r="D46" s="12" t="s">
        <v>148</v>
      </c>
      <c r="E46" s="12"/>
      <c r="F46" s="12"/>
      <c r="G46" s="39" t="s">
        <v>1102</v>
      </c>
      <c r="H46" s="12" t="s">
        <v>1103</v>
      </c>
      <c r="I46" s="56" t="s">
        <v>1104</v>
      </c>
      <c r="J46" s="58" t="e">
        <v>#N/A</v>
      </c>
      <c r="K46" s="13">
        <v>16</v>
      </c>
      <c r="L46" s="14" t="s">
        <v>155</v>
      </c>
      <c r="M46" s="12"/>
      <c r="N46" s="16" t="s">
        <v>1039</v>
      </c>
      <c r="O46" s="12" t="s">
        <v>1105</v>
      </c>
      <c r="P46" s="13"/>
      <c r="Q46" s="13">
        <v>0</v>
      </c>
      <c r="R46" s="13"/>
      <c r="S46" s="13">
        <v>0</v>
      </c>
      <c r="T46" s="13">
        <v>5000</v>
      </c>
      <c r="U46" s="13">
        <v>1</v>
      </c>
      <c r="V46" s="13">
        <v>0</v>
      </c>
      <c r="W46" s="12"/>
      <c r="X46" s="12" t="s">
        <v>1041</v>
      </c>
      <c r="Y46" s="12"/>
      <c r="Z46" s="12" t="s">
        <v>1042</v>
      </c>
      <c r="AA46" s="12"/>
      <c r="AB46" s="12"/>
      <c r="AC46" s="12"/>
      <c r="AD46" s="12"/>
    </row>
    <row r="47" spans="1:30" ht="16.8">
      <c r="A47" s="45">
        <v>46</v>
      </c>
      <c r="B47" s="12"/>
      <c r="C47" s="12" t="s">
        <v>955</v>
      </c>
      <c r="D47" s="12" t="s">
        <v>148</v>
      </c>
      <c r="E47" s="12"/>
      <c r="F47" s="12"/>
      <c r="G47" s="39" t="s">
        <v>1106</v>
      </c>
      <c r="H47" s="12" t="s">
        <v>1107</v>
      </c>
      <c r="I47" s="56" t="s">
        <v>1108</v>
      </c>
      <c r="J47" s="58" t="e">
        <v>#N/A</v>
      </c>
      <c r="K47" s="13">
        <v>16</v>
      </c>
      <c r="L47" s="14" t="s">
        <v>155</v>
      </c>
      <c r="M47" s="12"/>
      <c r="N47" s="16" t="s">
        <v>1039</v>
      </c>
      <c r="O47" s="12" t="s">
        <v>1109</v>
      </c>
      <c r="P47" s="13"/>
      <c r="Q47" s="13">
        <v>0</v>
      </c>
      <c r="R47" s="13"/>
      <c r="S47" s="13">
        <v>0</v>
      </c>
      <c r="T47" s="13">
        <v>5000</v>
      </c>
      <c r="U47" s="13">
        <v>1</v>
      </c>
      <c r="V47" s="13">
        <v>0</v>
      </c>
      <c r="W47" s="12"/>
      <c r="X47" s="12" t="s">
        <v>1041</v>
      </c>
      <c r="Y47" s="12"/>
      <c r="Z47" s="12" t="s">
        <v>1042</v>
      </c>
      <c r="AA47" s="12"/>
      <c r="AB47" s="12"/>
      <c r="AC47" s="12"/>
      <c r="AD47" s="12"/>
    </row>
    <row r="48" spans="1:30" ht="16.8">
      <c r="A48" s="11">
        <v>47</v>
      </c>
      <c r="B48" s="12"/>
      <c r="C48" s="12" t="s">
        <v>955</v>
      </c>
      <c r="D48" s="12" t="s">
        <v>148</v>
      </c>
      <c r="E48" s="12"/>
      <c r="F48" s="12"/>
      <c r="G48" s="39" t="s">
        <v>1110</v>
      </c>
      <c r="H48" s="12" t="s">
        <v>1111</v>
      </c>
      <c r="I48" s="56" t="s">
        <v>1112</v>
      </c>
      <c r="J48" s="58" t="e">
        <v>#N/A</v>
      </c>
      <c r="K48" s="13">
        <v>16</v>
      </c>
      <c r="L48" s="14" t="s">
        <v>155</v>
      </c>
      <c r="M48" s="12"/>
      <c r="N48" s="16" t="s">
        <v>1039</v>
      </c>
      <c r="O48" s="12" t="s">
        <v>1113</v>
      </c>
      <c r="P48" s="13"/>
      <c r="Q48" s="13">
        <v>0</v>
      </c>
      <c r="R48" s="13"/>
      <c r="S48" s="13">
        <v>0</v>
      </c>
      <c r="T48" s="13">
        <v>5000</v>
      </c>
      <c r="U48" s="13">
        <v>1</v>
      </c>
      <c r="V48" s="13">
        <v>0</v>
      </c>
      <c r="W48" s="12"/>
      <c r="X48" s="12" t="s">
        <v>1041</v>
      </c>
      <c r="Y48" s="12"/>
      <c r="Z48" s="12" t="s">
        <v>1042</v>
      </c>
      <c r="AA48" s="12"/>
      <c r="AB48" s="12"/>
      <c r="AC48" s="12"/>
      <c r="AD48" s="12"/>
    </row>
    <row r="49" spans="1:30" ht="16.8">
      <c r="A49" s="45">
        <v>48</v>
      </c>
      <c r="B49" s="12"/>
      <c r="C49" s="12" t="s">
        <v>955</v>
      </c>
      <c r="D49" s="12" t="s">
        <v>148</v>
      </c>
      <c r="E49" s="12"/>
      <c r="F49" s="12"/>
      <c r="G49" s="39" t="s">
        <v>1114</v>
      </c>
      <c r="H49" s="12" t="s">
        <v>1115</v>
      </c>
      <c r="I49" s="56" t="s">
        <v>1116</v>
      </c>
      <c r="J49" s="58" t="e">
        <v>#N/A</v>
      </c>
      <c r="K49" s="13">
        <v>16</v>
      </c>
      <c r="L49" s="14" t="s">
        <v>155</v>
      </c>
      <c r="M49" s="12"/>
      <c r="N49" s="16" t="s">
        <v>1039</v>
      </c>
      <c r="O49" s="12" t="s">
        <v>1117</v>
      </c>
      <c r="P49" s="13"/>
      <c r="Q49" s="13">
        <v>0</v>
      </c>
      <c r="R49" s="13"/>
      <c r="S49" s="13">
        <v>0</v>
      </c>
      <c r="T49" s="13">
        <v>5000</v>
      </c>
      <c r="U49" s="13">
        <v>1</v>
      </c>
      <c r="V49" s="13">
        <v>0</v>
      </c>
      <c r="W49" s="12"/>
      <c r="X49" s="12" t="s">
        <v>1041</v>
      </c>
      <c r="Y49" s="12"/>
      <c r="Z49" s="12" t="s">
        <v>1118</v>
      </c>
      <c r="AA49" s="12"/>
      <c r="AB49" s="12"/>
      <c r="AC49" s="12"/>
      <c r="AD49" s="12"/>
    </row>
    <row r="50" spans="1:30" ht="16.8">
      <c r="A50" s="11">
        <v>49</v>
      </c>
      <c r="B50" s="12"/>
      <c r="C50" s="12" t="s">
        <v>955</v>
      </c>
      <c r="D50" s="12" t="s">
        <v>148</v>
      </c>
      <c r="E50" s="12"/>
      <c r="F50" s="12"/>
      <c r="G50" s="39" t="s">
        <v>1119</v>
      </c>
      <c r="H50" s="12" t="s">
        <v>1120</v>
      </c>
      <c r="I50" s="56" t="s">
        <v>1121</v>
      </c>
      <c r="J50" s="58" t="e">
        <v>#N/A</v>
      </c>
      <c r="K50" s="13">
        <v>16</v>
      </c>
      <c r="L50" s="14" t="s">
        <v>155</v>
      </c>
      <c r="M50" s="12"/>
      <c r="N50" s="16" t="s">
        <v>1039</v>
      </c>
      <c r="O50" s="12" t="s">
        <v>1122</v>
      </c>
      <c r="P50" s="13"/>
      <c r="Q50" s="13">
        <v>0</v>
      </c>
      <c r="R50" s="13"/>
      <c r="S50" s="13">
        <v>0</v>
      </c>
      <c r="T50" s="13">
        <v>5000</v>
      </c>
      <c r="U50" s="13">
        <v>1</v>
      </c>
      <c r="V50" s="13">
        <v>0</v>
      </c>
      <c r="W50" s="12"/>
      <c r="X50" s="12" t="s">
        <v>1041</v>
      </c>
      <c r="Y50" s="12"/>
      <c r="Z50" s="12" t="s">
        <v>1042</v>
      </c>
      <c r="AA50" s="12"/>
      <c r="AB50" s="12"/>
      <c r="AC50" s="12"/>
      <c r="AD50" s="12"/>
    </row>
    <row r="51" spans="1:30" ht="16.8">
      <c r="A51" s="45">
        <v>50</v>
      </c>
      <c r="B51" s="12"/>
      <c r="C51" s="12" t="s">
        <v>955</v>
      </c>
      <c r="D51" s="12" t="s">
        <v>148</v>
      </c>
      <c r="E51" s="12"/>
      <c r="F51" s="12"/>
      <c r="G51" s="19" t="s">
        <v>1123</v>
      </c>
      <c r="H51" s="12" t="s">
        <v>1124</v>
      </c>
      <c r="I51" s="56" t="s">
        <v>1125</v>
      </c>
      <c r="J51" s="58" t="e">
        <v>#N/A</v>
      </c>
      <c r="K51" s="14">
        <v>16</v>
      </c>
      <c r="L51" s="14" t="s">
        <v>155</v>
      </c>
      <c r="M51" s="12"/>
      <c r="N51" s="16" t="s">
        <v>959</v>
      </c>
      <c r="O51" s="12" t="s">
        <v>1126</v>
      </c>
      <c r="P51" s="13"/>
      <c r="Q51" s="13">
        <v>0</v>
      </c>
      <c r="R51" s="13" t="s">
        <v>961</v>
      </c>
      <c r="S51" s="13">
        <v>0</v>
      </c>
      <c r="T51" s="13">
        <v>100</v>
      </c>
      <c r="U51" s="13">
        <v>0.1</v>
      </c>
      <c r="V51" s="13">
        <v>0</v>
      </c>
      <c r="W51" s="12"/>
      <c r="X51" s="12"/>
      <c r="Y51" s="12"/>
      <c r="Z51" s="12"/>
      <c r="AA51" s="12"/>
      <c r="AB51" s="12"/>
      <c r="AC51" s="12"/>
      <c r="AD51" s="12"/>
    </row>
    <row r="52" spans="1:30" ht="16.8">
      <c r="A52" s="11">
        <v>51</v>
      </c>
      <c r="B52" s="12"/>
      <c r="C52" s="12" t="s">
        <v>955</v>
      </c>
      <c r="D52" s="12" t="s">
        <v>75</v>
      </c>
      <c r="E52" s="12"/>
      <c r="F52" s="12"/>
      <c r="G52" s="39" t="s">
        <v>1127</v>
      </c>
      <c r="H52" s="116" t="s">
        <v>1128</v>
      </c>
      <c r="I52" s="113" t="s">
        <v>1129</v>
      </c>
      <c r="J52" s="113" t="s">
        <v>1130</v>
      </c>
      <c r="K52" s="13">
        <v>1</v>
      </c>
      <c r="L52" s="14" t="s">
        <v>315</v>
      </c>
      <c r="M52" s="12"/>
      <c r="N52" s="12" t="s">
        <v>1131</v>
      </c>
      <c r="O52" s="12" t="s">
        <v>1132</v>
      </c>
      <c r="P52" s="3" t="s">
        <v>1133</v>
      </c>
      <c r="Q52" s="13">
        <v>0</v>
      </c>
      <c r="R52" s="12"/>
      <c r="S52" s="13">
        <v>0</v>
      </c>
      <c r="T52" s="13">
        <v>1</v>
      </c>
      <c r="U52" s="48">
        <v>1</v>
      </c>
      <c r="V52" s="48">
        <v>0</v>
      </c>
      <c r="W52" s="12"/>
      <c r="X52" s="12"/>
      <c r="Y52" s="12"/>
      <c r="Z52" s="12"/>
      <c r="AA52" s="12"/>
      <c r="AB52" s="12"/>
      <c r="AC52" s="12"/>
      <c r="AD52" s="12"/>
    </row>
    <row r="53" spans="1:30" ht="50.4">
      <c r="A53" s="45">
        <v>52</v>
      </c>
      <c r="B53" s="12"/>
      <c r="C53" s="12" t="s">
        <v>955</v>
      </c>
      <c r="D53" s="12" t="s">
        <v>148</v>
      </c>
      <c r="E53" s="12"/>
      <c r="F53" s="12"/>
      <c r="G53" s="39" t="s">
        <v>1134</v>
      </c>
      <c r="H53" s="117"/>
      <c r="I53" s="114"/>
      <c r="J53" s="114"/>
      <c r="K53" s="13">
        <v>8</v>
      </c>
      <c r="L53" s="14" t="s">
        <v>204</v>
      </c>
      <c r="M53" s="12"/>
      <c r="N53" s="12" t="s">
        <v>966</v>
      </c>
      <c r="O53" s="12" t="s">
        <v>1135</v>
      </c>
      <c r="P53" s="13"/>
      <c r="Q53" s="13">
        <v>0</v>
      </c>
      <c r="R53" s="12"/>
      <c r="S53" s="13"/>
      <c r="T53" s="13"/>
      <c r="U53" s="13"/>
      <c r="V53" s="13"/>
      <c r="W53" s="12"/>
      <c r="X53" s="12"/>
      <c r="Y53" s="12"/>
      <c r="Z53" s="38" t="s">
        <v>968</v>
      </c>
      <c r="AA53" s="12"/>
      <c r="AB53" s="12"/>
      <c r="AC53" s="12"/>
      <c r="AD53" s="12"/>
    </row>
    <row r="54" spans="1:30" ht="16.8">
      <c r="A54" s="45">
        <v>53</v>
      </c>
      <c r="B54" s="12"/>
      <c r="C54" s="12" t="s">
        <v>955</v>
      </c>
      <c r="D54" s="12" t="s">
        <v>75</v>
      </c>
      <c r="E54" s="12"/>
      <c r="F54" s="12"/>
      <c r="G54" s="39" t="s">
        <v>1136</v>
      </c>
      <c r="H54" s="116" t="s">
        <v>1137</v>
      </c>
      <c r="I54" s="113" t="s">
        <v>1138</v>
      </c>
      <c r="J54" s="113" t="s">
        <v>1139</v>
      </c>
      <c r="K54" s="13">
        <v>1</v>
      </c>
      <c r="L54" s="14" t="s">
        <v>315</v>
      </c>
      <c r="M54" s="12"/>
      <c r="N54" s="12" t="s">
        <v>1131</v>
      </c>
      <c r="O54" s="16" t="s">
        <v>1140</v>
      </c>
      <c r="P54" s="3" t="s">
        <v>1133</v>
      </c>
      <c r="Q54" s="13">
        <v>0</v>
      </c>
      <c r="R54" s="12"/>
      <c r="S54" s="13">
        <v>0</v>
      </c>
      <c r="T54" s="13">
        <v>1</v>
      </c>
      <c r="U54" s="48">
        <v>1</v>
      </c>
      <c r="V54" s="48">
        <v>0</v>
      </c>
      <c r="W54" s="12"/>
      <c r="X54" s="12"/>
      <c r="Y54" s="12"/>
      <c r="Z54" s="12"/>
      <c r="AA54" s="12"/>
      <c r="AB54" s="12"/>
      <c r="AC54" s="12"/>
      <c r="AD54" s="12"/>
    </row>
    <row r="55" spans="1:30" ht="50.4">
      <c r="A55" s="11">
        <v>54</v>
      </c>
      <c r="B55" s="12"/>
      <c r="C55" s="12" t="s">
        <v>955</v>
      </c>
      <c r="D55" s="12" t="s">
        <v>148</v>
      </c>
      <c r="E55" s="12"/>
      <c r="F55" s="12"/>
      <c r="G55" s="39" t="s">
        <v>1141</v>
      </c>
      <c r="H55" s="117"/>
      <c r="I55" s="114"/>
      <c r="J55" s="114"/>
      <c r="K55" s="13">
        <v>8</v>
      </c>
      <c r="L55" s="14" t="s">
        <v>204</v>
      </c>
      <c r="M55" s="12"/>
      <c r="N55" s="12" t="s">
        <v>966</v>
      </c>
      <c r="O55" s="16" t="s">
        <v>1142</v>
      </c>
      <c r="P55" s="13"/>
      <c r="Q55" s="13">
        <v>0</v>
      </c>
      <c r="R55" s="12"/>
      <c r="S55" s="13"/>
      <c r="T55" s="13"/>
      <c r="U55" s="13"/>
      <c r="V55" s="13"/>
      <c r="W55" s="12"/>
      <c r="X55" s="12"/>
      <c r="Y55" s="12"/>
      <c r="Z55" s="38" t="s">
        <v>968</v>
      </c>
      <c r="AA55" s="12"/>
      <c r="AB55" s="12"/>
      <c r="AC55" s="12"/>
      <c r="AD55" s="12"/>
    </row>
    <row r="56" spans="1:30" ht="16.8">
      <c r="A56" s="45">
        <v>55</v>
      </c>
      <c r="B56" s="12"/>
      <c r="C56" s="12" t="s">
        <v>955</v>
      </c>
      <c r="D56" s="12" t="s">
        <v>75</v>
      </c>
      <c r="E56" s="12"/>
      <c r="F56" s="12"/>
      <c r="G56" s="39" t="s">
        <v>1143</v>
      </c>
      <c r="H56" s="116" t="s">
        <v>1144</v>
      </c>
      <c r="I56" s="113" t="s">
        <v>1145</v>
      </c>
      <c r="J56" s="113" t="s">
        <v>1146</v>
      </c>
      <c r="K56" s="13">
        <v>1</v>
      </c>
      <c r="L56" s="14" t="s">
        <v>315</v>
      </c>
      <c r="M56" s="12"/>
      <c r="N56" s="12" t="s">
        <v>1131</v>
      </c>
      <c r="O56" s="16" t="s">
        <v>1147</v>
      </c>
      <c r="P56" s="3" t="s">
        <v>1133</v>
      </c>
      <c r="Q56" s="13">
        <v>0</v>
      </c>
      <c r="R56" s="12"/>
      <c r="S56" s="13">
        <v>0</v>
      </c>
      <c r="T56" s="13">
        <v>1</v>
      </c>
      <c r="U56" s="48">
        <v>1</v>
      </c>
      <c r="V56" s="48">
        <v>0</v>
      </c>
      <c r="W56" s="12"/>
      <c r="X56" s="12"/>
      <c r="Y56" s="12"/>
      <c r="Z56" s="12"/>
      <c r="AA56" s="12"/>
      <c r="AB56" s="12"/>
      <c r="AC56" s="12"/>
      <c r="AD56" s="12"/>
    </row>
    <row r="57" spans="1:30" ht="50.4">
      <c r="A57" s="11">
        <v>56</v>
      </c>
      <c r="B57" s="12"/>
      <c r="C57" s="12" t="s">
        <v>955</v>
      </c>
      <c r="D57" s="12" t="s">
        <v>148</v>
      </c>
      <c r="E57" s="12"/>
      <c r="F57" s="12"/>
      <c r="G57" s="39" t="s">
        <v>1148</v>
      </c>
      <c r="H57" s="117"/>
      <c r="I57" s="114"/>
      <c r="J57" s="114"/>
      <c r="K57" s="13">
        <v>8</v>
      </c>
      <c r="L57" s="14" t="s">
        <v>204</v>
      </c>
      <c r="M57" s="12"/>
      <c r="N57" s="12" t="s">
        <v>966</v>
      </c>
      <c r="O57" s="16" t="s">
        <v>1149</v>
      </c>
      <c r="P57" s="13"/>
      <c r="Q57" s="13">
        <v>0</v>
      </c>
      <c r="R57" s="12"/>
      <c r="S57" s="13"/>
      <c r="T57" s="13"/>
      <c r="U57" s="13"/>
      <c r="V57" s="13"/>
      <c r="W57" s="12"/>
      <c r="X57" s="12"/>
      <c r="Y57" s="12"/>
      <c r="Z57" s="38" t="s">
        <v>968</v>
      </c>
      <c r="AA57" s="12"/>
      <c r="AB57" s="12"/>
      <c r="AC57" s="12"/>
      <c r="AD57" s="12"/>
    </row>
    <row r="58" spans="1:30" ht="16.8">
      <c r="A58" s="45">
        <v>57</v>
      </c>
      <c r="B58" s="12"/>
      <c r="C58" s="12" t="s">
        <v>955</v>
      </c>
      <c r="D58" s="12" t="s">
        <v>75</v>
      </c>
      <c r="E58" s="12"/>
      <c r="F58" s="12"/>
      <c r="G58" s="19" t="s">
        <v>1150</v>
      </c>
      <c r="H58" s="116" t="s">
        <v>1151</v>
      </c>
      <c r="I58" s="113" t="s">
        <v>1152</v>
      </c>
      <c r="J58" s="113" t="s">
        <v>1139</v>
      </c>
      <c r="K58" s="14">
        <v>16</v>
      </c>
      <c r="L58" s="14" t="s">
        <v>155</v>
      </c>
      <c r="M58" s="12"/>
      <c r="N58" s="16" t="s">
        <v>959</v>
      </c>
      <c r="O58" s="12" t="s">
        <v>1153</v>
      </c>
      <c r="P58" s="13"/>
      <c r="Q58" s="13">
        <v>0</v>
      </c>
      <c r="R58" s="13" t="s">
        <v>961</v>
      </c>
      <c r="S58" s="13">
        <v>0</v>
      </c>
      <c r="T58" s="13">
        <v>100</v>
      </c>
      <c r="U58" s="13">
        <v>0.1</v>
      </c>
      <c r="V58" s="13">
        <v>0</v>
      </c>
      <c r="W58" s="12"/>
      <c r="X58" s="12"/>
      <c r="Y58" s="12"/>
      <c r="Z58" s="12"/>
      <c r="AA58" s="12"/>
      <c r="AB58" s="12"/>
      <c r="AC58" s="12"/>
      <c r="AD58" s="12"/>
    </row>
    <row r="59" spans="1:30" ht="16.8">
      <c r="A59" s="11">
        <v>58</v>
      </c>
      <c r="B59" s="12"/>
      <c r="C59" s="12" t="s">
        <v>955</v>
      </c>
      <c r="D59" s="12" t="s">
        <v>75</v>
      </c>
      <c r="E59" s="12"/>
      <c r="F59" s="12"/>
      <c r="G59" s="19" t="s">
        <v>1154</v>
      </c>
      <c r="H59" s="117"/>
      <c r="I59" s="114"/>
      <c r="J59" s="114"/>
      <c r="K59" s="14">
        <v>16</v>
      </c>
      <c r="L59" s="14" t="s">
        <v>155</v>
      </c>
      <c r="M59" s="12"/>
      <c r="N59" s="13" t="s">
        <v>1155</v>
      </c>
      <c r="O59" s="13" t="s">
        <v>1156</v>
      </c>
      <c r="P59" s="13"/>
      <c r="Q59" s="13">
        <v>0</v>
      </c>
      <c r="R59" s="13"/>
      <c r="S59" s="13">
        <v>50</v>
      </c>
      <c r="T59" s="13">
        <v>150</v>
      </c>
      <c r="U59" s="13">
        <v>1</v>
      </c>
      <c r="V59" s="13">
        <v>0</v>
      </c>
      <c r="W59" s="12"/>
      <c r="X59" s="12"/>
      <c r="Y59" s="12"/>
      <c r="Z59" s="12"/>
      <c r="AA59" s="12"/>
      <c r="AB59" s="12"/>
      <c r="AC59" s="12"/>
      <c r="AD59" s="12"/>
    </row>
    <row r="60" spans="1:30" s="35" customFormat="1" ht="67.2">
      <c r="A60" s="32">
        <v>59</v>
      </c>
      <c r="B60" s="33"/>
      <c r="C60" s="12" t="s">
        <v>955</v>
      </c>
      <c r="D60" s="33" t="s">
        <v>148</v>
      </c>
      <c r="E60" s="33"/>
      <c r="F60" s="33"/>
      <c r="G60" s="40" t="s">
        <v>1157</v>
      </c>
      <c r="H60" s="42" t="s">
        <v>1158</v>
      </c>
      <c r="I60" s="56" t="s">
        <v>1159</v>
      </c>
      <c r="J60" s="58" t="e">
        <v>#N/A</v>
      </c>
      <c r="K60" s="34">
        <v>8</v>
      </c>
      <c r="L60" s="34" t="s">
        <v>204</v>
      </c>
      <c r="M60" s="33"/>
      <c r="N60" s="33" t="s">
        <v>966</v>
      </c>
      <c r="O60" s="34" t="s">
        <v>1160</v>
      </c>
      <c r="P60" s="34" t="s">
        <v>204</v>
      </c>
      <c r="Q60" s="34">
        <v>0</v>
      </c>
      <c r="R60" s="34"/>
      <c r="S60" s="34"/>
      <c r="T60" s="34"/>
      <c r="U60" s="34"/>
      <c r="V60" s="34"/>
      <c r="W60" s="33"/>
      <c r="X60" s="33"/>
      <c r="Y60" s="33"/>
      <c r="Z60" s="91" t="s">
        <v>1161</v>
      </c>
      <c r="AA60" s="33"/>
      <c r="AB60" s="33"/>
      <c r="AC60" s="33"/>
      <c r="AD60" s="33"/>
    </row>
    <row r="61" spans="1:30" ht="16.8">
      <c r="A61" s="11">
        <v>60</v>
      </c>
      <c r="B61" s="12"/>
      <c r="C61" s="12" t="s">
        <v>955</v>
      </c>
      <c r="D61" s="12" t="s">
        <v>75</v>
      </c>
      <c r="E61" s="12"/>
      <c r="F61" s="12"/>
      <c r="G61" s="19" t="s">
        <v>1162</v>
      </c>
      <c r="H61" s="116" t="s">
        <v>1163</v>
      </c>
      <c r="I61" s="113" t="s">
        <v>1164</v>
      </c>
      <c r="J61" s="113" t="s">
        <v>1165</v>
      </c>
      <c r="K61" s="14">
        <v>16</v>
      </c>
      <c r="L61" s="14" t="s">
        <v>155</v>
      </c>
      <c r="M61" s="33" t="s">
        <v>5898</v>
      </c>
      <c r="N61" s="16" t="s">
        <v>959</v>
      </c>
      <c r="O61" s="12" t="s">
        <v>1166</v>
      </c>
      <c r="P61" s="13"/>
      <c r="Q61" s="13">
        <v>0</v>
      </c>
      <c r="R61" s="13" t="s">
        <v>961</v>
      </c>
      <c r="S61" s="13">
        <v>0</v>
      </c>
      <c r="T61" s="13">
        <v>100</v>
      </c>
      <c r="U61" s="13">
        <v>0.1</v>
      </c>
      <c r="V61" s="13">
        <v>0</v>
      </c>
      <c r="W61" s="12"/>
      <c r="X61" s="12"/>
      <c r="Y61" s="12"/>
      <c r="Z61" s="12"/>
      <c r="AA61" s="12"/>
      <c r="AB61" s="12"/>
      <c r="AC61" s="12"/>
      <c r="AD61" s="12"/>
    </row>
    <row r="62" spans="1:30" ht="16.8">
      <c r="A62" s="11">
        <v>61</v>
      </c>
      <c r="B62" s="12"/>
      <c r="C62" s="12" t="s">
        <v>955</v>
      </c>
      <c r="D62" s="12" t="s">
        <v>75</v>
      </c>
      <c r="E62" s="12"/>
      <c r="F62" s="12"/>
      <c r="G62" s="19" t="s">
        <v>1167</v>
      </c>
      <c r="H62" s="117"/>
      <c r="I62" s="114"/>
      <c r="J62" s="114"/>
      <c r="K62" s="14">
        <v>16</v>
      </c>
      <c r="L62" s="14" t="s">
        <v>155</v>
      </c>
      <c r="M62" s="12"/>
      <c r="N62" s="13" t="s">
        <v>1155</v>
      </c>
      <c r="O62" s="13" t="s">
        <v>1168</v>
      </c>
      <c r="P62" s="13"/>
      <c r="Q62" s="13">
        <v>0</v>
      </c>
      <c r="R62" s="13"/>
      <c r="S62" s="13">
        <v>50</v>
      </c>
      <c r="T62" s="13">
        <v>150</v>
      </c>
      <c r="U62" s="13">
        <v>1</v>
      </c>
      <c r="V62" s="13">
        <v>0</v>
      </c>
      <c r="W62" s="12"/>
      <c r="X62" s="12"/>
      <c r="Y62" s="12"/>
      <c r="Z62" s="12"/>
      <c r="AA62" s="12"/>
      <c r="AB62" s="12"/>
      <c r="AC62" s="12"/>
      <c r="AD62" s="12"/>
    </row>
    <row r="63" spans="1:30" s="35" customFormat="1" ht="67.2">
      <c r="A63" s="32">
        <v>62</v>
      </c>
      <c r="B63" s="33"/>
      <c r="C63" s="12" t="s">
        <v>955</v>
      </c>
      <c r="D63" s="33" t="s">
        <v>148</v>
      </c>
      <c r="E63" s="33"/>
      <c r="F63" s="33"/>
      <c r="G63" s="40" t="s">
        <v>1169</v>
      </c>
      <c r="H63" s="44" t="s">
        <v>1170</v>
      </c>
      <c r="I63" s="56" t="s">
        <v>1171</v>
      </c>
      <c r="J63" s="58" t="e">
        <v>#N/A</v>
      </c>
      <c r="K63" s="34">
        <v>8</v>
      </c>
      <c r="L63" s="34" t="s">
        <v>204</v>
      </c>
      <c r="M63" s="33"/>
      <c r="N63" s="33" t="s">
        <v>966</v>
      </c>
      <c r="O63" s="34" t="s">
        <v>1172</v>
      </c>
      <c r="P63" s="34" t="s">
        <v>204</v>
      </c>
      <c r="Q63" s="34">
        <v>0</v>
      </c>
      <c r="R63" s="34"/>
      <c r="S63" s="34"/>
      <c r="T63" s="34"/>
      <c r="U63" s="34"/>
      <c r="V63" s="34"/>
      <c r="W63" s="33"/>
      <c r="X63" s="33"/>
      <c r="Y63" s="33"/>
      <c r="Z63" s="91" t="s">
        <v>1161</v>
      </c>
      <c r="AA63" s="33"/>
      <c r="AB63" s="33"/>
      <c r="AC63" s="33"/>
      <c r="AD63" s="33"/>
    </row>
    <row r="64" spans="1:30" ht="16.8">
      <c r="A64" s="11">
        <v>63</v>
      </c>
      <c r="B64" s="12"/>
      <c r="C64" s="12" t="s">
        <v>955</v>
      </c>
      <c r="D64" s="12" t="s">
        <v>75</v>
      </c>
      <c r="E64" s="12"/>
      <c r="F64" s="12"/>
      <c r="G64" s="19" t="s">
        <v>1173</v>
      </c>
      <c r="H64" s="116" t="s">
        <v>1174</v>
      </c>
      <c r="I64" s="113" t="s">
        <v>1175</v>
      </c>
      <c r="J64" s="130" t="s">
        <v>1139</v>
      </c>
      <c r="K64" s="14">
        <v>16</v>
      </c>
      <c r="L64" s="14" t="s">
        <v>155</v>
      </c>
      <c r="M64" s="12"/>
      <c r="N64" s="16" t="s">
        <v>959</v>
      </c>
      <c r="O64" s="12" t="s">
        <v>1176</v>
      </c>
      <c r="P64" s="13"/>
      <c r="Q64" s="13">
        <v>0</v>
      </c>
      <c r="R64" s="13" t="s">
        <v>961</v>
      </c>
      <c r="S64" s="13">
        <v>0</v>
      </c>
      <c r="T64" s="13">
        <v>100</v>
      </c>
      <c r="U64" s="13">
        <v>0.1</v>
      </c>
      <c r="V64" s="13">
        <v>0</v>
      </c>
      <c r="W64" s="12"/>
      <c r="X64" s="12"/>
      <c r="Y64" s="12"/>
      <c r="Z64" s="12"/>
      <c r="AA64" s="12"/>
      <c r="AB64" s="12"/>
      <c r="AC64" s="12"/>
      <c r="AD64" s="12"/>
    </row>
    <row r="65" spans="1:30" ht="16.8">
      <c r="A65" s="11">
        <v>64</v>
      </c>
      <c r="B65" s="12"/>
      <c r="C65" s="12" t="s">
        <v>955</v>
      </c>
      <c r="D65" s="12" t="s">
        <v>75</v>
      </c>
      <c r="E65" s="12"/>
      <c r="F65" s="12"/>
      <c r="G65" s="19" t="s">
        <v>1177</v>
      </c>
      <c r="H65" s="117"/>
      <c r="I65" s="114"/>
      <c r="J65" s="131"/>
      <c r="K65" s="14">
        <v>16</v>
      </c>
      <c r="L65" s="14" t="s">
        <v>155</v>
      </c>
      <c r="M65" s="12"/>
      <c r="N65" s="13" t="s">
        <v>1155</v>
      </c>
      <c r="O65" s="13" t="s">
        <v>1178</v>
      </c>
      <c r="P65" s="13"/>
      <c r="Q65" s="13">
        <v>0</v>
      </c>
      <c r="R65" s="13"/>
      <c r="S65" s="13">
        <v>50</v>
      </c>
      <c r="T65" s="13">
        <v>150</v>
      </c>
      <c r="U65" s="13">
        <v>1</v>
      </c>
      <c r="V65" s="13">
        <v>0</v>
      </c>
      <c r="W65" s="12"/>
      <c r="X65" s="12"/>
      <c r="Y65" s="12"/>
      <c r="Z65" s="12"/>
      <c r="AA65" s="12"/>
      <c r="AB65" s="12"/>
      <c r="AC65" s="12"/>
      <c r="AD65" s="12"/>
    </row>
    <row r="66" spans="1:30" s="35" customFormat="1" ht="67.2">
      <c r="A66" s="32">
        <v>65</v>
      </c>
      <c r="B66" s="33"/>
      <c r="C66" s="12" t="s">
        <v>955</v>
      </c>
      <c r="D66" s="33" t="s">
        <v>148</v>
      </c>
      <c r="E66" s="33"/>
      <c r="F66" s="33"/>
      <c r="G66" s="40" t="s">
        <v>1179</v>
      </c>
      <c r="H66" s="44" t="s">
        <v>1180</v>
      </c>
      <c r="I66" s="56" t="s">
        <v>1181</v>
      </c>
      <c r="J66" s="58" t="e">
        <v>#N/A</v>
      </c>
      <c r="K66" s="34">
        <v>8</v>
      </c>
      <c r="L66" s="34" t="s">
        <v>204</v>
      </c>
      <c r="M66" s="33"/>
      <c r="N66" s="33" t="s">
        <v>966</v>
      </c>
      <c r="O66" s="34" t="s">
        <v>1182</v>
      </c>
      <c r="P66" s="34" t="s">
        <v>204</v>
      </c>
      <c r="Q66" s="34">
        <v>0</v>
      </c>
      <c r="R66" s="34"/>
      <c r="S66" s="34"/>
      <c r="T66" s="34"/>
      <c r="U66" s="34"/>
      <c r="V66" s="34"/>
      <c r="W66" s="33"/>
      <c r="X66" s="33"/>
      <c r="Y66" s="33"/>
      <c r="Z66" s="91" t="s">
        <v>1161</v>
      </c>
      <c r="AA66" s="33"/>
      <c r="AB66" s="33"/>
      <c r="AC66" s="33"/>
      <c r="AD66" s="33"/>
    </row>
    <row r="67" spans="1:30" ht="16.8">
      <c r="A67" s="11">
        <v>66</v>
      </c>
      <c r="B67" s="12"/>
      <c r="C67" s="12" t="s">
        <v>955</v>
      </c>
      <c r="D67" s="12" t="s">
        <v>75</v>
      </c>
      <c r="E67" s="12"/>
      <c r="F67" s="12"/>
      <c r="G67" s="19" t="s">
        <v>6390</v>
      </c>
      <c r="H67" s="116" t="s">
        <v>1183</v>
      </c>
      <c r="I67" s="113" t="s">
        <v>1184</v>
      </c>
      <c r="J67" s="113" t="s">
        <v>958</v>
      </c>
      <c r="K67" s="14">
        <v>16</v>
      </c>
      <c r="L67" s="14" t="s">
        <v>155</v>
      </c>
      <c r="M67" s="12"/>
      <c r="N67" s="16" t="s">
        <v>959</v>
      </c>
      <c r="O67" s="12" t="s">
        <v>1185</v>
      </c>
      <c r="P67" s="13"/>
      <c r="Q67" s="13">
        <v>0</v>
      </c>
      <c r="R67" s="13" t="s">
        <v>961</v>
      </c>
      <c r="S67" s="13">
        <v>0</v>
      </c>
      <c r="T67" s="13">
        <v>100</v>
      </c>
      <c r="U67" s="13">
        <v>0.1</v>
      </c>
      <c r="V67" s="13">
        <v>0</v>
      </c>
      <c r="W67" s="12"/>
      <c r="X67" s="12"/>
      <c r="Y67" s="12"/>
      <c r="Z67" s="12"/>
      <c r="AA67" s="12"/>
      <c r="AB67" s="12"/>
      <c r="AC67" s="12"/>
      <c r="AD67" s="12"/>
    </row>
    <row r="68" spans="1:30" ht="16.8">
      <c r="A68" s="11">
        <v>67</v>
      </c>
      <c r="B68" s="12"/>
      <c r="C68" s="12" t="s">
        <v>955</v>
      </c>
      <c r="D68" s="12" t="s">
        <v>75</v>
      </c>
      <c r="E68" s="12"/>
      <c r="F68" s="12"/>
      <c r="G68" s="19" t="s">
        <v>1186</v>
      </c>
      <c r="H68" s="117"/>
      <c r="I68" s="114"/>
      <c r="J68" s="114"/>
      <c r="K68" s="14">
        <v>16</v>
      </c>
      <c r="L68" s="14" t="s">
        <v>155</v>
      </c>
      <c r="M68" s="12"/>
      <c r="N68" s="13" t="s">
        <v>1187</v>
      </c>
      <c r="O68" s="13" t="s">
        <v>1188</v>
      </c>
      <c r="P68" s="13"/>
      <c r="Q68" s="13">
        <v>0</v>
      </c>
      <c r="R68" s="13"/>
      <c r="S68" s="13">
        <v>97</v>
      </c>
      <c r="T68" s="13">
        <v>309</v>
      </c>
      <c r="U68" s="13">
        <v>1</v>
      </c>
      <c r="V68" s="13">
        <v>0</v>
      </c>
      <c r="W68" s="12"/>
      <c r="X68" s="12"/>
      <c r="Y68" s="12"/>
      <c r="Z68" s="12"/>
      <c r="AA68" s="12"/>
      <c r="AB68" s="12"/>
      <c r="AC68" s="12"/>
      <c r="AD68" s="12"/>
    </row>
    <row r="69" spans="1:30" s="35" customFormat="1" ht="84">
      <c r="A69" s="32">
        <v>68</v>
      </c>
      <c r="B69" s="33"/>
      <c r="C69" s="12" t="s">
        <v>955</v>
      </c>
      <c r="D69" s="33" t="s">
        <v>148</v>
      </c>
      <c r="E69" s="33"/>
      <c r="F69" s="33"/>
      <c r="G69" s="40" t="s">
        <v>1189</v>
      </c>
      <c r="H69" s="43" t="s">
        <v>1190</v>
      </c>
      <c r="I69" s="56" t="s">
        <v>1191</v>
      </c>
      <c r="J69" s="58" t="e">
        <v>#N/A</v>
      </c>
      <c r="K69" s="34">
        <v>8</v>
      </c>
      <c r="L69" s="34" t="s">
        <v>204</v>
      </c>
      <c r="M69" s="33"/>
      <c r="N69" s="33" t="s">
        <v>966</v>
      </c>
      <c r="O69" s="34" t="s">
        <v>1192</v>
      </c>
      <c r="P69" s="34" t="s">
        <v>204</v>
      </c>
      <c r="Q69" s="34">
        <v>0</v>
      </c>
      <c r="R69" s="34"/>
      <c r="S69" s="34"/>
      <c r="T69" s="34"/>
      <c r="U69" s="34"/>
      <c r="V69" s="34"/>
      <c r="W69" s="33"/>
      <c r="X69" s="33"/>
      <c r="Y69" s="33"/>
      <c r="Z69" s="41" t="s">
        <v>1193</v>
      </c>
      <c r="AA69" s="33"/>
      <c r="AB69" s="33"/>
      <c r="AC69" s="33"/>
      <c r="AD69" s="33"/>
    </row>
    <row r="70" spans="1:30" ht="16.8">
      <c r="A70" s="11">
        <v>69</v>
      </c>
      <c r="B70" s="12"/>
      <c r="C70" s="12" t="s">
        <v>955</v>
      </c>
      <c r="D70" s="12" t="s">
        <v>75</v>
      </c>
      <c r="E70" s="12"/>
      <c r="F70" s="12"/>
      <c r="G70" s="39" t="s">
        <v>1194</v>
      </c>
      <c r="H70" s="116" t="s">
        <v>1195</v>
      </c>
      <c r="I70" s="113" t="s">
        <v>1196</v>
      </c>
      <c r="J70" s="113" t="s">
        <v>1197</v>
      </c>
      <c r="K70" s="13">
        <v>1</v>
      </c>
      <c r="L70" s="14" t="s">
        <v>315</v>
      </c>
      <c r="M70" s="12"/>
      <c r="N70" s="12" t="s">
        <v>1131</v>
      </c>
      <c r="O70" s="12" t="s">
        <v>1198</v>
      </c>
      <c r="P70" s="3" t="s">
        <v>1133</v>
      </c>
      <c r="Q70" s="13">
        <v>0</v>
      </c>
      <c r="R70" s="12"/>
      <c r="S70" s="13">
        <v>0</v>
      </c>
      <c r="T70" s="13">
        <v>1</v>
      </c>
      <c r="U70" s="13">
        <v>1</v>
      </c>
      <c r="V70" s="13">
        <v>0</v>
      </c>
      <c r="W70" s="12"/>
      <c r="X70" s="12"/>
      <c r="Y70" s="12"/>
      <c r="Z70" s="12"/>
      <c r="AA70" s="12"/>
      <c r="AB70" s="12"/>
      <c r="AC70" s="12"/>
      <c r="AD70" s="12"/>
    </row>
    <row r="71" spans="1:30" ht="50.4">
      <c r="A71" s="11">
        <v>70</v>
      </c>
      <c r="B71" s="12"/>
      <c r="C71" s="12" t="s">
        <v>955</v>
      </c>
      <c r="D71" s="12" t="s">
        <v>148</v>
      </c>
      <c r="E71" s="12"/>
      <c r="F71" s="12"/>
      <c r="G71" s="39" t="s">
        <v>1199</v>
      </c>
      <c r="H71" s="117"/>
      <c r="I71" s="114"/>
      <c r="J71" s="114"/>
      <c r="K71" s="13">
        <v>8</v>
      </c>
      <c r="L71" s="14" t="s">
        <v>204</v>
      </c>
      <c r="M71" s="12"/>
      <c r="N71" s="12" t="s">
        <v>966</v>
      </c>
      <c r="O71" s="16" t="s">
        <v>1200</v>
      </c>
      <c r="P71" s="13"/>
      <c r="Q71" s="13">
        <v>0</v>
      </c>
      <c r="R71" s="12"/>
      <c r="S71" s="13"/>
      <c r="T71" s="13"/>
      <c r="U71" s="13"/>
      <c r="V71" s="13"/>
      <c r="W71" s="12"/>
      <c r="X71" s="12"/>
      <c r="Y71" s="12"/>
      <c r="Z71" s="38" t="s">
        <v>968</v>
      </c>
      <c r="AA71" s="12"/>
      <c r="AB71" s="12"/>
      <c r="AC71" s="12"/>
      <c r="AD71" s="12"/>
    </row>
    <row r="72" spans="1:30" ht="16.8">
      <c r="A72" s="11">
        <v>71</v>
      </c>
      <c r="B72" s="12"/>
      <c r="C72" s="12" t="s">
        <v>955</v>
      </c>
      <c r="D72" s="12" t="s">
        <v>75</v>
      </c>
      <c r="E72" s="12"/>
      <c r="F72" s="12"/>
      <c r="G72" s="39" t="s">
        <v>1201</v>
      </c>
      <c r="H72" s="116" t="s">
        <v>1202</v>
      </c>
      <c r="I72" s="113" t="s">
        <v>1203</v>
      </c>
      <c r="J72" s="113" t="s">
        <v>1204</v>
      </c>
      <c r="K72" s="13">
        <v>1</v>
      </c>
      <c r="L72" s="14" t="s">
        <v>315</v>
      </c>
      <c r="M72" s="12"/>
      <c r="N72" s="12" t="s">
        <v>1131</v>
      </c>
      <c r="O72" s="12" t="s">
        <v>1205</v>
      </c>
      <c r="P72" s="3" t="s">
        <v>1133</v>
      </c>
      <c r="Q72" s="13">
        <v>0</v>
      </c>
      <c r="R72" s="12"/>
      <c r="S72" s="13">
        <v>0</v>
      </c>
      <c r="T72" s="13">
        <v>1</v>
      </c>
      <c r="U72" s="13">
        <v>1</v>
      </c>
      <c r="V72" s="13">
        <v>0</v>
      </c>
      <c r="W72" s="12"/>
      <c r="X72" s="12"/>
      <c r="Y72" s="12"/>
      <c r="Z72" s="12"/>
      <c r="AA72" s="12"/>
      <c r="AB72" s="12"/>
      <c r="AC72" s="12"/>
      <c r="AD72" s="12"/>
    </row>
    <row r="73" spans="1:30" ht="50.4">
      <c r="A73" s="11">
        <v>72</v>
      </c>
      <c r="B73" s="12"/>
      <c r="C73" s="12" t="s">
        <v>955</v>
      </c>
      <c r="D73" s="12" t="s">
        <v>148</v>
      </c>
      <c r="E73" s="12"/>
      <c r="F73" s="12"/>
      <c r="G73" s="39" t="s">
        <v>1206</v>
      </c>
      <c r="H73" s="117"/>
      <c r="I73" s="114"/>
      <c r="J73" s="114"/>
      <c r="K73" s="13">
        <v>8</v>
      </c>
      <c r="L73" s="14" t="s">
        <v>204</v>
      </c>
      <c r="M73" s="12"/>
      <c r="N73" s="12" t="s">
        <v>966</v>
      </c>
      <c r="O73" s="16" t="s">
        <v>1207</v>
      </c>
      <c r="P73" s="13"/>
      <c r="Q73" s="13">
        <v>0</v>
      </c>
      <c r="R73" s="12"/>
      <c r="S73" s="13"/>
      <c r="T73" s="13"/>
      <c r="U73" s="13">
        <v>1</v>
      </c>
      <c r="V73" s="13">
        <v>0</v>
      </c>
      <c r="W73" s="12"/>
      <c r="X73" s="12"/>
      <c r="Y73" s="12"/>
      <c r="Z73" s="38" t="s">
        <v>968</v>
      </c>
      <c r="AA73" s="12"/>
      <c r="AB73" s="12"/>
      <c r="AC73" s="12"/>
      <c r="AD73" s="12"/>
    </row>
    <row r="74" spans="1:30" ht="16.8">
      <c r="A74" s="11">
        <v>73</v>
      </c>
      <c r="B74" s="12"/>
      <c r="C74" s="12" t="s">
        <v>955</v>
      </c>
      <c r="D74" s="12" t="s">
        <v>75</v>
      </c>
      <c r="E74" s="12"/>
      <c r="F74" s="12"/>
      <c r="G74" s="39" t="s">
        <v>1208</v>
      </c>
      <c r="H74" s="116" t="s">
        <v>1209</v>
      </c>
      <c r="I74" s="113" t="s">
        <v>1210</v>
      </c>
      <c r="J74" s="113" t="s">
        <v>1204</v>
      </c>
      <c r="K74" s="13">
        <v>1</v>
      </c>
      <c r="L74" s="14" t="s">
        <v>315</v>
      </c>
      <c r="M74" s="12"/>
      <c r="N74" s="12" t="s">
        <v>1131</v>
      </c>
      <c r="O74" s="12" t="s">
        <v>1211</v>
      </c>
      <c r="P74" s="3" t="s">
        <v>1133</v>
      </c>
      <c r="Q74" s="13">
        <v>0</v>
      </c>
      <c r="R74" s="12"/>
      <c r="S74" s="13">
        <v>0</v>
      </c>
      <c r="T74" s="13">
        <v>1</v>
      </c>
      <c r="U74" s="13">
        <v>1</v>
      </c>
      <c r="V74" s="13">
        <v>0</v>
      </c>
      <c r="W74" s="12"/>
      <c r="X74" s="12"/>
      <c r="Y74" s="12"/>
      <c r="Z74" s="12"/>
      <c r="AA74" s="12"/>
      <c r="AB74" s="12"/>
      <c r="AC74" s="12"/>
      <c r="AD74" s="12"/>
    </row>
    <row r="75" spans="1:30" ht="50.4">
      <c r="A75" s="11">
        <v>74</v>
      </c>
      <c r="B75" s="12"/>
      <c r="C75" s="12" t="s">
        <v>955</v>
      </c>
      <c r="D75" s="12" t="s">
        <v>148</v>
      </c>
      <c r="E75" s="12"/>
      <c r="F75" s="12"/>
      <c r="G75" s="39" t="s">
        <v>1212</v>
      </c>
      <c r="H75" s="117"/>
      <c r="I75" s="114"/>
      <c r="J75" s="114"/>
      <c r="K75" s="13">
        <v>8</v>
      </c>
      <c r="L75" s="14" t="s">
        <v>204</v>
      </c>
      <c r="M75" s="12"/>
      <c r="N75" s="12" t="s">
        <v>966</v>
      </c>
      <c r="O75" s="12" t="s">
        <v>1213</v>
      </c>
      <c r="P75" s="13"/>
      <c r="Q75" s="13">
        <v>0</v>
      </c>
      <c r="R75" s="12"/>
      <c r="S75" s="13"/>
      <c r="T75" s="13"/>
      <c r="U75" s="13"/>
      <c r="V75" s="13"/>
      <c r="W75" s="12"/>
      <c r="X75" s="12"/>
      <c r="Y75" s="12"/>
      <c r="Z75" s="38" t="s">
        <v>968</v>
      </c>
      <c r="AA75" s="12"/>
      <c r="AB75" s="12"/>
      <c r="AC75" s="12"/>
      <c r="AD75" s="12"/>
    </row>
    <row r="76" spans="1:30" ht="16.8">
      <c r="A76" s="11">
        <v>75</v>
      </c>
      <c r="B76" s="12"/>
      <c r="C76" s="12" t="s">
        <v>955</v>
      </c>
      <c r="D76" s="12" t="s">
        <v>148</v>
      </c>
      <c r="E76" s="12"/>
      <c r="F76" s="12"/>
      <c r="G76" s="39" t="s">
        <v>1214</v>
      </c>
      <c r="H76" s="12" t="s">
        <v>1215</v>
      </c>
      <c r="I76" s="56" t="s">
        <v>1216</v>
      </c>
      <c r="J76" s="58" t="e">
        <v>#N/A</v>
      </c>
      <c r="K76" s="13">
        <v>16</v>
      </c>
      <c r="L76" s="14" t="s">
        <v>155</v>
      </c>
      <c r="M76" s="12"/>
      <c r="N76" s="16" t="s">
        <v>1039</v>
      </c>
      <c r="O76" s="12" t="s">
        <v>1217</v>
      </c>
      <c r="P76" s="13"/>
      <c r="Q76" s="13">
        <v>0</v>
      </c>
      <c r="R76" s="13"/>
      <c r="S76" s="13">
        <v>0</v>
      </c>
      <c r="T76" s="13">
        <v>5000</v>
      </c>
      <c r="U76" s="13">
        <v>1</v>
      </c>
      <c r="V76" s="13">
        <v>0</v>
      </c>
      <c r="W76" s="12"/>
      <c r="X76" s="12" t="s">
        <v>1041</v>
      </c>
      <c r="Y76" s="12"/>
      <c r="Z76" s="12" t="s">
        <v>1042</v>
      </c>
      <c r="AA76" s="12"/>
      <c r="AB76" s="12"/>
      <c r="AC76" s="12"/>
      <c r="AD76" s="12"/>
    </row>
    <row r="77" spans="1:30" ht="16.8">
      <c r="A77" s="11">
        <v>76</v>
      </c>
      <c r="B77" s="12"/>
      <c r="C77" s="12" t="s">
        <v>955</v>
      </c>
      <c r="D77" s="12" t="s">
        <v>148</v>
      </c>
      <c r="E77" s="12"/>
      <c r="F77" s="12"/>
      <c r="G77" s="39" t="s">
        <v>1218</v>
      </c>
      <c r="H77" s="12" t="s">
        <v>1219</v>
      </c>
      <c r="I77" s="56" t="s">
        <v>1220</v>
      </c>
      <c r="J77" s="58" t="e">
        <v>#N/A</v>
      </c>
      <c r="K77" s="13">
        <v>16</v>
      </c>
      <c r="L77" s="14" t="s">
        <v>155</v>
      </c>
      <c r="M77" s="12"/>
      <c r="N77" s="16" t="s">
        <v>1039</v>
      </c>
      <c r="O77" s="12" t="s">
        <v>1221</v>
      </c>
      <c r="P77" s="13"/>
      <c r="Q77" s="13">
        <v>0</v>
      </c>
      <c r="R77" s="13"/>
      <c r="S77" s="13">
        <v>0</v>
      </c>
      <c r="T77" s="13">
        <v>5000</v>
      </c>
      <c r="U77" s="13">
        <v>1</v>
      </c>
      <c r="V77" s="13">
        <v>0</v>
      </c>
      <c r="W77" s="12"/>
      <c r="X77" s="12" t="s">
        <v>1041</v>
      </c>
      <c r="Y77" s="12"/>
      <c r="Z77" s="12" t="s">
        <v>1042</v>
      </c>
      <c r="AA77" s="12"/>
      <c r="AB77" s="12"/>
      <c r="AC77" s="12"/>
      <c r="AD77" s="12"/>
    </row>
    <row r="78" spans="1:30" ht="16.8">
      <c r="A78" s="11">
        <v>77</v>
      </c>
      <c r="B78" s="12"/>
      <c r="C78" s="12" t="s">
        <v>955</v>
      </c>
      <c r="D78" s="12" t="s">
        <v>148</v>
      </c>
      <c r="E78" s="12"/>
      <c r="F78" s="12"/>
      <c r="G78" s="39" t="s">
        <v>1222</v>
      </c>
      <c r="H78" s="12" t="s">
        <v>1223</v>
      </c>
      <c r="I78" s="56" t="s">
        <v>1224</v>
      </c>
      <c r="J78" s="58" t="e">
        <v>#N/A</v>
      </c>
      <c r="K78" s="13">
        <v>16</v>
      </c>
      <c r="L78" s="14" t="s">
        <v>155</v>
      </c>
      <c r="M78" s="12"/>
      <c r="N78" s="16" t="s">
        <v>1039</v>
      </c>
      <c r="O78" s="12" t="s">
        <v>1225</v>
      </c>
      <c r="P78" s="13"/>
      <c r="Q78" s="13">
        <v>0</v>
      </c>
      <c r="R78" s="13"/>
      <c r="S78" s="13">
        <v>0</v>
      </c>
      <c r="T78" s="13">
        <v>5000</v>
      </c>
      <c r="U78" s="13">
        <v>1</v>
      </c>
      <c r="V78" s="13">
        <v>0</v>
      </c>
      <c r="W78" s="12"/>
      <c r="X78" s="12" t="s">
        <v>1041</v>
      </c>
      <c r="Y78" s="12"/>
      <c r="Z78" s="12" t="s">
        <v>1042</v>
      </c>
      <c r="AA78" s="12"/>
      <c r="AB78" s="12"/>
      <c r="AC78" s="12"/>
      <c r="AD78" s="12"/>
    </row>
    <row r="79" spans="1:30" ht="16.8">
      <c r="A79" s="11">
        <v>78</v>
      </c>
      <c r="B79" s="12"/>
      <c r="C79" s="12" t="s">
        <v>955</v>
      </c>
      <c r="D79" s="12" t="s">
        <v>148</v>
      </c>
      <c r="E79" s="12"/>
      <c r="F79" s="12"/>
      <c r="G79" s="39" t="s">
        <v>1226</v>
      </c>
      <c r="H79" s="12" t="s">
        <v>1227</v>
      </c>
      <c r="I79" s="56" t="s">
        <v>1228</v>
      </c>
      <c r="J79" s="58" t="e">
        <v>#N/A</v>
      </c>
      <c r="K79" s="13">
        <v>16</v>
      </c>
      <c r="L79" s="14" t="s">
        <v>155</v>
      </c>
      <c r="M79" s="12"/>
      <c r="N79" s="16" t="s">
        <v>1039</v>
      </c>
      <c r="O79" s="12" t="s">
        <v>1229</v>
      </c>
      <c r="P79" s="13"/>
      <c r="Q79" s="13">
        <v>0</v>
      </c>
      <c r="R79" s="13"/>
      <c r="S79" s="13">
        <v>0</v>
      </c>
      <c r="T79" s="13">
        <v>5000</v>
      </c>
      <c r="U79" s="13">
        <v>1</v>
      </c>
      <c r="V79" s="13">
        <v>0</v>
      </c>
      <c r="W79" s="12"/>
      <c r="X79" s="12" t="s">
        <v>1041</v>
      </c>
      <c r="Y79" s="12"/>
      <c r="Z79" s="12" t="s">
        <v>1042</v>
      </c>
      <c r="AA79" s="12"/>
      <c r="AB79" s="12"/>
      <c r="AC79" s="12"/>
      <c r="AD79" s="12"/>
    </row>
    <row r="80" spans="1:30" ht="16.8">
      <c r="A80" s="11">
        <v>79</v>
      </c>
      <c r="B80" s="12"/>
      <c r="C80" s="12" t="s">
        <v>955</v>
      </c>
      <c r="D80" s="12" t="s">
        <v>148</v>
      </c>
      <c r="E80" s="12"/>
      <c r="F80" s="12"/>
      <c r="G80" s="39" t="s">
        <v>1230</v>
      </c>
      <c r="H80" s="12" t="s">
        <v>1231</v>
      </c>
      <c r="I80" s="56" t="s">
        <v>1232</v>
      </c>
      <c r="J80" s="58" t="e">
        <v>#N/A</v>
      </c>
      <c r="K80" s="13">
        <v>16</v>
      </c>
      <c r="L80" s="14" t="s">
        <v>155</v>
      </c>
      <c r="M80" s="12"/>
      <c r="N80" s="16" t="s">
        <v>1039</v>
      </c>
      <c r="O80" s="12" t="s">
        <v>1233</v>
      </c>
      <c r="P80" s="13"/>
      <c r="Q80" s="13">
        <v>0</v>
      </c>
      <c r="R80" s="13"/>
      <c r="S80" s="13">
        <v>0</v>
      </c>
      <c r="T80" s="13">
        <v>5000</v>
      </c>
      <c r="U80" s="13">
        <v>1</v>
      </c>
      <c r="V80" s="13">
        <v>0</v>
      </c>
      <c r="W80" s="12"/>
      <c r="X80" s="12" t="s">
        <v>1041</v>
      </c>
      <c r="Y80" s="12"/>
      <c r="Z80" s="12" t="s">
        <v>1042</v>
      </c>
      <c r="AA80" s="12"/>
      <c r="AB80" s="12"/>
      <c r="AC80" s="12"/>
      <c r="AD80" s="12"/>
    </row>
    <row r="81" spans="1:30" ht="16.8">
      <c r="A81" s="11">
        <v>80</v>
      </c>
      <c r="B81" s="12"/>
      <c r="C81" s="12" t="s">
        <v>955</v>
      </c>
      <c r="D81" s="12" t="s">
        <v>148</v>
      </c>
      <c r="E81" s="12"/>
      <c r="F81" s="12"/>
      <c r="G81" s="39" t="s">
        <v>1234</v>
      </c>
      <c r="H81" s="12" t="s">
        <v>1235</v>
      </c>
      <c r="I81" s="56" t="s">
        <v>1236</v>
      </c>
      <c r="J81" s="58" t="e">
        <v>#N/A</v>
      </c>
      <c r="K81" s="13">
        <v>16</v>
      </c>
      <c r="L81" s="14" t="s">
        <v>155</v>
      </c>
      <c r="M81" s="12"/>
      <c r="N81" s="16" t="s">
        <v>1039</v>
      </c>
      <c r="O81" s="12" t="s">
        <v>1237</v>
      </c>
      <c r="P81" s="13"/>
      <c r="Q81" s="13">
        <v>0</v>
      </c>
      <c r="R81" s="13"/>
      <c r="S81" s="13">
        <v>0</v>
      </c>
      <c r="T81" s="13">
        <v>5000</v>
      </c>
      <c r="U81" s="13">
        <v>1</v>
      </c>
      <c r="V81" s="13">
        <v>0</v>
      </c>
      <c r="W81" s="12"/>
      <c r="X81" s="12" t="s">
        <v>1041</v>
      </c>
      <c r="Y81" s="12"/>
      <c r="Z81" s="12" t="s">
        <v>1042</v>
      </c>
      <c r="AA81" s="12"/>
      <c r="AB81" s="12"/>
      <c r="AC81" s="12"/>
      <c r="AD81" s="12"/>
    </row>
    <row r="82" spans="1:30" ht="16.8">
      <c r="A82" s="11">
        <v>81</v>
      </c>
      <c r="B82" s="12"/>
      <c r="C82" s="12" t="s">
        <v>955</v>
      </c>
      <c r="D82" s="12" t="s">
        <v>148</v>
      </c>
      <c r="E82" s="12"/>
      <c r="F82" s="12"/>
      <c r="G82" s="39" t="s">
        <v>1238</v>
      </c>
      <c r="H82" s="12" t="s">
        <v>1239</v>
      </c>
      <c r="I82" s="56" t="s">
        <v>1240</v>
      </c>
      <c r="J82" s="58" t="e">
        <v>#N/A</v>
      </c>
      <c r="K82" s="13">
        <v>16</v>
      </c>
      <c r="L82" s="14" t="s">
        <v>155</v>
      </c>
      <c r="M82" s="12"/>
      <c r="N82" s="16" t="s">
        <v>1039</v>
      </c>
      <c r="O82" s="12" t="s">
        <v>1241</v>
      </c>
      <c r="P82" s="13"/>
      <c r="Q82" s="13">
        <v>0</v>
      </c>
      <c r="R82" s="13"/>
      <c r="S82" s="13">
        <v>0</v>
      </c>
      <c r="T82" s="13">
        <v>5000</v>
      </c>
      <c r="U82" s="13">
        <v>1</v>
      </c>
      <c r="V82" s="13">
        <v>0</v>
      </c>
      <c r="W82" s="12"/>
      <c r="X82" s="12" t="s">
        <v>1041</v>
      </c>
      <c r="Y82" s="12"/>
      <c r="Z82" s="12" t="s">
        <v>1042</v>
      </c>
      <c r="AA82" s="12"/>
      <c r="AB82" s="12"/>
      <c r="AC82" s="12"/>
      <c r="AD82" s="12"/>
    </row>
    <row r="83" spans="1:30" ht="16.8">
      <c r="A83" s="11">
        <v>82</v>
      </c>
      <c r="B83" s="12"/>
      <c r="C83" s="12" t="s">
        <v>955</v>
      </c>
      <c r="D83" s="12" t="s">
        <v>148</v>
      </c>
      <c r="E83" s="12"/>
      <c r="F83" s="12"/>
      <c r="G83" s="39" t="s">
        <v>1242</v>
      </c>
      <c r="H83" s="12" t="s">
        <v>1243</v>
      </c>
      <c r="I83" s="56" t="s">
        <v>1244</v>
      </c>
      <c r="J83" s="58" t="e">
        <v>#N/A</v>
      </c>
      <c r="K83" s="13">
        <v>16</v>
      </c>
      <c r="L83" s="14" t="s">
        <v>155</v>
      </c>
      <c r="M83" s="12"/>
      <c r="N83" s="16" t="s">
        <v>1039</v>
      </c>
      <c r="O83" s="12" t="s">
        <v>1245</v>
      </c>
      <c r="P83" s="13"/>
      <c r="Q83" s="13">
        <v>0</v>
      </c>
      <c r="R83" s="13"/>
      <c r="S83" s="13">
        <v>0</v>
      </c>
      <c r="T83" s="13">
        <v>5000</v>
      </c>
      <c r="U83" s="13">
        <v>1</v>
      </c>
      <c r="V83" s="13">
        <v>0</v>
      </c>
      <c r="W83" s="12"/>
      <c r="X83" s="12" t="s">
        <v>1041</v>
      </c>
      <c r="Y83" s="12"/>
      <c r="Z83" s="12" t="s">
        <v>1042</v>
      </c>
      <c r="AA83" s="12"/>
      <c r="AB83" s="12"/>
      <c r="AC83" s="12"/>
      <c r="AD83" s="12"/>
    </row>
    <row r="84" spans="1:30" ht="16.8">
      <c r="A84" s="11">
        <v>83</v>
      </c>
      <c r="B84" s="12"/>
      <c r="C84" s="12" t="s">
        <v>955</v>
      </c>
      <c r="D84" s="12" t="s">
        <v>148</v>
      </c>
      <c r="E84" s="12"/>
      <c r="F84" s="12"/>
      <c r="G84" s="39" t="s">
        <v>1246</v>
      </c>
      <c r="H84" s="12" t="s">
        <v>1247</v>
      </c>
      <c r="I84" s="56" t="s">
        <v>1248</v>
      </c>
      <c r="J84" s="58" t="e">
        <v>#N/A</v>
      </c>
      <c r="K84" s="13">
        <v>16</v>
      </c>
      <c r="L84" s="14" t="s">
        <v>155</v>
      </c>
      <c r="M84" s="12"/>
      <c r="N84" s="16" t="s">
        <v>1039</v>
      </c>
      <c r="O84" s="12" t="s">
        <v>1249</v>
      </c>
      <c r="P84" s="13"/>
      <c r="Q84" s="13">
        <v>0</v>
      </c>
      <c r="R84" s="13"/>
      <c r="S84" s="13">
        <v>0</v>
      </c>
      <c r="T84" s="13">
        <v>5000</v>
      </c>
      <c r="U84" s="13">
        <v>1</v>
      </c>
      <c r="V84" s="13">
        <v>0</v>
      </c>
      <c r="W84" s="12"/>
      <c r="X84" s="12" t="s">
        <v>1041</v>
      </c>
      <c r="Y84" s="12"/>
      <c r="Z84" s="12" t="s">
        <v>1042</v>
      </c>
      <c r="AA84" s="12"/>
      <c r="AB84" s="12"/>
      <c r="AC84" s="12"/>
      <c r="AD84" s="12"/>
    </row>
    <row r="85" spans="1:30" ht="16.8">
      <c r="A85" s="11">
        <v>84</v>
      </c>
      <c r="B85" s="12"/>
      <c r="C85" s="12" t="s">
        <v>955</v>
      </c>
      <c r="D85" s="12" t="s">
        <v>148</v>
      </c>
      <c r="E85" s="12"/>
      <c r="F85" s="12"/>
      <c r="G85" s="39" t="s">
        <v>1250</v>
      </c>
      <c r="H85" s="12" t="s">
        <v>1251</v>
      </c>
      <c r="I85" s="56" t="s">
        <v>1252</v>
      </c>
      <c r="J85" s="58" t="e">
        <v>#N/A</v>
      </c>
      <c r="K85" s="13">
        <v>16</v>
      </c>
      <c r="L85" s="14" t="s">
        <v>155</v>
      </c>
      <c r="M85" s="12"/>
      <c r="N85" s="16" t="s">
        <v>1039</v>
      </c>
      <c r="O85" s="12" t="s">
        <v>1253</v>
      </c>
      <c r="P85" s="13"/>
      <c r="Q85" s="13">
        <v>0</v>
      </c>
      <c r="R85" s="13"/>
      <c r="S85" s="13">
        <v>0</v>
      </c>
      <c r="T85" s="13">
        <v>5000</v>
      </c>
      <c r="U85" s="13">
        <v>1</v>
      </c>
      <c r="V85" s="13">
        <v>0</v>
      </c>
      <c r="W85" s="12"/>
      <c r="X85" s="12" t="s">
        <v>1041</v>
      </c>
      <c r="Y85" s="12"/>
      <c r="Z85" s="12" t="s">
        <v>1042</v>
      </c>
      <c r="AA85" s="12"/>
      <c r="AB85" s="12"/>
      <c r="AC85" s="12"/>
      <c r="AD85" s="12"/>
    </row>
    <row r="86" spans="1:30" ht="16.8">
      <c r="A86" s="11">
        <v>85</v>
      </c>
      <c r="B86" s="12"/>
      <c r="C86" s="12" t="s">
        <v>955</v>
      </c>
      <c r="D86" s="12" t="s">
        <v>148</v>
      </c>
      <c r="E86" s="12"/>
      <c r="F86" s="12"/>
      <c r="G86" s="39" t="s">
        <v>1254</v>
      </c>
      <c r="H86" s="12" t="s">
        <v>1255</v>
      </c>
      <c r="I86" s="56" t="s">
        <v>1256</v>
      </c>
      <c r="J86" s="58" t="e">
        <v>#N/A</v>
      </c>
      <c r="K86" s="13">
        <v>16</v>
      </c>
      <c r="L86" s="14" t="s">
        <v>155</v>
      </c>
      <c r="M86" s="12"/>
      <c r="N86" s="16" t="s">
        <v>1039</v>
      </c>
      <c r="O86" s="12" t="s">
        <v>1257</v>
      </c>
      <c r="P86" s="13"/>
      <c r="Q86" s="13">
        <v>0</v>
      </c>
      <c r="R86" s="13"/>
      <c r="S86" s="13">
        <v>0</v>
      </c>
      <c r="T86" s="13">
        <v>5000</v>
      </c>
      <c r="U86" s="13">
        <v>1</v>
      </c>
      <c r="V86" s="13">
        <v>0</v>
      </c>
      <c r="W86" s="12"/>
      <c r="X86" s="12" t="s">
        <v>1041</v>
      </c>
      <c r="Y86" s="12"/>
      <c r="Z86" s="12" t="s">
        <v>1042</v>
      </c>
      <c r="AA86" s="12"/>
      <c r="AB86" s="12"/>
      <c r="AC86" s="12"/>
      <c r="AD86" s="12"/>
    </row>
    <row r="87" spans="1:30" ht="16.95" customHeight="1">
      <c r="A87" s="11">
        <v>86</v>
      </c>
      <c r="B87" s="12"/>
      <c r="C87" s="12" t="s">
        <v>955</v>
      </c>
      <c r="D87" s="12" t="s">
        <v>75</v>
      </c>
      <c r="E87" s="12"/>
      <c r="F87" s="12"/>
      <c r="G87" s="39" t="s">
        <v>1258</v>
      </c>
      <c r="H87" s="116" t="s">
        <v>1259</v>
      </c>
      <c r="I87" s="113" t="s">
        <v>1260</v>
      </c>
      <c r="J87" s="113" t="s">
        <v>1197</v>
      </c>
      <c r="K87" s="13">
        <v>1</v>
      </c>
      <c r="L87" s="14" t="s">
        <v>315</v>
      </c>
      <c r="M87" s="12"/>
      <c r="N87" s="12" t="s">
        <v>1131</v>
      </c>
      <c r="O87" s="16" t="s">
        <v>1261</v>
      </c>
      <c r="P87" s="3" t="s">
        <v>1133</v>
      </c>
      <c r="Q87" s="13">
        <v>0</v>
      </c>
      <c r="R87" s="12"/>
      <c r="S87" s="13">
        <v>0</v>
      </c>
      <c r="T87" s="13">
        <v>1</v>
      </c>
      <c r="U87" s="13">
        <v>1</v>
      </c>
      <c r="V87" s="13">
        <v>0</v>
      </c>
      <c r="W87" s="12"/>
      <c r="X87" s="12"/>
      <c r="Y87" s="12"/>
      <c r="Z87" s="12"/>
      <c r="AA87" s="12"/>
      <c r="AB87" s="12"/>
      <c r="AC87" s="12"/>
      <c r="AD87" s="12"/>
    </row>
    <row r="88" spans="1:30" ht="50.4" customHeight="1">
      <c r="A88" s="11">
        <v>87</v>
      </c>
      <c r="B88" s="12"/>
      <c r="C88" s="12" t="s">
        <v>955</v>
      </c>
      <c r="D88" s="12" t="s">
        <v>148</v>
      </c>
      <c r="E88" s="12"/>
      <c r="F88" s="12"/>
      <c r="G88" s="39" t="s">
        <v>1262</v>
      </c>
      <c r="H88" s="117"/>
      <c r="I88" s="114"/>
      <c r="J88" s="114"/>
      <c r="K88" s="13">
        <v>8</v>
      </c>
      <c r="L88" s="14" t="s">
        <v>204</v>
      </c>
      <c r="M88" s="12"/>
      <c r="N88" s="12" t="s">
        <v>966</v>
      </c>
      <c r="O88" s="16" t="s">
        <v>1263</v>
      </c>
      <c r="P88" s="13"/>
      <c r="Q88" s="13">
        <v>0</v>
      </c>
      <c r="R88" s="12"/>
      <c r="S88" s="13"/>
      <c r="T88" s="13"/>
      <c r="U88" s="13"/>
      <c r="V88" s="13"/>
      <c r="W88" s="12"/>
      <c r="X88" s="12"/>
      <c r="Y88" s="12"/>
      <c r="Z88" s="38" t="s">
        <v>968</v>
      </c>
      <c r="AA88" s="12"/>
      <c r="AB88" s="12"/>
      <c r="AC88" s="12"/>
      <c r="AD88" s="12"/>
    </row>
    <row r="89" spans="1:30" ht="16.8">
      <c r="A89" s="11">
        <v>88</v>
      </c>
      <c r="B89" s="12"/>
      <c r="C89" s="12" t="s">
        <v>955</v>
      </c>
      <c r="D89" s="12" t="s">
        <v>75</v>
      </c>
      <c r="E89" s="12"/>
      <c r="F89" s="12"/>
      <c r="G89" s="39" t="s">
        <v>1264</v>
      </c>
      <c r="H89" s="116" t="s">
        <v>1265</v>
      </c>
      <c r="I89" s="113" t="s">
        <v>1266</v>
      </c>
      <c r="J89" s="113" t="s">
        <v>1204</v>
      </c>
      <c r="K89" s="13">
        <v>1</v>
      </c>
      <c r="L89" s="14" t="s">
        <v>315</v>
      </c>
      <c r="M89" s="12"/>
      <c r="N89" s="12" t="s">
        <v>1131</v>
      </c>
      <c r="O89" s="16" t="s">
        <v>1267</v>
      </c>
      <c r="P89" s="3" t="s">
        <v>1133</v>
      </c>
      <c r="Q89" s="13">
        <v>0</v>
      </c>
      <c r="R89" s="12"/>
      <c r="S89" s="13">
        <v>0</v>
      </c>
      <c r="T89" s="13">
        <v>1</v>
      </c>
      <c r="U89" s="13">
        <v>1</v>
      </c>
      <c r="V89" s="13">
        <v>0</v>
      </c>
      <c r="W89" s="12"/>
      <c r="X89" s="12"/>
      <c r="Y89" s="12"/>
      <c r="Z89" s="12"/>
      <c r="AA89" s="12"/>
      <c r="AB89" s="12"/>
      <c r="AC89" s="12"/>
      <c r="AD89" s="12"/>
    </row>
    <row r="90" spans="1:30" ht="50.4" customHeight="1">
      <c r="A90" s="11">
        <v>89</v>
      </c>
      <c r="B90" s="12"/>
      <c r="C90" s="12" t="s">
        <v>955</v>
      </c>
      <c r="D90" s="12" t="s">
        <v>148</v>
      </c>
      <c r="E90" s="12"/>
      <c r="F90" s="12"/>
      <c r="G90" s="39" t="s">
        <v>1268</v>
      </c>
      <c r="H90" s="117"/>
      <c r="I90" s="114"/>
      <c r="J90" s="114"/>
      <c r="K90" s="13">
        <v>8</v>
      </c>
      <c r="L90" s="14" t="s">
        <v>204</v>
      </c>
      <c r="M90" s="12"/>
      <c r="N90" s="12" t="s">
        <v>966</v>
      </c>
      <c r="O90" s="16" t="s">
        <v>1269</v>
      </c>
      <c r="P90" s="13"/>
      <c r="Q90" s="13">
        <v>0</v>
      </c>
      <c r="R90" s="12"/>
      <c r="S90" s="13"/>
      <c r="T90" s="13"/>
      <c r="U90" s="13"/>
      <c r="V90" s="13"/>
      <c r="W90" s="12"/>
      <c r="X90" s="12"/>
      <c r="Y90" s="12"/>
      <c r="Z90" s="38" t="s">
        <v>968</v>
      </c>
      <c r="AA90" s="12"/>
      <c r="AB90" s="12"/>
      <c r="AC90" s="12"/>
      <c r="AD90" s="12"/>
    </row>
    <row r="91" spans="1:30" ht="16.8">
      <c r="A91" s="11">
        <v>90</v>
      </c>
      <c r="B91" s="12"/>
      <c r="C91" s="12" t="s">
        <v>955</v>
      </c>
      <c r="D91" s="12" t="s">
        <v>75</v>
      </c>
      <c r="E91" s="12"/>
      <c r="F91" s="12"/>
      <c r="G91" s="39" t="s">
        <v>1270</v>
      </c>
      <c r="H91" s="116" t="s">
        <v>1271</v>
      </c>
      <c r="I91" s="113" t="s">
        <v>1272</v>
      </c>
      <c r="J91" s="113" t="s">
        <v>1130</v>
      </c>
      <c r="K91" s="13">
        <v>1</v>
      </c>
      <c r="L91" s="14" t="s">
        <v>315</v>
      </c>
      <c r="M91" s="12"/>
      <c r="N91" s="12" t="s">
        <v>1131</v>
      </c>
      <c r="O91" s="16" t="s">
        <v>1273</v>
      </c>
      <c r="P91" s="3" t="s">
        <v>1133</v>
      </c>
      <c r="Q91" s="13">
        <v>0</v>
      </c>
      <c r="R91" s="12"/>
      <c r="S91" s="13">
        <v>0</v>
      </c>
      <c r="T91" s="13">
        <v>1</v>
      </c>
      <c r="U91" s="13">
        <v>1</v>
      </c>
      <c r="V91" s="13">
        <v>0</v>
      </c>
      <c r="W91" s="12"/>
      <c r="X91" s="12"/>
      <c r="Y91" s="12"/>
      <c r="Z91" s="12"/>
      <c r="AA91" s="12"/>
      <c r="AB91" s="12"/>
      <c r="AC91" s="12"/>
      <c r="AD91" s="12"/>
    </row>
    <row r="92" spans="1:30" ht="50.4">
      <c r="A92" s="11">
        <v>91</v>
      </c>
      <c r="B92" s="12"/>
      <c r="C92" s="12" t="s">
        <v>955</v>
      </c>
      <c r="D92" s="12" t="s">
        <v>148</v>
      </c>
      <c r="E92" s="12"/>
      <c r="F92" s="12"/>
      <c r="G92" s="39" t="s">
        <v>1274</v>
      </c>
      <c r="H92" s="117"/>
      <c r="I92" s="114"/>
      <c r="J92" s="114"/>
      <c r="K92" s="13">
        <v>8</v>
      </c>
      <c r="L92" s="14" t="s">
        <v>204</v>
      </c>
      <c r="M92" s="12"/>
      <c r="N92" s="12" t="s">
        <v>966</v>
      </c>
      <c r="O92" s="16" t="s">
        <v>1275</v>
      </c>
      <c r="P92" s="13"/>
      <c r="Q92" s="13">
        <v>0</v>
      </c>
      <c r="R92" s="12"/>
      <c r="S92" s="13"/>
      <c r="T92" s="13"/>
      <c r="U92" s="13"/>
      <c r="V92" s="13"/>
      <c r="W92" s="12"/>
      <c r="X92" s="12"/>
      <c r="Y92" s="12"/>
      <c r="Z92" s="38" t="s">
        <v>968</v>
      </c>
      <c r="AA92" s="12"/>
      <c r="AB92" s="12"/>
      <c r="AC92" s="12"/>
      <c r="AD92" s="12"/>
    </row>
    <row r="93" spans="1:30" ht="16.8">
      <c r="A93" s="11">
        <v>92</v>
      </c>
      <c r="B93" s="12"/>
      <c r="C93" s="12" t="s">
        <v>955</v>
      </c>
      <c r="D93" s="12" t="s">
        <v>75</v>
      </c>
      <c r="E93" s="12"/>
      <c r="F93" s="12"/>
      <c r="G93" s="39" t="s">
        <v>1276</v>
      </c>
      <c r="H93" s="116" t="s">
        <v>1277</v>
      </c>
      <c r="I93" s="113" t="s">
        <v>1278</v>
      </c>
      <c r="J93" s="113" t="s">
        <v>1165</v>
      </c>
      <c r="K93" s="13">
        <v>1</v>
      </c>
      <c r="L93" s="14" t="s">
        <v>315</v>
      </c>
      <c r="M93" s="12"/>
      <c r="N93" s="12" t="s">
        <v>1131</v>
      </c>
      <c r="O93" s="16" t="s">
        <v>1279</v>
      </c>
      <c r="P93" s="3" t="s">
        <v>1133</v>
      </c>
      <c r="Q93" s="13">
        <v>0</v>
      </c>
      <c r="R93" s="12"/>
      <c r="S93" s="13">
        <v>0</v>
      </c>
      <c r="T93" s="13">
        <v>1</v>
      </c>
      <c r="U93" s="13">
        <v>1</v>
      </c>
      <c r="V93" s="13">
        <v>0</v>
      </c>
      <c r="W93" s="12"/>
      <c r="X93" s="12"/>
      <c r="Y93" s="12"/>
      <c r="Z93" s="12"/>
      <c r="AA93" s="12"/>
      <c r="AB93" s="12"/>
      <c r="AC93" s="12"/>
      <c r="AD93" s="12"/>
    </row>
    <row r="94" spans="1:30" ht="50.4">
      <c r="A94" s="11">
        <v>93</v>
      </c>
      <c r="B94" s="12"/>
      <c r="C94" s="12" t="s">
        <v>955</v>
      </c>
      <c r="D94" s="12" t="s">
        <v>148</v>
      </c>
      <c r="E94" s="12"/>
      <c r="F94" s="12"/>
      <c r="G94" s="39" t="s">
        <v>1280</v>
      </c>
      <c r="H94" s="117"/>
      <c r="I94" s="114"/>
      <c r="J94" s="114"/>
      <c r="K94" s="13">
        <v>8</v>
      </c>
      <c r="L94" s="14" t="s">
        <v>204</v>
      </c>
      <c r="M94" s="12"/>
      <c r="N94" s="12" t="s">
        <v>966</v>
      </c>
      <c r="O94" s="16" t="s">
        <v>1281</v>
      </c>
      <c r="P94" s="13"/>
      <c r="Q94" s="13">
        <v>0</v>
      </c>
      <c r="R94" s="12"/>
      <c r="S94" s="13"/>
      <c r="T94" s="13"/>
      <c r="U94" s="13"/>
      <c r="V94" s="13"/>
      <c r="W94" s="12"/>
      <c r="X94" s="12"/>
      <c r="Y94" s="12"/>
      <c r="Z94" s="38" t="s">
        <v>968</v>
      </c>
      <c r="AA94" s="12"/>
      <c r="AB94" s="12"/>
      <c r="AC94" s="12"/>
      <c r="AD94" s="12"/>
    </row>
    <row r="95" spans="1:30" ht="16.8">
      <c r="A95" s="11">
        <v>94</v>
      </c>
      <c r="B95" s="12"/>
      <c r="C95" s="12" t="s">
        <v>955</v>
      </c>
      <c r="D95" s="12" t="s">
        <v>75</v>
      </c>
      <c r="E95" s="12"/>
      <c r="F95" s="12"/>
      <c r="G95" s="39" t="s">
        <v>1282</v>
      </c>
      <c r="H95" s="116" t="s">
        <v>1283</v>
      </c>
      <c r="I95" s="113" t="s">
        <v>1284</v>
      </c>
      <c r="J95" s="113" t="s">
        <v>1285</v>
      </c>
      <c r="K95" s="13">
        <v>1</v>
      </c>
      <c r="L95" s="14" t="s">
        <v>315</v>
      </c>
      <c r="M95" s="12"/>
      <c r="N95" s="12" t="s">
        <v>1131</v>
      </c>
      <c r="O95" s="16" t="s">
        <v>1286</v>
      </c>
      <c r="P95" s="3" t="s">
        <v>1133</v>
      </c>
      <c r="Q95" s="13">
        <v>0</v>
      </c>
      <c r="R95" s="12"/>
      <c r="S95" s="13">
        <v>0</v>
      </c>
      <c r="T95" s="13">
        <v>1</v>
      </c>
      <c r="U95" s="13">
        <v>1</v>
      </c>
      <c r="V95" s="13">
        <v>0</v>
      </c>
      <c r="W95" s="12"/>
      <c r="X95" s="12"/>
      <c r="Y95" s="12"/>
      <c r="Z95" s="12"/>
      <c r="AA95" s="12"/>
      <c r="AB95" s="12"/>
      <c r="AC95" s="12"/>
      <c r="AD95" s="12"/>
    </row>
    <row r="96" spans="1:30" ht="50.4">
      <c r="A96" s="11">
        <v>95</v>
      </c>
      <c r="B96" s="12"/>
      <c r="C96" s="12" t="s">
        <v>955</v>
      </c>
      <c r="D96" s="12" t="s">
        <v>148</v>
      </c>
      <c r="E96" s="12"/>
      <c r="F96" s="12"/>
      <c r="G96" s="39" t="s">
        <v>1287</v>
      </c>
      <c r="H96" s="117"/>
      <c r="I96" s="114"/>
      <c r="J96" s="114"/>
      <c r="K96" s="13">
        <v>8</v>
      </c>
      <c r="L96" s="14" t="s">
        <v>204</v>
      </c>
      <c r="M96" s="12"/>
      <c r="N96" s="12" t="s">
        <v>966</v>
      </c>
      <c r="O96" s="16" t="s">
        <v>1288</v>
      </c>
      <c r="P96" s="13"/>
      <c r="Q96" s="13">
        <v>0</v>
      </c>
      <c r="R96" s="12"/>
      <c r="S96" s="13"/>
      <c r="T96" s="13"/>
      <c r="U96" s="13"/>
      <c r="V96" s="13"/>
      <c r="W96" s="12"/>
      <c r="X96" s="12"/>
      <c r="Y96" s="12"/>
      <c r="Z96" s="38" t="s">
        <v>968</v>
      </c>
      <c r="AA96" s="12"/>
      <c r="AB96" s="12"/>
      <c r="AC96" s="12"/>
      <c r="AD96" s="12"/>
    </row>
    <row r="97" spans="1:30" s="73" customFormat="1" ht="16.8">
      <c r="A97" s="69">
        <v>96</v>
      </c>
      <c r="B97" s="70"/>
      <c r="C97" s="70" t="s">
        <v>955</v>
      </c>
      <c r="D97" s="70" t="s">
        <v>148</v>
      </c>
      <c r="E97" s="70"/>
      <c r="F97" s="70"/>
      <c r="G97" s="70" t="s">
        <v>1289</v>
      </c>
      <c r="H97" s="70"/>
      <c r="I97" s="70"/>
      <c r="J97" s="70"/>
      <c r="K97" s="70"/>
      <c r="L97" s="70" t="s">
        <v>6392</v>
      </c>
      <c r="M97" s="70"/>
      <c r="N97" s="70"/>
      <c r="O97" s="71" t="s">
        <v>1290</v>
      </c>
      <c r="P97" s="71" t="s">
        <v>1291</v>
      </c>
      <c r="Q97" s="72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 spans="1:30" s="73" customFormat="1" ht="16.8">
      <c r="A98" s="69">
        <v>97</v>
      </c>
      <c r="B98" s="70"/>
      <c r="C98" s="70" t="s">
        <v>955</v>
      </c>
      <c r="D98" s="70" t="s">
        <v>148</v>
      </c>
      <c r="E98" s="70"/>
      <c r="F98" s="70"/>
      <c r="G98" s="70" t="s">
        <v>1292</v>
      </c>
      <c r="H98" s="70"/>
      <c r="I98" s="70"/>
      <c r="J98" s="70"/>
      <c r="K98" s="70"/>
      <c r="L98" s="70" t="s">
        <v>6392</v>
      </c>
      <c r="M98" s="70"/>
      <c r="N98" s="70"/>
      <c r="O98" s="71" t="s">
        <v>1293</v>
      </c>
      <c r="P98" s="71" t="s">
        <v>1291</v>
      </c>
      <c r="Q98" s="72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 spans="1:30" s="73" customFormat="1" ht="16.8">
      <c r="A99" s="69">
        <v>98</v>
      </c>
      <c r="B99" s="70"/>
      <c r="C99" s="70" t="s">
        <v>955</v>
      </c>
      <c r="D99" s="70" t="s">
        <v>148</v>
      </c>
      <c r="E99" s="70"/>
      <c r="F99" s="70"/>
      <c r="G99" s="70" t="s">
        <v>1294</v>
      </c>
      <c r="H99" s="70"/>
      <c r="I99" s="70"/>
      <c r="J99" s="70"/>
      <c r="K99" s="70"/>
      <c r="L99" s="70" t="s">
        <v>6392</v>
      </c>
      <c r="M99" s="70"/>
      <c r="N99" s="70"/>
      <c r="O99" s="71" t="s">
        <v>1295</v>
      </c>
      <c r="P99" s="71" t="s">
        <v>1291</v>
      </c>
      <c r="Q99" s="72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 spans="1:30" s="73" customFormat="1" ht="16.8">
      <c r="A100" s="69">
        <v>99</v>
      </c>
      <c r="B100" s="70"/>
      <c r="C100" s="70" t="s">
        <v>955</v>
      </c>
      <c r="D100" s="70" t="s">
        <v>148</v>
      </c>
      <c r="E100" s="70"/>
      <c r="F100" s="70"/>
      <c r="G100" s="70" t="s">
        <v>1296</v>
      </c>
      <c r="H100" s="70"/>
      <c r="I100" s="70"/>
      <c r="J100" s="70"/>
      <c r="K100" s="70"/>
      <c r="L100" s="70" t="s">
        <v>6392</v>
      </c>
      <c r="M100" s="70"/>
      <c r="N100" s="70"/>
      <c r="O100" s="71" t="s">
        <v>1297</v>
      </c>
      <c r="P100" s="71" t="s">
        <v>1291</v>
      </c>
      <c r="Q100" s="72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 spans="1:30" s="73" customFormat="1" ht="16.8">
      <c r="A101" s="69">
        <v>100</v>
      </c>
      <c r="B101" s="70"/>
      <c r="C101" s="70" t="s">
        <v>955</v>
      </c>
      <c r="D101" s="70" t="s">
        <v>148</v>
      </c>
      <c r="E101" s="70"/>
      <c r="F101" s="70"/>
      <c r="G101" s="70" t="s">
        <v>1298</v>
      </c>
      <c r="H101" s="70"/>
      <c r="I101" s="70"/>
      <c r="J101" s="70"/>
      <c r="K101" s="70"/>
      <c r="L101" s="70" t="s">
        <v>6392</v>
      </c>
      <c r="M101" s="70"/>
      <c r="N101" s="70"/>
      <c r="O101" s="71" t="s">
        <v>1299</v>
      </c>
      <c r="P101" s="71" t="s">
        <v>1291</v>
      </c>
      <c r="Q101" s="72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 spans="1:30" s="73" customFormat="1" ht="16.8">
      <c r="A102" s="69">
        <v>101</v>
      </c>
      <c r="B102" s="70"/>
      <c r="C102" s="70" t="s">
        <v>955</v>
      </c>
      <c r="D102" s="70" t="s">
        <v>148</v>
      </c>
      <c r="E102" s="70"/>
      <c r="F102" s="70"/>
      <c r="G102" s="70" t="s">
        <v>1300</v>
      </c>
      <c r="H102" s="70"/>
      <c r="I102" s="70"/>
      <c r="J102" s="70"/>
      <c r="K102" s="70"/>
      <c r="L102" s="70" t="s">
        <v>6392</v>
      </c>
      <c r="M102" s="70"/>
      <c r="N102" s="70"/>
      <c r="O102" s="71" t="s">
        <v>1301</v>
      </c>
      <c r="P102" s="71" t="s">
        <v>1291</v>
      </c>
      <c r="Q102" s="72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 spans="1:30" s="73" customFormat="1" ht="16.8">
      <c r="A103" s="69">
        <v>102</v>
      </c>
      <c r="B103" s="70"/>
      <c r="C103" s="70" t="s">
        <v>955</v>
      </c>
      <c r="D103" s="70" t="s">
        <v>148</v>
      </c>
      <c r="E103" s="70"/>
      <c r="F103" s="70"/>
      <c r="G103" s="70" t="s">
        <v>1302</v>
      </c>
      <c r="H103" s="70"/>
      <c r="I103" s="70"/>
      <c r="J103" s="70"/>
      <c r="K103" s="70"/>
      <c r="L103" s="70" t="s">
        <v>6392</v>
      </c>
      <c r="M103" s="70"/>
      <c r="N103" s="70"/>
      <c r="O103" s="71" t="s">
        <v>1303</v>
      </c>
      <c r="P103" s="71" t="s">
        <v>1291</v>
      </c>
      <c r="Q103" s="72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 spans="1:30" s="73" customFormat="1" ht="16.8">
      <c r="A104" s="69">
        <v>103</v>
      </c>
      <c r="B104" s="70"/>
      <c r="C104" s="70" t="s">
        <v>955</v>
      </c>
      <c r="D104" s="70" t="s">
        <v>148</v>
      </c>
      <c r="E104" s="70"/>
      <c r="F104" s="70"/>
      <c r="G104" s="70" t="s">
        <v>1304</v>
      </c>
      <c r="H104" s="70"/>
      <c r="I104" s="70"/>
      <c r="J104" s="70"/>
      <c r="K104" s="70"/>
      <c r="L104" s="70" t="s">
        <v>6392</v>
      </c>
      <c r="M104" s="70"/>
      <c r="N104" s="70"/>
      <c r="O104" s="71" t="s">
        <v>1305</v>
      </c>
      <c r="P104" s="71" t="s">
        <v>1291</v>
      </c>
      <c r="Q104" s="72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 spans="1:30" s="73" customFormat="1" ht="16.8">
      <c r="A105" s="69">
        <v>104</v>
      </c>
      <c r="B105" s="70"/>
      <c r="C105" s="70" t="s">
        <v>955</v>
      </c>
      <c r="D105" s="70" t="s">
        <v>148</v>
      </c>
      <c r="E105" s="70"/>
      <c r="F105" s="70"/>
      <c r="G105" s="70" t="s">
        <v>1306</v>
      </c>
      <c r="H105" s="70"/>
      <c r="I105" s="70"/>
      <c r="J105" s="70"/>
      <c r="K105" s="70"/>
      <c r="L105" s="70" t="s">
        <v>6392</v>
      </c>
      <c r="M105" s="70"/>
      <c r="N105" s="70"/>
      <c r="O105" s="71" t="s">
        <v>1307</v>
      </c>
      <c r="P105" s="71" t="s">
        <v>1291</v>
      </c>
      <c r="Q105" s="72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 spans="1:30" s="73" customFormat="1" ht="16.8">
      <c r="A106" s="69">
        <v>105</v>
      </c>
      <c r="B106" s="70"/>
      <c r="C106" s="70" t="s">
        <v>955</v>
      </c>
      <c r="D106" s="70" t="s">
        <v>148</v>
      </c>
      <c r="E106" s="70"/>
      <c r="F106" s="70"/>
      <c r="G106" s="70" t="s">
        <v>1308</v>
      </c>
      <c r="H106" s="70"/>
      <c r="I106" s="70"/>
      <c r="J106" s="70"/>
      <c r="K106" s="70"/>
      <c r="L106" s="70" t="s">
        <v>6392</v>
      </c>
      <c r="M106" s="70"/>
      <c r="N106" s="70"/>
      <c r="O106" s="71" t="s">
        <v>1309</v>
      </c>
      <c r="P106" s="71" t="s">
        <v>1291</v>
      </c>
      <c r="Q106" s="72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 spans="1:30" s="73" customFormat="1" ht="16.8">
      <c r="A107" s="69">
        <v>106</v>
      </c>
      <c r="B107" s="70"/>
      <c r="C107" s="70" t="s">
        <v>955</v>
      </c>
      <c r="D107" s="70" t="s">
        <v>148</v>
      </c>
      <c r="E107" s="70"/>
      <c r="F107" s="70"/>
      <c r="G107" s="70" t="s">
        <v>1310</v>
      </c>
      <c r="H107" s="70"/>
      <c r="I107" s="70"/>
      <c r="J107" s="70"/>
      <c r="K107" s="70"/>
      <c r="L107" s="70" t="s">
        <v>6392</v>
      </c>
      <c r="M107" s="70"/>
      <c r="N107" s="70"/>
      <c r="O107" s="74" t="s">
        <v>1311</v>
      </c>
      <c r="P107" s="71" t="s">
        <v>1291</v>
      </c>
      <c r="Q107" s="72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 spans="1:30" s="73" customFormat="1" ht="16.8">
      <c r="A108" s="69">
        <v>107</v>
      </c>
      <c r="B108" s="70"/>
      <c r="C108" s="70" t="s">
        <v>955</v>
      </c>
      <c r="D108" s="70" t="s">
        <v>148</v>
      </c>
      <c r="E108" s="70"/>
      <c r="F108" s="70"/>
      <c r="G108" s="70" t="s">
        <v>1312</v>
      </c>
      <c r="H108" s="70"/>
      <c r="I108" s="70"/>
      <c r="J108" s="70"/>
      <c r="K108" s="70"/>
      <c r="L108" s="70" t="s">
        <v>6392</v>
      </c>
      <c r="M108" s="70"/>
      <c r="N108" s="70"/>
      <c r="O108" s="71" t="s">
        <v>1313</v>
      </c>
      <c r="P108" s="71" t="s">
        <v>1291</v>
      </c>
      <c r="Q108" s="72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 spans="1:30" s="73" customFormat="1" ht="16.8">
      <c r="A109" s="69">
        <v>108</v>
      </c>
      <c r="B109" s="70"/>
      <c r="C109" s="70" t="s">
        <v>955</v>
      </c>
      <c r="D109" s="70" t="s">
        <v>148</v>
      </c>
      <c r="E109" s="70"/>
      <c r="F109" s="70"/>
      <c r="G109" s="70" t="s">
        <v>1314</v>
      </c>
      <c r="H109" s="70"/>
      <c r="I109" s="70"/>
      <c r="J109" s="70"/>
      <c r="K109" s="70"/>
      <c r="L109" s="70" t="s">
        <v>6392</v>
      </c>
      <c r="M109" s="70"/>
      <c r="N109" s="70"/>
      <c r="O109" s="71" t="s">
        <v>1315</v>
      </c>
      <c r="P109" s="71" t="s">
        <v>1291</v>
      </c>
      <c r="Q109" s="72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 spans="1:30" s="73" customFormat="1" ht="16.8">
      <c r="A110" s="69">
        <v>109</v>
      </c>
      <c r="B110" s="70"/>
      <c r="C110" s="70" t="s">
        <v>955</v>
      </c>
      <c r="D110" s="70" t="s">
        <v>148</v>
      </c>
      <c r="E110" s="70"/>
      <c r="F110" s="70"/>
      <c r="G110" s="70" t="s">
        <v>1316</v>
      </c>
      <c r="H110" s="70"/>
      <c r="I110" s="70"/>
      <c r="J110" s="70"/>
      <c r="K110" s="70"/>
      <c r="L110" s="70" t="s">
        <v>6392</v>
      </c>
      <c r="M110" s="70"/>
      <c r="N110" s="70"/>
      <c r="O110" s="71" t="s">
        <v>1317</v>
      </c>
      <c r="P110" s="71" t="s">
        <v>1291</v>
      </c>
      <c r="Q110" s="72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 spans="1:30" s="73" customFormat="1" ht="16.8">
      <c r="A111" s="69">
        <v>110</v>
      </c>
      <c r="B111" s="70"/>
      <c r="C111" s="70" t="s">
        <v>955</v>
      </c>
      <c r="D111" s="70" t="s">
        <v>148</v>
      </c>
      <c r="E111" s="70"/>
      <c r="F111" s="70"/>
      <c r="G111" s="70" t="s">
        <v>1318</v>
      </c>
      <c r="H111" s="70"/>
      <c r="I111" s="70"/>
      <c r="J111" s="70"/>
      <c r="K111" s="70"/>
      <c r="L111" s="70" t="s">
        <v>6392</v>
      </c>
      <c r="M111" s="70"/>
      <c r="N111" s="70"/>
      <c r="O111" s="71" t="s">
        <v>1319</v>
      </c>
      <c r="P111" s="71" t="s">
        <v>1291</v>
      </c>
      <c r="Q111" s="72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 spans="1:30" s="73" customFormat="1" ht="16.8">
      <c r="A112" s="69">
        <v>111</v>
      </c>
      <c r="B112" s="70"/>
      <c r="C112" s="70" t="s">
        <v>955</v>
      </c>
      <c r="D112" s="70" t="s">
        <v>148</v>
      </c>
      <c r="E112" s="70"/>
      <c r="F112" s="70"/>
      <c r="G112" s="70" t="s">
        <v>1320</v>
      </c>
      <c r="H112" s="70"/>
      <c r="I112" s="70"/>
      <c r="J112" s="70"/>
      <c r="K112" s="70"/>
      <c r="L112" s="70" t="s">
        <v>6392</v>
      </c>
      <c r="M112" s="70"/>
      <c r="N112" s="70"/>
      <c r="O112" s="71" t="s">
        <v>1321</v>
      </c>
      <c r="P112" s="71" t="s">
        <v>1291</v>
      </c>
      <c r="Q112" s="72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 spans="1:30" s="73" customFormat="1" ht="16.8">
      <c r="A113" s="69">
        <v>112</v>
      </c>
      <c r="B113" s="70"/>
      <c r="C113" s="70" t="s">
        <v>955</v>
      </c>
      <c r="D113" s="70" t="s">
        <v>148</v>
      </c>
      <c r="E113" s="70"/>
      <c r="F113" s="70"/>
      <c r="G113" s="70" t="s">
        <v>1322</v>
      </c>
      <c r="H113" s="70"/>
      <c r="I113" s="70"/>
      <c r="J113" s="70"/>
      <c r="K113" s="70"/>
      <c r="L113" s="70" t="s">
        <v>6392</v>
      </c>
      <c r="M113" s="70"/>
      <c r="N113" s="70"/>
      <c r="O113" s="71" t="s">
        <v>1323</v>
      </c>
      <c r="P113" s="71" t="s">
        <v>1291</v>
      </c>
      <c r="Q113" s="72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 spans="1:30" s="73" customFormat="1" ht="16.8">
      <c r="A114" s="69">
        <v>113</v>
      </c>
      <c r="B114" s="70"/>
      <c r="C114" s="70" t="s">
        <v>955</v>
      </c>
      <c r="D114" s="70" t="s">
        <v>148</v>
      </c>
      <c r="E114" s="70"/>
      <c r="F114" s="70"/>
      <c r="G114" s="70" t="s">
        <v>1324</v>
      </c>
      <c r="H114" s="70"/>
      <c r="I114" s="70"/>
      <c r="J114" s="70"/>
      <c r="K114" s="70"/>
      <c r="L114" s="70" t="s">
        <v>6392</v>
      </c>
      <c r="M114" s="70"/>
      <c r="N114" s="70"/>
      <c r="O114" s="71" t="s">
        <v>1325</v>
      </c>
      <c r="P114" s="71" t="s">
        <v>1291</v>
      </c>
      <c r="Q114" s="72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</row>
    <row r="115" spans="1:30" s="73" customFormat="1" ht="16.5" customHeight="1">
      <c r="A115" s="69">
        <v>114</v>
      </c>
      <c r="B115" s="70"/>
      <c r="C115" s="70" t="s">
        <v>955</v>
      </c>
      <c r="D115" s="70" t="s">
        <v>148</v>
      </c>
      <c r="E115" s="70"/>
      <c r="F115" s="70"/>
      <c r="G115" s="70" t="s">
        <v>1326</v>
      </c>
      <c r="H115" s="70"/>
      <c r="I115" s="70"/>
      <c r="J115" s="70"/>
      <c r="K115" s="70"/>
      <c r="L115" s="70" t="s">
        <v>6392</v>
      </c>
      <c r="M115" s="70"/>
      <c r="N115" s="70"/>
      <c r="O115" s="71" t="s">
        <v>1327</v>
      </c>
      <c r="P115" s="71" t="s">
        <v>1291</v>
      </c>
      <c r="Q115" s="72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</row>
  </sheetData>
  <autoFilter ref="A1:AF115" xr:uid="{2F6DDC1A-0EA5-45D0-8168-7A09A94C1003}"/>
  <mergeCells count="59">
    <mergeCell ref="I87:I88"/>
    <mergeCell ref="J87:J88"/>
    <mergeCell ref="I89:I90"/>
    <mergeCell ref="J89:J90"/>
    <mergeCell ref="I95:I96"/>
    <mergeCell ref="J95:J96"/>
    <mergeCell ref="J91:J92"/>
    <mergeCell ref="I91:I92"/>
    <mergeCell ref="I93:I94"/>
    <mergeCell ref="J93:J94"/>
    <mergeCell ref="I70:I71"/>
    <mergeCell ref="J70:J71"/>
    <mergeCell ref="J72:J73"/>
    <mergeCell ref="I72:I73"/>
    <mergeCell ref="I74:I75"/>
    <mergeCell ref="J74:J75"/>
    <mergeCell ref="I61:I62"/>
    <mergeCell ref="J61:J62"/>
    <mergeCell ref="I64:I65"/>
    <mergeCell ref="J64:J65"/>
    <mergeCell ref="I67:I68"/>
    <mergeCell ref="J67:J68"/>
    <mergeCell ref="Z34:Z40"/>
    <mergeCell ref="AD6:AD12"/>
    <mergeCell ref="H2:H4"/>
    <mergeCell ref="H58:H59"/>
    <mergeCell ref="H52:H53"/>
    <mergeCell ref="Z6:Z12"/>
    <mergeCell ref="I2:I4"/>
    <mergeCell ref="J2:J4"/>
    <mergeCell ref="I52:I53"/>
    <mergeCell ref="J52:J53"/>
    <mergeCell ref="I54:I55"/>
    <mergeCell ref="J54:J55"/>
    <mergeCell ref="I56:I57"/>
    <mergeCell ref="J56:J57"/>
    <mergeCell ref="I58:I59"/>
    <mergeCell ref="J58:J59"/>
    <mergeCell ref="H91:H92"/>
    <mergeCell ref="H93:H94"/>
    <mergeCell ref="H95:H96"/>
    <mergeCell ref="H56:H57"/>
    <mergeCell ref="H54:H55"/>
    <mergeCell ref="H64:H65"/>
    <mergeCell ref="H61:H62"/>
    <mergeCell ref="H67:H68"/>
    <mergeCell ref="H70:H71"/>
    <mergeCell ref="H72:H73"/>
    <mergeCell ref="H74:H75"/>
    <mergeCell ref="H87:H88"/>
    <mergeCell ref="H89:H90"/>
    <mergeCell ref="J25:J26"/>
    <mergeCell ref="J34:J37"/>
    <mergeCell ref="J39:J40"/>
    <mergeCell ref="J6:J9"/>
    <mergeCell ref="J11:J12"/>
    <mergeCell ref="J13:J16"/>
    <mergeCell ref="J18:J19"/>
    <mergeCell ref="J20:J23"/>
  </mergeCells>
  <phoneticPr fontId="4" type="noConversion"/>
  <conditionalFormatting sqref="AD1">
    <cfRule type="cellIs" dxfId="1" priority="1" operator="equal">
      <formula>"Y"</formula>
    </cfRule>
    <cfRule type="cellIs" dxfId="0" priority="2" operator="equal">
      <formula>"N"</formula>
    </cfRule>
  </conditionalFormatting>
  <dataValidations count="1">
    <dataValidation type="list" allowBlank="1" showInputMessage="1" showErrorMessage="1" sqref="L1:L96 L116:L1048576" xr:uid="{5BDD8BC6-D3FF-472B-B24D-C4CB4EEAD61B}">
      <formula1>"boolean,Double,Single,int8,unit8,int16,uint16, int32,uint32,Enumerated,  char "</formula1>
    </dataValidation>
  </dataValidations>
  <pageMargins left="0.25" right="0.25" top="0.75" bottom="0.75" header="0.3" footer="0.3"/>
  <pageSetup paperSize="9" scale="77" fitToHeight="0" orientation="portrait" verticalDpi="0" r:id="rId1"/>
  <colBreaks count="1" manualBreakCount="1">
    <brk id="10" max="114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CE0B-5B34-4C5A-9C02-4D916D2CB1CD}">
  <sheetPr codeName="Sheet8"/>
  <dimension ref="A1:I17"/>
  <sheetViews>
    <sheetView workbookViewId="0">
      <selection sqref="A1:I17"/>
    </sheetView>
  </sheetViews>
  <sheetFormatPr defaultRowHeight="15" customHeight="1"/>
  <cols>
    <col min="1" max="1" width="9.109375" style="21"/>
    <col min="2" max="2" width="22.5546875" customWidth="1"/>
    <col min="3" max="3" width="20.6640625" style="25" bestFit="1" customWidth="1"/>
    <col min="4" max="4" width="8" bestFit="1" customWidth="1"/>
    <col min="5" max="5" width="15" customWidth="1"/>
    <col min="6" max="6" width="9.33203125" customWidth="1"/>
    <col min="7" max="7" width="12.6640625" customWidth="1"/>
    <col min="8" max="8" width="14" customWidth="1"/>
    <col min="9" max="9" width="34.44140625" bestFit="1" customWidth="1"/>
  </cols>
  <sheetData>
    <row r="1" spans="1:9" s="21" customFormat="1" ht="13.8">
      <c r="A1" s="24"/>
      <c r="B1" s="24" t="s">
        <v>1328</v>
      </c>
      <c r="C1" s="24" t="s">
        <v>63</v>
      </c>
      <c r="D1" s="24" t="s">
        <v>1329</v>
      </c>
      <c r="E1" s="24" t="s">
        <v>1330</v>
      </c>
      <c r="F1" s="24" t="s">
        <v>1331</v>
      </c>
      <c r="G1" s="24" t="s">
        <v>1332</v>
      </c>
      <c r="H1" s="24" t="s">
        <v>1333</v>
      </c>
      <c r="I1" s="24" t="s">
        <v>1334</v>
      </c>
    </row>
    <row r="2" spans="1:9" ht="13.8">
      <c r="A2" s="21">
        <v>1</v>
      </c>
      <c r="B2" t="s">
        <v>477</v>
      </c>
      <c r="C2" s="25" t="s">
        <v>1335</v>
      </c>
      <c r="D2" t="s">
        <v>1336</v>
      </c>
      <c r="E2" t="s">
        <v>1337</v>
      </c>
      <c r="F2" t="s">
        <v>155</v>
      </c>
      <c r="G2">
        <v>0</v>
      </c>
      <c r="H2">
        <v>16383.75</v>
      </c>
      <c r="I2" t="s">
        <v>1338</v>
      </c>
    </row>
    <row r="3" spans="1:9" ht="13.8">
      <c r="A3" s="23">
        <v>2</v>
      </c>
      <c r="B3" s="22" t="s">
        <v>202</v>
      </c>
      <c r="C3" s="26" t="s">
        <v>1339</v>
      </c>
      <c r="D3" s="22" t="s">
        <v>1340</v>
      </c>
      <c r="E3" s="22" t="s">
        <v>1341</v>
      </c>
      <c r="F3" s="22" t="s">
        <v>155</v>
      </c>
      <c r="G3" s="22">
        <v>-3276.8</v>
      </c>
      <c r="H3" s="22">
        <v>3276.7</v>
      </c>
      <c r="I3" s="22" t="s">
        <v>1342</v>
      </c>
    </row>
    <row r="4" spans="1:9" ht="13.8">
      <c r="A4" s="21">
        <v>3</v>
      </c>
      <c r="B4" t="s">
        <v>158</v>
      </c>
      <c r="C4" s="25" t="s">
        <v>1343</v>
      </c>
      <c r="D4" t="s">
        <v>1344</v>
      </c>
      <c r="E4" t="s">
        <v>1345</v>
      </c>
      <c r="F4" t="s">
        <v>155</v>
      </c>
      <c r="G4">
        <v>0</v>
      </c>
      <c r="H4">
        <v>125.0027</v>
      </c>
      <c r="I4" t="s">
        <v>883</v>
      </c>
    </row>
    <row r="5" spans="1:9" ht="13.8">
      <c r="A5" s="23">
        <v>4</v>
      </c>
      <c r="B5" s="22" t="s">
        <v>1346</v>
      </c>
      <c r="C5" s="26" t="s">
        <v>1347</v>
      </c>
      <c r="D5" s="22" t="s">
        <v>1348</v>
      </c>
      <c r="E5" s="22" t="s">
        <v>1349</v>
      </c>
      <c r="F5" s="22" t="s">
        <v>155</v>
      </c>
      <c r="G5" s="22">
        <v>0</v>
      </c>
      <c r="H5" s="22">
        <v>5</v>
      </c>
      <c r="I5" s="22" t="s">
        <v>1350</v>
      </c>
    </row>
    <row r="6" spans="1:9" ht="13.8">
      <c r="A6" s="21">
        <v>5</v>
      </c>
      <c r="B6" t="s">
        <v>304</v>
      </c>
      <c r="C6" s="25" t="s">
        <v>961</v>
      </c>
      <c r="D6" t="s">
        <v>1348</v>
      </c>
      <c r="E6" t="s">
        <v>1341</v>
      </c>
      <c r="F6" t="s">
        <v>155</v>
      </c>
      <c r="G6">
        <v>0</v>
      </c>
      <c r="H6">
        <v>6553.5</v>
      </c>
      <c r="I6" t="s">
        <v>1351</v>
      </c>
    </row>
    <row r="7" spans="1:9" ht="13.8">
      <c r="A7" s="23">
        <v>6</v>
      </c>
      <c r="B7" s="22" t="s">
        <v>182</v>
      </c>
      <c r="C7" s="26" t="s">
        <v>961</v>
      </c>
      <c r="D7" s="22" t="s">
        <v>1352</v>
      </c>
      <c r="E7" s="22" t="s">
        <v>1341</v>
      </c>
      <c r="F7" s="22" t="s">
        <v>155</v>
      </c>
      <c r="G7" s="22">
        <v>0</v>
      </c>
      <c r="H7" s="22">
        <v>6553.5</v>
      </c>
      <c r="I7" s="22" t="s">
        <v>1353</v>
      </c>
    </row>
    <row r="8" spans="1:9" ht="13.8">
      <c r="A8" s="21">
        <v>7</v>
      </c>
      <c r="B8" t="s">
        <v>581</v>
      </c>
      <c r="C8" s="25" t="s">
        <v>1354</v>
      </c>
      <c r="D8" t="s">
        <v>1355</v>
      </c>
      <c r="E8" t="s">
        <v>1356</v>
      </c>
      <c r="F8" t="s">
        <v>155</v>
      </c>
      <c r="G8" t="s">
        <v>1357</v>
      </c>
      <c r="I8" t="s">
        <v>1358</v>
      </c>
    </row>
    <row r="9" spans="1:9" ht="13.8">
      <c r="A9" s="23">
        <v>8</v>
      </c>
      <c r="B9" s="22" t="s">
        <v>295</v>
      </c>
      <c r="C9" s="26" t="s">
        <v>1335</v>
      </c>
      <c r="D9" s="22" t="s">
        <v>1359</v>
      </c>
      <c r="E9" s="22" t="s">
        <v>1337</v>
      </c>
      <c r="F9" s="22" t="s">
        <v>155</v>
      </c>
      <c r="G9" s="22" t="s">
        <v>1357</v>
      </c>
      <c r="H9" s="22"/>
      <c r="I9" s="22" t="s">
        <v>1360</v>
      </c>
    </row>
    <row r="10" spans="1:9" ht="15" customHeight="1">
      <c r="A10" s="21">
        <v>9</v>
      </c>
      <c r="B10" t="s">
        <v>293</v>
      </c>
      <c r="C10" s="27" t="s">
        <v>961</v>
      </c>
      <c r="D10" t="s">
        <v>1359</v>
      </c>
      <c r="E10" t="s">
        <v>1341</v>
      </c>
      <c r="F10" t="s">
        <v>155</v>
      </c>
      <c r="G10" t="s">
        <v>1357</v>
      </c>
      <c r="I10" t="s">
        <v>1361</v>
      </c>
    </row>
    <row r="11" spans="1:9" ht="13.8">
      <c r="A11" s="23">
        <v>10</v>
      </c>
      <c r="B11" s="22" t="s">
        <v>509</v>
      </c>
      <c r="C11" s="26" t="s">
        <v>961</v>
      </c>
      <c r="D11" s="22" t="s">
        <v>1362</v>
      </c>
      <c r="E11" s="22" t="s">
        <v>1341</v>
      </c>
      <c r="F11" s="22" t="s">
        <v>155</v>
      </c>
      <c r="G11" s="22">
        <v>0</v>
      </c>
      <c r="H11" s="22">
        <v>6553.5</v>
      </c>
      <c r="I11" s="22" t="s">
        <v>1363</v>
      </c>
    </row>
    <row r="12" spans="1:9" ht="13.8">
      <c r="A12" s="21">
        <v>11</v>
      </c>
      <c r="B12" t="s">
        <v>150</v>
      </c>
      <c r="C12" s="25" t="s">
        <v>1364</v>
      </c>
      <c r="D12" t="s">
        <v>1365</v>
      </c>
      <c r="E12" t="s">
        <v>1366</v>
      </c>
      <c r="F12" t="s">
        <v>1367</v>
      </c>
      <c r="G12">
        <v>-60</v>
      </c>
      <c r="H12">
        <v>200</v>
      </c>
      <c r="I12" t="s">
        <v>1368</v>
      </c>
    </row>
    <row r="13" spans="1:9" ht="13.8">
      <c r="A13" s="23">
        <v>12</v>
      </c>
      <c r="B13" s="22" t="s">
        <v>1369</v>
      </c>
      <c r="C13" s="26" t="s">
        <v>1370</v>
      </c>
      <c r="D13" s="22" t="s">
        <v>1371</v>
      </c>
      <c r="E13" s="22" t="s">
        <v>1372</v>
      </c>
      <c r="F13" s="22" t="s">
        <v>663</v>
      </c>
      <c r="G13" s="22" t="s">
        <v>1357</v>
      </c>
      <c r="H13" s="22"/>
      <c r="I13" s="22" t="s">
        <v>1373</v>
      </c>
    </row>
    <row r="14" spans="1:9" ht="13.8">
      <c r="A14" s="21">
        <v>13</v>
      </c>
      <c r="B14" t="s">
        <v>1374</v>
      </c>
      <c r="C14" s="25" t="s">
        <v>1375</v>
      </c>
      <c r="D14" t="s">
        <v>1376</v>
      </c>
      <c r="E14" t="s">
        <v>1377</v>
      </c>
      <c r="F14" t="s">
        <v>155</v>
      </c>
      <c r="G14">
        <v>0</v>
      </c>
      <c r="H14">
        <v>655.35</v>
      </c>
      <c r="I14" t="s">
        <v>1378</v>
      </c>
    </row>
    <row r="15" spans="1:9" ht="13.8">
      <c r="A15" s="23">
        <v>14</v>
      </c>
      <c r="B15" s="22" t="s">
        <v>1379</v>
      </c>
      <c r="C15" s="26" t="s">
        <v>1380</v>
      </c>
      <c r="D15" s="22" t="s">
        <v>1381</v>
      </c>
      <c r="E15" s="22" t="s">
        <v>1382</v>
      </c>
      <c r="F15" s="22" t="s">
        <v>663</v>
      </c>
      <c r="G15" s="22"/>
      <c r="H15" s="22"/>
      <c r="I15" s="22" t="s">
        <v>1383</v>
      </c>
    </row>
    <row r="16" spans="1:9" ht="13.8">
      <c r="A16" s="21">
        <v>15</v>
      </c>
      <c r="B16" t="s">
        <v>153</v>
      </c>
      <c r="C16" s="25" t="s">
        <v>1375</v>
      </c>
      <c r="D16" t="s">
        <v>1384</v>
      </c>
      <c r="E16" t="s">
        <v>1377</v>
      </c>
      <c r="F16" t="s">
        <v>155</v>
      </c>
      <c r="G16">
        <v>0</v>
      </c>
      <c r="H16">
        <v>100</v>
      </c>
      <c r="I16" t="s">
        <v>1385</v>
      </c>
    </row>
    <row r="17" spans="1:9" ht="13.8">
      <c r="A17" s="60">
        <v>16</v>
      </c>
      <c r="B17" s="6" t="s">
        <v>472</v>
      </c>
      <c r="C17" s="61" t="s">
        <v>961</v>
      </c>
      <c r="D17" s="6" t="s">
        <v>1365</v>
      </c>
      <c r="E17" s="6" t="s">
        <v>1341</v>
      </c>
      <c r="F17" s="6" t="s">
        <v>155</v>
      </c>
      <c r="G17" s="6">
        <v>0</v>
      </c>
      <c r="H17" s="6">
        <v>6535</v>
      </c>
      <c r="I17" s="6" t="s">
        <v>1386</v>
      </c>
    </row>
  </sheetData>
  <autoFilter ref="A1:I1" xr:uid="{CE74CE0B-5B34-4C5A-9C02-4D916D2CB1CD}"/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C0A6-6CE9-449E-A649-3476EDDF810E}">
  <sheetPr codeName="Sheet7"/>
  <dimension ref="A1:G3856"/>
  <sheetViews>
    <sheetView workbookViewId="0">
      <pane ySplit="1" topLeftCell="A1597" activePane="bottomLeft" state="frozen"/>
      <selection pane="bottomLeft" activeCell="C12" sqref="C12"/>
    </sheetView>
  </sheetViews>
  <sheetFormatPr defaultColWidth="8.88671875" defaultRowHeight="13.8"/>
  <cols>
    <col min="1" max="1" width="39.33203125" style="2" customWidth="1"/>
    <col min="2" max="2" width="70.88671875" style="2" bestFit="1" customWidth="1"/>
    <col min="3" max="3" width="8.88671875" style="2" customWidth="1"/>
    <col min="4" max="16384" width="8.88671875" style="2"/>
  </cols>
  <sheetData>
    <row r="1" spans="1:7">
      <c r="A1" s="1" t="s">
        <v>1387</v>
      </c>
      <c r="B1" s="1" t="s">
        <v>1388</v>
      </c>
      <c r="G1" s="1"/>
    </row>
    <row r="2" spans="1:7">
      <c r="A2" s="3" t="s">
        <v>1389</v>
      </c>
      <c r="B2" s="3" t="s">
        <v>1390</v>
      </c>
    </row>
    <row r="3" spans="1:7">
      <c r="A3" s="3" t="s">
        <v>1389</v>
      </c>
      <c r="B3" s="3" t="s">
        <v>1391</v>
      </c>
    </row>
    <row r="4" spans="1:7">
      <c r="A4" s="3" t="s">
        <v>1389</v>
      </c>
      <c r="B4" s="3" t="s">
        <v>1392</v>
      </c>
    </row>
    <row r="5" spans="1:7">
      <c r="A5" s="3" t="s">
        <v>1389</v>
      </c>
      <c r="B5" s="3" t="s">
        <v>1393</v>
      </c>
    </row>
    <row r="6" spans="1:7">
      <c r="A6" s="3" t="s">
        <v>1394</v>
      </c>
      <c r="B6" s="3" t="s">
        <v>1395</v>
      </c>
    </row>
    <row r="7" spans="1:7">
      <c r="A7" s="3" t="s">
        <v>1394</v>
      </c>
      <c r="B7" s="3" t="s">
        <v>1396</v>
      </c>
    </row>
    <row r="8" spans="1:7">
      <c r="A8" s="3" t="s">
        <v>1394</v>
      </c>
      <c r="B8" s="3" t="s">
        <v>1397</v>
      </c>
    </row>
    <row r="9" spans="1:7">
      <c r="A9" s="3" t="s">
        <v>1394</v>
      </c>
      <c r="B9" s="3" t="s">
        <v>1398</v>
      </c>
    </row>
    <row r="10" spans="1:7">
      <c r="A10" s="3" t="s">
        <v>1399</v>
      </c>
      <c r="B10" s="3" t="s">
        <v>1400</v>
      </c>
    </row>
    <row r="11" spans="1:7">
      <c r="A11" s="3" t="s">
        <v>1399</v>
      </c>
      <c r="B11" s="3" t="s">
        <v>1401</v>
      </c>
    </row>
    <row r="12" spans="1:7">
      <c r="A12" s="3" t="s">
        <v>1399</v>
      </c>
      <c r="B12" s="3" t="s">
        <v>1402</v>
      </c>
    </row>
    <row r="13" spans="1:7">
      <c r="A13" s="3" t="s">
        <v>1399</v>
      </c>
      <c r="B13" s="3" t="s">
        <v>1403</v>
      </c>
    </row>
    <row r="14" spans="1:7">
      <c r="A14" s="3" t="s">
        <v>1404</v>
      </c>
      <c r="B14" s="3" t="s">
        <v>1405</v>
      </c>
    </row>
    <row r="15" spans="1:7">
      <c r="A15" s="3" t="s">
        <v>1404</v>
      </c>
      <c r="B15" s="3" t="s">
        <v>1406</v>
      </c>
    </row>
    <row r="16" spans="1:7">
      <c r="A16" s="3" t="s">
        <v>1404</v>
      </c>
      <c r="B16" s="3" t="s">
        <v>1407</v>
      </c>
    </row>
    <row r="17" spans="1:2">
      <c r="A17" s="3" t="s">
        <v>1408</v>
      </c>
      <c r="B17" s="3" t="s">
        <v>1409</v>
      </c>
    </row>
    <row r="18" spans="1:2">
      <c r="A18" s="3" t="s">
        <v>1408</v>
      </c>
      <c r="B18" s="3" t="s">
        <v>1410</v>
      </c>
    </row>
    <row r="19" spans="1:2">
      <c r="A19" s="3" t="s">
        <v>1408</v>
      </c>
      <c r="B19" s="3" t="s">
        <v>1411</v>
      </c>
    </row>
    <row r="20" spans="1:2">
      <c r="A20" s="3" t="s">
        <v>1408</v>
      </c>
      <c r="B20" s="3" t="s">
        <v>1412</v>
      </c>
    </row>
    <row r="21" spans="1:2">
      <c r="A21" s="3" t="s">
        <v>1408</v>
      </c>
      <c r="B21" s="3" t="s">
        <v>1413</v>
      </c>
    </row>
    <row r="22" spans="1:2">
      <c r="A22" s="3" t="s">
        <v>1408</v>
      </c>
      <c r="B22" s="3" t="s">
        <v>1414</v>
      </c>
    </row>
    <row r="23" spans="1:2">
      <c r="A23" s="3" t="s">
        <v>1415</v>
      </c>
      <c r="B23" s="3" t="s">
        <v>1416</v>
      </c>
    </row>
    <row r="24" spans="1:2">
      <c r="A24" s="3" t="s">
        <v>1415</v>
      </c>
      <c r="B24" s="3" t="s">
        <v>1417</v>
      </c>
    </row>
    <row r="25" spans="1:2">
      <c r="A25" s="3" t="s">
        <v>1415</v>
      </c>
      <c r="B25" s="3" t="s">
        <v>1418</v>
      </c>
    </row>
    <row r="26" spans="1:2">
      <c r="A26" s="3" t="s">
        <v>1419</v>
      </c>
      <c r="B26" s="3" t="s">
        <v>1420</v>
      </c>
    </row>
    <row r="27" spans="1:2">
      <c r="A27" s="3" t="s">
        <v>1419</v>
      </c>
      <c r="B27" s="3" t="s">
        <v>1421</v>
      </c>
    </row>
    <row r="28" spans="1:2">
      <c r="A28" s="3" t="s">
        <v>1422</v>
      </c>
      <c r="B28" s="3" t="s">
        <v>1423</v>
      </c>
    </row>
    <row r="29" spans="1:2">
      <c r="A29" s="3" t="s">
        <v>1422</v>
      </c>
      <c r="B29" s="3" t="s">
        <v>1424</v>
      </c>
    </row>
    <row r="30" spans="1:2">
      <c r="A30" s="3" t="s">
        <v>1422</v>
      </c>
      <c r="B30" s="3" t="s">
        <v>1425</v>
      </c>
    </row>
    <row r="31" spans="1:2">
      <c r="A31" s="3" t="s">
        <v>1422</v>
      </c>
      <c r="B31" s="3" t="s">
        <v>1426</v>
      </c>
    </row>
    <row r="32" spans="1:2">
      <c r="A32" s="3" t="s">
        <v>1427</v>
      </c>
      <c r="B32" s="3" t="s">
        <v>1428</v>
      </c>
    </row>
    <row r="33" spans="1:2">
      <c r="A33" s="3" t="s">
        <v>1427</v>
      </c>
      <c r="B33" s="3" t="s">
        <v>1429</v>
      </c>
    </row>
    <row r="34" spans="1:2">
      <c r="A34" s="3" t="s">
        <v>1427</v>
      </c>
      <c r="B34" s="3" t="s">
        <v>1430</v>
      </c>
    </row>
    <row r="35" spans="1:2">
      <c r="A35" s="3" t="s">
        <v>1427</v>
      </c>
      <c r="B35" s="3" t="s">
        <v>1431</v>
      </c>
    </row>
    <row r="36" spans="1:2">
      <c r="A36" s="3" t="s">
        <v>1432</v>
      </c>
      <c r="B36" s="3" t="s">
        <v>1433</v>
      </c>
    </row>
    <row r="37" spans="1:2">
      <c r="A37" s="3" t="s">
        <v>1432</v>
      </c>
      <c r="B37" s="3" t="s">
        <v>1434</v>
      </c>
    </row>
    <row r="38" spans="1:2">
      <c r="A38" s="3" t="s">
        <v>1432</v>
      </c>
      <c r="B38" s="3" t="s">
        <v>1435</v>
      </c>
    </row>
    <row r="39" spans="1:2">
      <c r="A39" s="3" t="s">
        <v>1432</v>
      </c>
      <c r="B39" s="3" t="s">
        <v>1436</v>
      </c>
    </row>
    <row r="40" spans="1:2">
      <c r="A40" s="3" t="s">
        <v>1432</v>
      </c>
      <c r="B40" s="3" t="s">
        <v>1437</v>
      </c>
    </row>
    <row r="41" spans="1:2">
      <c r="A41" s="3" t="s">
        <v>1438</v>
      </c>
      <c r="B41" s="3" t="s">
        <v>1439</v>
      </c>
    </row>
    <row r="42" spans="1:2">
      <c r="A42" s="3" t="s">
        <v>1438</v>
      </c>
      <c r="B42" s="3" t="s">
        <v>1440</v>
      </c>
    </row>
    <row r="43" spans="1:2">
      <c r="A43" s="3" t="s">
        <v>1438</v>
      </c>
      <c r="B43" s="3" t="s">
        <v>1441</v>
      </c>
    </row>
    <row r="44" spans="1:2">
      <c r="A44" s="3" t="s">
        <v>1442</v>
      </c>
      <c r="B44" s="3" t="s">
        <v>1443</v>
      </c>
    </row>
    <row r="45" spans="1:2">
      <c r="A45" s="3" t="s">
        <v>1442</v>
      </c>
      <c r="B45" s="3" t="s">
        <v>1444</v>
      </c>
    </row>
    <row r="46" spans="1:2">
      <c r="A46" s="3" t="s">
        <v>1442</v>
      </c>
      <c r="B46" s="3" t="s">
        <v>1445</v>
      </c>
    </row>
    <row r="47" spans="1:2">
      <c r="A47" s="3" t="s">
        <v>1442</v>
      </c>
      <c r="B47" s="3" t="s">
        <v>1446</v>
      </c>
    </row>
    <row r="48" spans="1:2">
      <c r="A48" s="3" t="s">
        <v>1442</v>
      </c>
      <c r="B48" s="3" t="s">
        <v>1447</v>
      </c>
    </row>
    <row r="49" spans="1:2">
      <c r="A49" s="3" t="s">
        <v>1442</v>
      </c>
      <c r="B49" s="3" t="s">
        <v>1448</v>
      </c>
    </row>
    <row r="50" spans="1:2">
      <c r="A50" s="3" t="s">
        <v>1442</v>
      </c>
      <c r="B50" s="3" t="s">
        <v>1449</v>
      </c>
    </row>
    <row r="51" spans="1:2">
      <c r="A51" s="3" t="s">
        <v>1442</v>
      </c>
      <c r="B51" s="3" t="s">
        <v>1450</v>
      </c>
    </row>
    <row r="52" spans="1:2">
      <c r="A52" s="3" t="s">
        <v>1451</v>
      </c>
      <c r="B52" s="3" t="s">
        <v>1452</v>
      </c>
    </row>
    <row r="53" spans="1:2">
      <c r="A53" s="3" t="s">
        <v>1451</v>
      </c>
      <c r="B53" s="3" t="s">
        <v>1453</v>
      </c>
    </row>
    <row r="54" spans="1:2">
      <c r="A54" s="3" t="s">
        <v>1451</v>
      </c>
      <c r="B54" s="3" t="s">
        <v>1454</v>
      </c>
    </row>
    <row r="55" spans="1:2">
      <c r="A55" s="3" t="s">
        <v>1451</v>
      </c>
      <c r="B55" s="3" t="s">
        <v>1455</v>
      </c>
    </row>
    <row r="56" spans="1:2">
      <c r="A56" s="3" t="s">
        <v>1451</v>
      </c>
      <c r="B56" s="3" t="s">
        <v>1456</v>
      </c>
    </row>
    <row r="57" spans="1:2">
      <c r="A57" s="3" t="s">
        <v>1451</v>
      </c>
      <c r="B57" s="3" t="s">
        <v>1457</v>
      </c>
    </row>
    <row r="58" spans="1:2">
      <c r="A58" s="3" t="s">
        <v>1451</v>
      </c>
      <c r="B58" s="3" t="s">
        <v>1458</v>
      </c>
    </row>
    <row r="59" spans="1:2">
      <c r="A59" s="3" t="s">
        <v>1451</v>
      </c>
      <c r="B59" s="3" t="s">
        <v>1459</v>
      </c>
    </row>
    <row r="60" spans="1:2">
      <c r="A60" s="3" t="s">
        <v>1460</v>
      </c>
      <c r="B60" s="3" t="s">
        <v>1461</v>
      </c>
    </row>
    <row r="61" spans="1:2">
      <c r="A61" s="3" t="s">
        <v>1460</v>
      </c>
      <c r="B61" s="3" t="s">
        <v>1462</v>
      </c>
    </row>
    <row r="62" spans="1:2">
      <c r="A62" s="3" t="s">
        <v>1460</v>
      </c>
      <c r="B62" s="3" t="s">
        <v>1463</v>
      </c>
    </row>
    <row r="63" spans="1:2">
      <c r="A63" s="3" t="s">
        <v>1464</v>
      </c>
      <c r="B63" s="3" t="s">
        <v>1465</v>
      </c>
    </row>
    <row r="64" spans="1:2">
      <c r="A64" s="3" t="s">
        <v>1464</v>
      </c>
      <c r="B64" s="3" t="s">
        <v>1466</v>
      </c>
    </row>
    <row r="65" spans="1:2">
      <c r="A65" s="3" t="s">
        <v>1464</v>
      </c>
      <c r="B65" s="3" t="s">
        <v>1467</v>
      </c>
    </row>
    <row r="66" spans="1:2">
      <c r="A66" s="3" t="s">
        <v>1464</v>
      </c>
      <c r="B66" s="3" t="s">
        <v>1468</v>
      </c>
    </row>
    <row r="67" spans="1:2">
      <c r="A67" s="3" t="s">
        <v>1469</v>
      </c>
      <c r="B67" s="3" t="s">
        <v>1470</v>
      </c>
    </row>
    <row r="68" spans="1:2">
      <c r="A68" s="3" t="s">
        <v>1469</v>
      </c>
      <c r="B68" s="3" t="s">
        <v>1471</v>
      </c>
    </row>
    <row r="69" spans="1:2">
      <c r="A69" s="3" t="s">
        <v>1469</v>
      </c>
      <c r="B69" s="3" t="s">
        <v>1472</v>
      </c>
    </row>
    <row r="70" spans="1:2">
      <c r="A70" s="3" t="s">
        <v>1469</v>
      </c>
      <c r="B70" s="3" t="s">
        <v>1473</v>
      </c>
    </row>
    <row r="71" spans="1:2">
      <c r="A71" s="3" t="s">
        <v>1474</v>
      </c>
      <c r="B71" s="3" t="s">
        <v>1475</v>
      </c>
    </row>
    <row r="72" spans="1:2">
      <c r="A72" s="3" t="s">
        <v>1474</v>
      </c>
      <c r="B72" s="3" t="s">
        <v>1476</v>
      </c>
    </row>
    <row r="73" spans="1:2">
      <c r="A73" s="3" t="s">
        <v>1474</v>
      </c>
      <c r="B73" s="3" t="s">
        <v>1477</v>
      </c>
    </row>
    <row r="74" spans="1:2">
      <c r="A74" s="3" t="s">
        <v>1474</v>
      </c>
      <c r="B74" s="3" t="s">
        <v>1478</v>
      </c>
    </row>
    <row r="75" spans="1:2">
      <c r="A75" s="3" t="s">
        <v>1479</v>
      </c>
      <c r="B75" s="3" t="s">
        <v>1480</v>
      </c>
    </row>
    <row r="76" spans="1:2">
      <c r="A76" s="3" t="s">
        <v>1479</v>
      </c>
      <c r="B76" s="3" t="s">
        <v>1481</v>
      </c>
    </row>
    <row r="77" spans="1:2">
      <c r="A77" s="3" t="s">
        <v>1479</v>
      </c>
      <c r="B77" s="3" t="s">
        <v>1482</v>
      </c>
    </row>
    <row r="78" spans="1:2">
      <c r="A78" s="3" t="s">
        <v>1479</v>
      </c>
      <c r="B78" s="3" t="s">
        <v>1483</v>
      </c>
    </row>
    <row r="79" spans="1:2">
      <c r="A79" s="3" t="s">
        <v>1479</v>
      </c>
      <c r="B79" s="3" t="s">
        <v>1484</v>
      </c>
    </row>
    <row r="80" spans="1:2">
      <c r="A80" s="3" t="s">
        <v>1479</v>
      </c>
      <c r="B80" s="3" t="s">
        <v>1485</v>
      </c>
    </row>
    <row r="81" spans="1:2">
      <c r="A81" s="3" t="s">
        <v>1479</v>
      </c>
      <c r="B81" s="3" t="s">
        <v>1486</v>
      </c>
    </row>
    <row r="82" spans="1:2">
      <c r="A82" s="3" t="s">
        <v>1479</v>
      </c>
      <c r="B82" s="3" t="s">
        <v>1487</v>
      </c>
    </row>
    <row r="83" spans="1:2">
      <c r="A83" s="3" t="s">
        <v>1488</v>
      </c>
      <c r="B83" s="3" t="s">
        <v>1489</v>
      </c>
    </row>
    <row r="84" spans="1:2">
      <c r="A84" s="3" t="s">
        <v>1488</v>
      </c>
      <c r="B84" s="3" t="s">
        <v>1490</v>
      </c>
    </row>
    <row r="85" spans="1:2">
      <c r="A85" s="3" t="s">
        <v>1488</v>
      </c>
      <c r="B85" s="3" t="s">
        <v>1491</v>
      </c>
    </row>
    <row r="86" spans="1:2">
      <c r="A86" s="3" t="s">
        <v>1488</v>
      </c>
      <c r="B86" s="3" t="s">
        <v>1492</v>
      </c>
    </row>
    <row r="87" spans="1:2">
      <c r="A87" s="3" t="s">
        <v>1488</v>
      </c>
      <c r="B87" s="3" t="s">
        <v>1493</v>
      </c>
    </row>
    <row r="88" spans="1:2">
      <c r="A88" s="3" t="s">
        <v>1488</v>
      </c>
      <c r="B88" s="3" t="s">
        <v>1494</v>
      </c>
    </row>
    <row r="89" spans="1:2">
      <c r="A89" s="3" t="s">
        <v>1488</v>
      </c>
      <c r="B89" s="3" t="s">
        <v>1495</v>
      </c>
    </row>
    <row r="90" spans="1:2">
      <c r="A90" s="3" t="s">
        <v>1488</v>
      </c>
      <c r="B90" s="3" t="s">
        <v>1496</v>
      </c>
    </row>
    <row r="91" spans="1:2">
      <c r="A91" s="3" t="s">
        <v>1497</v>
      </c>
      <c r="B91" s="3" t="s">
        <v>1498</v>
      </c>
    </row>
    <row r="92" spans="1:2">
      <c r="A92" s="3" t="s">
        <v>1497</v>
      </c>
      <c r="B92" s="3" t="s">
        <v>1499</v>
      </c>
    </row>
    <row r="93" spans="1:2">
      <c r="A93" s="3" t="s">
        <v>1497</v>
      </c>
      <c r="B93" s="3" t="s">
        <v>1500</v>
      </c>
    </row>
    <row r="94" spans="1:2">
      <c r="A94" s="3" t="s">
        <v>1497</v>
      </c>
      <c r="B94" s="3" t="s">
        <v>1501</v>
      </c>
    </row>
    <row r="95" spans="1:2">
      <c r="A95" s="3" t="s">
        <v>1502</v>
      </c>
      <c r="B95" s="3" t="s">
        <v>1503</v>
      </c>
    </row>
    <row r="96" spans="1:2">
      <c r="A96" s="3" t="s">
        <v>1502</v>
      </c>
      <c r="B96" s="3" t="s">
        <v>1504</v>
      </c>
    </row>
    <row r="97" spans="1:2">
      <c r="A97" s="3" t="s">
        <v>1502</v>
      </c>
      <c r="B97" s="3" t="s">
        <v>1505</v>
      </c>
    </row>
    <row r="98" spans="1:2">
      <c r="A98" s="3" t="s">
        <v>1502</v>
      </c>
      <c r="B98" s="3" t="s">
        <v>1506</v>
      </c>
    </row>
    <row r="99" spans="1:2">
      <c r="A99" s="3" t="s">
        <v>1502</v>
      </c>
      <c r="B99" s="3" t="s">
        <v>1507</v>
      </c>
    </row>
    <row r="100" spans="1:2">
      <c r="A100" s="3" t="s">
        <v>1502</v>
      </c>
      <c r="B100" s="3" t="s">
        <v>1508</v>
      </c>
    </row>
    <row r="101" spans="1:2">
      <c r="A101" s="3" t="s">
        <v>1502</v>
      </c>
      <c r="B101" s="3" t="s">
        <v>1509</v>
      </c>
    </row>
    <row r="102" spans="1:2">
      <c r="A102" s="3" t="s">
        <v>1502</v>
      </c>
      <c r="B102" s="3" t="s">
        <v>1510</v>
      </c>
    </row>
    <row r="103" spans="1:2">
      <c r="A103" s="3" t="s">
        <v>1511</v>
      </c>
      <c r="B103" s="3" t="s">
        <v>1512</v>
      </c>
    </row>
    <row r="104" spans="1:2">
      <c r="A104" s="3" t="s">
        <v>1511</v>
      </c>
      <c r="B104" s="3" t="s">
        <v>1513</v>
      </c>
    </row>
    <row r="105" spans="1:2">
      <c r="A105" s="3" t="s">
        <v>1511</v>
      </c>
      <c r="B105" s="3" t="s">
        <v>1514</v>
      </c>
    </row>
    <row r="106" spans="1:2">
      <c r="A106" s="3" t="s">
        <v>1515</v>
      </c>
      <c r="B106" s="3" t="s">
        <v>1516</v>
      </c>
    </row>
    <row r="107" spans="1:2">
      <c r="A107" s="3" t="s">
        <v>1515</v>
      </c>
      <c r="B107" s="3" t="s">
        <v>1517</v>
      </c>
    </row>
    <row r="108" spans="1:2">
      <c r="A108" s="3" t="s">
        <v>1515</v>
      </c>
      <c r="B108" s="3" t="s">
        <v>1518</v>
      </c>
    </row>
    <row r="109" spans="1:2">
      <c r="A109" s="3" t="s">
        <v>1515</v>
      </c>
      <c r="B109" s="3" t="s">
        <v>1519</v>
      </c>
    </row>
    <row r="110" spans="1:2">
      <c r="A110" s="3" t="s">
        <v>1520</v>
      </c>
      <c r="B110" s="3" t="s">
        <v>1521</v>
      </c>
    </row>
    <row r="111" spans="1:2">
      <c r="A111" s="3" t="s">
        <v>1520</v>
      </c>
      <c r="B111" s="3" t="s">
        <v>1522</v>
      </c>
    </row>
    <row r="112" spans="1:2">
      <c r="A112" s="3" t="s">
        <v>1520</v>
      </c>
      <c r="B112" s="3" t="s">
        <v>1523</v>
      </c>
    </row>
    <row r="113" spans="1:2">
      <c r="A113" s="3" t="s">
        <v>1524</v>
      </c>
      <c r="B113" s="3" t="s">
        <v>1525</v>
      </c>
    </row>
    <row r="114" spans="1:2">
      <c r="A114" s="3" t="s">
        <v>1524</v>
      </c>
      <c r="B114" s="3" t="s">
        <v>1526</v>
      </c>
    </row>
    <row r="115" spans="1:2">
      <c r="A115" s="3" t="s">
        <v>1524</v>
      </c>
      <c r="B115" s="3" t="s">
        <v>1527</v>
      </c>
    </row>
    <row r="116" spans="1:2">
      <c r="A116" s="3" t="s">
        <v>1524</v>
      </c>
      <c r="B116" s="3" t="s">
        <v>1528</v>
      </c>
    </row>
    <row r="117" spans="1:2">
      <c r="A117" s="3" t="s">
        <v>1529</v>
      </c>
      <c r="B117" s="3" t="s">
        <v>1530</v>
      </c>
    </row>
    <row r="118" spans="1:2">
      <c r="A118" s="3" t="s">
        <v>1529</v>
      </c>
      <c r="B118" s="3" t="s">
        <v>1531</v>
      </c>
    </row>
    <row r="119" spans="1:2">
      <c r="A119" s="3" t="s">
        <v>1529</v>
      </c>
      <c r="B119" s="3" t="s">
        <v>1532</v>
      </c>
    </row>
    <row r="120" spans="1:2">
      <c r="A120" s="3" t="s">
        <v>1529</v>
      </c>
      <c r="B120" s="3" t="s">
        <v>1533</v>
      </c>
    </row>
    <row r="121" spans="1:2">
      <c r="A121" s="3" t="s">
        <v>1534</v>
      </c>
      <c r="B121" s="3" t="s">
        <v>1535</v>
      </c>
    </row>
    <row r="122" spans="1:2">
      <c r="A122" s="3" t="s">
        <v>1534</v>
      </c>
      <c r="B122" s="3" t="s">
        <v>1536</v>
      </c>
    </row>
    <row r="123" spans="1:2">
      <c r="A123" s="3" t="s">
        <v>1537</v>
      </c>
      <c r="B123" s="3" t="s">
        <v>1538</v>
      </c>
    </row>
    <row r="124" spans="1:2">
      <c r="A124" s="3" t="s">
        <v>1537</v>
      </c>
      <c r="B124" s="3" t="s">
        <v>1539</v>
      </c>
    </row>
    <row r="125" spans="1:2">
      <c r="A125" s="3" t="s">
        <v>1537</v>
      </c>
      <c r="B125" s="3" t="s">
        <v>1540</v>
      </c>
    </row>
    <row r="126" spans="1:2">
      <c r="A126" s="3" t="s">
        <v>1541</v>
      </c>
      <c r="B126" s="3" t="s">
        <v>1542</v>
      </c>
    </row>
    <row r="127" spans="1:2">
      <c r="A127" s="3" t="s">
        <v>1541</v>
      </c>
      <c r="B127" s="3" t="s">
        <v>1543</v>
      </c>
    </row>
    <row r="128" spans="1:2">
      <c r="A128" s="3" t="s">
        <v>1541</v>
      </c>
      <c r="B128" s="3" t="s">
        <v>1544</v>
      </c>
    </row>
    <row r="129" spans="1:2">
      <c r="A129" s="3" t="s">
        <v>1541</v>
      </c>
      <c r="B129" s="3" t="s">
        <v>1545</v>
      </c>
    </row>
    <row r="130" spans="1:2">
      <c r="A130" s="3" t="s">
        <v>1541</v>
      </c>
      <c r="B130" s="3" t="s">
        <v>1546</v>
      </c>
    </row>
    <row r="131" spans="1:2">
      <c r="A131" s="3" t="s">
        <v>1541</v>
      </c>
      <c r="B131" s="3" t="s">
        <v>1547</v>
      </c>
    </row>
    <row r="132" spans="1:2">
      <c r="A132" s="3" t="s">
        <v>1541</v>
      </c>
      <c r="B132" s="3" t="s">
        <v>1548</v>
      </c>
    </row>
    <row r="133" spans="1:2">
      <c r="A133" s="3" t="s">
        <v>1541</v>
      </c>
      <c r="B133" s="3" t="s">
        <v>1549</v>
      </c>
    </row>
    <row r="134" spans="1:2">
      <c r="A134" s="3" t="s">
        <v>1541</v>
      </c>
      <c r="B134" s="3" t="s">
        <v>1550</v>
      </c>
    </row>
    <row r="135" spans="1:2">
      <c r="A135" s="3" t="s">
        <v>1541</v>
      </c>
      <c r="B135" s="3" t="s">
        <v>1551</v>
      </c>
    </row>
    <row r="136" spans="1:2">
      <c r="A136" s="3" t="s">
        <v>1541</v>
      </c>
      <c r="B136" s="3" t="s">
        <v>1552</v>
      </c>
    </row>
    <row r="137" spans="1:2">
      <c r="A137" s="3" t="s">
        <v>1541</v>
      </c>
      <c r="B137" s="3" t="s">
        <v>1553</v>
      </c>
    </row>
    <row r="138" spans="1:2">
      <c r="A138" s="3" t="s">
        <v>1541</v>
      </c>
      <c r="B138" s="3" t="s">
        <v>1554</v>
      </c>
    </row>
    <row r="139" spans="1:2">
      <c r="A139" s="3" t="s">
        <v>1555</v>
      </c>
      <c r="B139" s="3" t="s">
        <v>1556</v>
      </c>
    </row>
    <row r="140" spans="1:2">
      <c r="A140" s="3" t="s">
        <v>1555</v>
      </c>
      <c r="B140" s="3" t="s">
        <v>1557</v>
      </c>
    </row>
    <row r="141" spans="1:2">
      <c r="A141" s="3" t="s">
        <v>1555</v>
      </c>
      <c r="B141" s="3" t="s">
        <v>1558</v>
      </c>
    </row>
    <row r="142" spans="1:2">
      <c r="A142" s="3" t="s">
        <v>1559</v>
      </c>
      <c r="B142" s="3" t="s">
        <v>1560</v>
      </c>
    </row>
    <row r="143" spans="1:2">
      <c r="A143" s="3" t="s">
        <v>1559</v>
      </c>
      <c r="B143" s="3" t="s">
        <v>1561</v>
      </c>
    </row>
    <row r="144" spans="1:2">
      <c r="A144" s="3" t="s">
        <v>1559</v>
      </c>
      <c r="B144" s="3" t="s">
        <v>1562</v>
      </c>
    </row>
    <row r="145" spans="1:2">
      <c r="A145" s="3" t="s">
        <v>1563</v>
      </c>
      <c r="B145" s="3" t="s">
        <v>1564</v>
      </c>
    </row>
    <row r="146" spans="1:2">
      <c r="A146" s="3" t="s">
        <v>1563</v>
      </c>
      <c r="B146" s="3" t="s">
        <v>1565</v>
      </c>
    </row>
    <row r="147" spans="1:2">
      <c r="A147" s="3" t="s">
        <v>1563</v>
      </c>
      <c r="B147" s="3" t="s">
        <v>1566</v>
      </c>
    </row>
    <row r="148" spans="1:2">
      <c r="A148" s="3" t="s">
        <v>1563</v>
      </c>
      <c r="B148" s="3" t="s">
        <v>1567</v>
      </c>
    </row>
    <row r="149" spans="1:2">
      <c r="A149" s="3" t="s">
        <v>1563</v>
      </c>
      <c r="B149" s="3" t="s">
        <v>1568</v>
      </c>
    </row>
    <row r="150" spans="1:2">
      <c r="A150" s="3" t="s">
        <v>1563</v>
      </c>
      <c r="B150" s="3" t="s">
        <v>1569</v>
      </c>
    </row>
    <row r="151" spans="1:2">
      <c r="A151" s="3" t="s">
        <v>1563</v>
      </c>
      <c r="B151" s="3" t="s">
        <v>1570</v>
      </c>
    </row>
    <row r="152" spans="1:2">
      <c r="A152" s="3" t="s">
        <v>1563</v>
      </c>
      <c r="B152" s="3" t="s">
        <v>1571</v>
      </c>
    </row>
    <row r="153" spans="1:2">
      <c r="A153" s="3" t="s">
        <v>1563</v>
      </c>
      <c r="B153" s="3" t="s">
        <v>1572</v>
      </c>
    </row>
    <row r="154" spans="1:2">
      <c r="A154" s="3" t="s">
        <v>1563</v>
      </c>
      <c r="B154" s="3" t="s">
        <v>1573</v>
      </c>
    </row>
    <row r="155" spans="1:2">
      <c r="A155" s="3" t="s">
        <v>1563</v>
      </c>
      <c r="B155" s="3" t="s">
        <v>1574</v>
      </c>
    </row>
    <row r="156" spans="1:2">
      <c r="A156" s="3" t="s">
        <v>1563</v>
      </c>
      <c r="B156" s="3" t="s">
        <v>1575</v>
      </c>
    </row>
    <row r="157" spans="1:2">
      <c r="A157" s="3" t="s">
        <v>1563</v>
      </c>
      <c r="B157" s="3" t="s">
        <v>1576</v>
      </c>
    </row>
    <row r="158" spans="1:2">
      <c r="A158" s="3" t="s">
        <v>1563</v>
      </c>
      <c r="B158" s="3" t="s">
        <v>1577</v>
      </c>
    </row>
    <row r="159" spans="1:2">
      <c r="A159" s="3" t="s">
        <v>1563</v>
      </c>
      <c r="B159" s="3" t="s">
        <v>1578</v>
      </c>
    </row>
    <row r="160" spans="1:2">
      <c r="A160" s="3" t="s">
        <v>1563</v>
      </c>
      <c r="B160" s="3" t="s">
        <v>1579</v>
      </c>
    </row>
    <row r="161" spans="1:2">
      <c r="A161" s="3" t="s">
        <v>1563</v>
      </c>
      <c r="B161" s="3" t="s">
        <v>1580</v>
      </c>
    </row>
    <row r="162" spans="1:2">
      <c r="A162" s="3" t="s">
        <v>1563</v>
      </c>
      <c r="B162" s="3" t="s">
        <v>1581</v>
      </c>
    </row>
    <row r="163" spans="1:2">
      <c r="A163" s="3" t="s">
        <v>1563</v>
      </c>
      <c r="B163" s="3" t="s">
        <v>1582</v>
      </c>
    </row>
    <row r="164" spans="1:2">
      <c r="A164" s="3" t="s">
        <v>1563</v>
      </c>
      <c r="B164" s="3" t="s">
        <v>1583</v>
      </c>
    </row>
    <row r="165" spans="1:2">
      <c r="A165" s="3" t="s">
        <v>1563</v>
      </c>
      <c r="B165" s="3" t="s">
        <v>1584</v>
      </c>
    </row>
    <row r="166" spans="1:2">
      <c r="A166" s="3" t="s">
        <v>1585</v>
      </c>
      <c r="B166" s="3" t="s">
        <v>1586</v>
      </c>
    </row>
    <row r="167" spans="1:2">
      <c r="A167" s="3" t="s">
        <v>1585</v>
      </c>
      <c r="B167" s="3" t="s">
        <v>1587</v>
      </c>
    </row>
    <row r="168" spans="1:2">
      <c r="A168" s="3" t="s">
        <v>1588</v>
      </c>
      <c r="B168" s="3" t="s">
        <v>1589</v>
      </c>
    </row>
    <row r="169" spans="1:2">
      <c r="A169" s="3" t="s">
        <v>1588</v>
      </c>
      <c r="B169" s="3" t="s">
        <v>1590</v>
      </c>
    </row>
    <row r="170" spans="1:2">
      <c r="A170" s="3" t="s">
        <v>1588</v>
      </c>
      <c r="B170" s="3" t="s">
        <v>1591</v>
      </c>
    </row>
    <row r="171" spans="1:2">
      <c r="A171" s="3" t="s">
        <v>1588</v>
      </c>
      <c r="B171" s="3" t="s">
        <v>1592</v>
      </c>
    </row>
    <row r="172" spans="1:2">
      <c r="A172" s="3" t="s">
        <v>1588</v>
      </c>
      <c r="B172" s="3" t="s">
        <v>1593</v>
      </c>
    </row>
    <row r="173" spans="1:2">
      <c r="A173" s="3" t="s">
        <v>1588</v>
      </c>
      <c r="B173" s="3" t="s">
        <v>1594</v>
      </c>
    </row>
    <row r="174" spans="1:2">
      <c r="A174" s="3" t="s">
        <v>1588</v>
      </c>
      <c r="B174" s="3" t="s">
        <v>1595</v>
      </c>
    </row>
    <row r="175" spans="1:2">
      <c r="A175" s="3" t="s">
        <v>1588</v>
      </c>
      <c r="B175" s="3" t="s">
        <v>1596</v>
      </c>
    </row>
    <row r="176" spans="1:2">
      <c r="A176" s="3" t="s">
        <v>1597</v>
      </c>
      <c r="B176" s="3" t="s">
        <v>1598</v>
      </c>
    </row>
    <row r="177" spans="1:2">
      <c r="A177" s="3" t="s">
        <v>1597</v>
      </c>
      <c r="B177" s="3" t="s">
        <v>1599</v>
      </c>
    </row>
    <row r="178" spans="1:2">
      <c r="A178" s="3" t="s">
        <v>1597</v>
      </c>
      <c r="B178" s="3" t="s">
        <v>1600</v>
      </c>
    </row>
    <row r="179" spans="1:2">
      <c r="A179" s="3" t="s">
        <v>1601</v>
      </c>
      <c r="B179" s="3" t="s">
        <v>1602</v>
      </c>
    </row>
    <row r="180" spans="1:2">
      <c r="A180" s="3" t="s">
        <v>1601</v>
      </c>
      <c r="B180" s="3" t="s">
        <v>1603</v>
      </c>
    </row>
    <row r="181" spans="1:2">
      <c r="A181" s="3" t="s">
        <v>1601</v>
      </c>
      <c r="B181" s="3" t="s">
        <v>1604</v>
      </c>
    </row>
    <row r="182" spans="1:2">
      <c r="A182" s="3" t="s">
        <v>1601</v>
      </c>
      <c r="B182" s="3" t="s">
        <v>1605</v>
      </c>
    </row>
    <row r="183" spans="1:2">
      <c r="A183" s="3" t="s">
        <v>1601</v>
      </c>
      <c r="B183" s="3" t="s">
        <v>1606</v>
      </c>
    </row>
    <row r="184" spans="1:2">
      <c r="A184" s="3" t="s">
        <v>1607</v>
      </c>
      <c r="B184" s="3" t="s">
        <v>1608</v>
      </c>
    </row>
    <row r="185" spans="1:2">
      <c r="A185" s="3" t="s">
        <v>1607</v>
      </c>
      <c r="B185" s="3" t="s">
        <v>1609</v>
      </c>
    </row>
    <row r="186" spans="1:2">
      <c r="A186" s="3" t="s">
        <v>1607</v>
      </c>
      <c r="B186" s="3" t="s">
        <v>1610</v>
      </c>
    </row>
    <row r="187" spans="1:2">
      <c r="A187" s="3" t="s">
        <v>1607</v>
      </c>
      <c r="B187" s="3" t="s">
        <v>1611</v>
      </c>
    </row>
    <row r="188" spans="1:2">
      <c r="A188" s="3" t="s">
        <v>1607</v>
      </c>
      <c r="B188" s="3" t="s">
        <v>1612</v>
      </c>
    </row>
    <row r="189" spans="1:2">
      <c r="A189" s="3" t="s">
        <v>1607</v>
      </c>
      <c r="B189" s="3" t="s">
        <v>1613</v>
      </c>
    </row>
    <row r="190" spans="1:2">
      <c r="A190" s="3" t="s">
        <v>1607</v>
      </c>
      <c r="B190" s="3" t="s">
        <v>1614</v>
      </c>
    </row>
    <row r="191" spans="1:2">
      <c r="A191" s="3" t="s">
        <v>1607</v>
      </c>
      <c r="B191" s="3" t="s">
        <v>1615</v>
      </c>
    </row>
    <row r="192" spans="1:2">
      <c r="A192" s="3" t="s">
        <v>1607</v>
      </c>
      <c r="B192" s="3" t="s">
        <v>1616</v>
      </c>
    </row>
    <row r="193" spans="1:2">
      <c r="A193" s="3" t="s">
        <v>1607</v>
      </c>
      <c r="B193" s="3" t="s">
        <v>1617</v>
      </c>
    </row>
    <row r="194" spans="1:2">
      <c r="A194" s="3" t="s">
        <v>1618</v>
      </c>
      <c r="B194" s="3" t="s">
        <v>1619</v>
      </c>
    </row>
    <row r="195" spans="1:2">
      <c r="A195" s="3" t="s">
        <v>1618</v>
      </c>
      <c r="B195" s="3" t="s">
        <v>1620</v>
      </c>
    </row>
    <row r="196" spans="1:2">
      <c r="A196" s="3" t="s">
        <v>1618</v>
      </c>
      <c r="B196" s="3" t="s">
        <v>1621</v>
      </c>
    </row>
    <row r="197" spans="1:2">
      <c r="A197" s="3" t="s">
        <v>1622</v>
      </c>
      <c r="B197" s="3" t="s">
        <v>1623</v>
      </c>
    </row>
    <row r="198" spans="1:2">
      <c r="A198" s="3" t="s">
        <v>1622</v>
      </c>
      <c r="B198" s="3" t="s">
        <v>1624</v>
      </c>
    </row>
    <row r="199" spans="1:2">
      <c r="A199" s="3" t="s">
        <v>1622</v>
      </c>
      <c r="B199" s="3" t="s">
        <v>1625</v>
      </c>
    </row>
    <row r="200" spans="1:2">
      <c r="A200" s="3" t="s">
        <v>1622</v>
      </c>
      <c r="B200" s="3" t="s">
        <v>1626</v>
      </c>
    </row>
    <row r="201" spans="1:2">
      <c r="A201" s="3" t="s">
        <v>1622</v>
      </c>
      <c r="B201" s="3" t="s">
        <v>1627</v>
      </c>
    </row>
    <row r="202" spans="1:2">
      <c r="A202" s="3" t="s">
        <v>1622</v>
      </c>
      <c r="B202" s="3" t="s">
        <v>1628</v>
      </c>
    </row>
    <row r="203" spans="1:2">
      <c r="A203" s="3" t="s">
        <v>1622</v>
      </c>
      <c r="B203" s="3" t="s">
        <v>1629</v>
      </c>
    </row>
    <row r="204" spans="1:2">
      <c r="A204" s="3" t="s">
        <v>1622</v>
      </c>
      <c r="B204" s="3" t="s">
        <v>1630</v>
      </c>
    </row>
    <row r="205" spans="1:2">
      <c r="A205" s="3" t="s">
        <v>1622</v>
      </c>
      <c r="B205" s="3" t="s">
        <v>1631</v>
      </c>
    </row>
    <row r="206" spans="1:2">
      <c r="A206" s="3" t="s">
        <v>1622</v>
      </c>
      <c r="B206" s="3" t="s">
        <v>1632</v>
      </c>
    </row>
    <row r="207" spans="1:2">
      <c r="A207" s="3" t="s">
        <v>1622</v>
      </c>
      <c r="B207" s="3" t="s">
        <v>1633</v>
      </c>
    </row>
    <row r="208" spans="1:2">
      <c r="A208" s="3" t="s">
        <v>1622</v>
      </c>
      <c r="B208" s="3" t="s">
        <v>1634</v>
      </c>
    </row>
    <row r="209" spans="1:2">
      <c r="A209" s="3" t="s">
        <v>1622</v>
      </c>
      <c r="B209" s="3" t="s">
        <v>1635</v>
      </c>
    </row>
    <row r="210" spans="1:2">
      <c r="A210" s="3" t="s">
        <v>1622</v>
      </c>
      <c r="B210" s="3" t="s">
        <v>1636</v>
      </c>
    </row>
    <row r="211" spans="1:2">
      <c r="A211" s="3" t="s">
        <v>1622</v>
      </c>
      <c r="B211" s="3" t="s">
        <v>1637</v>
      </c>
    </row>
    <row r="212" spans="1:2">
      <c r="A212" s="3" t="s">
        <v>1622</v>
      </c>
      <c r="B212" s="3" t="s">
        <v>1638</v>
      </c>
    </row>
    <row r="213" spans="1:2">
      <c r="A213" s="3" t="s">
        <v>1639</v>
      </c>
      <c r="B213" s="3" t="s">
        <v>1640</v>
      </c>
    </row>
    <row r="214" spans="1:2">
      <c r="A214" s="3" t="s">
        <v>1639</v>
      </c>
      <c r="B214" s="3" t="s">
        <v>1641</v>
      </c>
    </row>
    <row r="215" spans="1:2">
      <c r="A215" s="3" t="s">
        <v>1639</v>
      </c>
      <c r="B215" s="3" t="s">
        <v>1642</v>
      </c>
    </row>
    <row r="216" spans="1:2">
      <c r="A216" s="3" t="s">
        <v>1639</v>
      </c>
      <c r="B216" s="3" t="s">
        <v>1643</v>
      </c>
    </row>
    <row r="217" spans="1:2">
      <c r="A217" s="3" t="s">
        <v>1639</v>
      </c>
      <c r="B217" s="3" t="s">
        <v>1644</v>
      </c>
    </row>
    <row r="218" spans="1:2">
      <c r="A218" s="3" t="s">
        <v>1639</v>
      </c>
      <c r="B218" s="3" t="s">
        <v>1645</v>
      </c>
    </row>
    <row r="219" spans="1:2">
      <c r="A219" s="3" t="s">
        <v>1639</v>
      </c>
      <c r="B219" s="3" t="s">
        <v>1646</v>
      </c>
    </row>
    <row r="220" spans="1:2">
      <c r="A220" s="3" t="s">
        <v>1639</v>
      </c>
      <c r="B220" s="3" t="s">
        <v>1647</v>
      </c>
    </row>
    <row r="221" spans="1:2">
      <c r="A221" s="3" t="s">
        <v>1639</v>
      </c>
      <c r="B221" s="3" t="s">
        <v>1648</v>
      </c>
    </row>
    <row r="222" spans="1:2">
      <c r="A222" s="3" t="s">
        <v>1639</v>
      </c>
      <c r="B222" s="3" t="s">
        <v>1649</v>
      </c>
    </row>
    <row r="223" spans="1:2">
      <c r="A223" s="3" t="s">
        <v>1650</v>
      </c>
      <c r="B223" s="3" t="s">
        <v>1651</v>
      </c>
    </row>
    <row r="224" spans="1:2">
      <c r="A224" s="3" t="s">
        <v>1650</v>
      </c>
      <c r="B224" s="3" t="s">
        <v>1652</v>
      </c>
    </row>
    <row r="225" spans="1:2">
      <c r="A225" s="3" t="s">
        <v>1650</v>
      </c>
      <c r="B225" s="3" t="s">
        <v>1653</v>
      </c>
    </row>
    <row r="226" spans="1:2">
      <c r="A226" s="3" t="s">
        <v>1650</v>
      </c>
      <c r="B226" s="3" t="s">
        <v>1654</v>
      </c>
    </row>
    <row r="227" spans="1:2">
      <c r="A227" s="3" t="s">
        <v>1655</v>
      </c>
      <c r="B227" s="3" t="s">
        <v>1656</v>
      </c>
    </row>
    <row r="228" spans="1:2">
      <c r="A228" s="3" t="s">
        <v>1655</v>
      </c>
      <c r="B228" s="3" t="s">
        <v>1657</v>
      </c>
    </row>
    <row r="229" spans="1:2">
      <c r="A229" s="3" t="s">
        <v>1655</v>
      </c>
      <c r="B229" s="3" t="s">
        <v>1658</v>
      </c>
    </row>
    <row r="230" spans="1:2">
      <c r="A230" s="3" t="s">
        <v>1655</v>
      </c>
      <c r="B230" s="3" t="s">
        <v>1659</v>
      </c>
    </row>
    <row r="231" spans="1:2">
      <c r="A231" s="3" t="s">
        <v>1660</v>
      </c>
      <c r="B231" s="3" t="s">
        <v>1661</v>
      </c>
    </row>
    <row r="232" spans="1:2">
      <c r="A232" s="3" t="s">
        <v>1660</v>
      </c>
      <c r="B232" s="3" t="s">
        <v>1662</v>
      </c>
    </row>
    <row r="233" spans="1:2">
      <c r="A233" s="3" t="s">
        <v>1660</v>
      </c>
      <c r="B233" s="3" t="s">
        <v>1663</v>
      </c>
    </row>
    <row r="234" spans="1:2">
      <c r="A234" s="3" t="s">
        <v>1660</v>
      </c>
      <c r="B234" s="3" t="s">
        <v>1664</v>
      </c>
    </row>
    <row r="235" spans="1:2">
      <c r="A235" s="3" t="s">
        <v>1665</v>
      </c>
      <c r="B235" s="3" t="s">
        <v>1666</v>
      </c>
    </row>
    <row r="236" spans="1:2">
      <c r="A236" s="3" t="s">
        <v>1665</v>
      </c>
      <c r="B236" s="3" t="s">
        <v>1667</v>
      </c>
    </row>
    <row r="237" spans="1:2">
      <c r="A237" s="3" t="s">
        <v>1668</v>
      </c>
      <c r="B237" s="3" t="s">
        <v>1669</v>
      </c>
    </row>
    <row r="238" spans="1:2">
      <c r="A238" s="3" t="s">
        <v>1668</v>
      </c>
      <c r="B238" s="3" t="s">
        <v>1670</v>
      </c>
    </row>
    <row r="239" spans="1:2">
      <c r="A239" s="3" t="s">
        <v>1668</v>
      </c>
      <c r="B239" s="3" t="s">
        <v>1671</v>
      </c>
    </row>
    <row r="240" spans="1:2">
      <c r="A240" s="3" t="s">
        <v>1668</v>
      </c>
      <c r="B240" s="3" t="s">
        <v>1672</v>
      </c>
    </row>
    <row r="241" spans="1:2">
      <c r="A241" s="3" t="s">
        <v>1673</v>
      </c>
      <c r="B241" s="3" t="s">
        <v>1674</v>
      </c>
    </row>
    <row r="242" spans="1:2">
      <c r="A242" s="3" t="s">
        <v>1673</v>
      </c>
      <c r="B242" s="3" t="s">
        <v>1675</v>
      </c>
    </row>
    <row r="243" spans="1:2">
      <c r="A243" s="3" t="s">
        <v>1673</v>
      </c>
      <c r="B243" s="3" t="s">
        <v>1676</v>
      </c>
    </row>
    <row r="244" spans="1:2">
      <c r="A244" s="3" t="s">
        <v>1677</v>
      </c>
      <c r="B244" s="3" t="s">
        <v>1678</v>
      </c>
    </row>
    <row r="245" spans="1:2">
      <c r="A245" s="3" t="s">
        <v>1677</v>
      </c>
      <c r="B245" s="3" t="s">
        <v>1679</v>
      </c>
    </row>
    <row r="246" spans="1:2">
      <c r="A246" s="3" t="s">
        <v>1677</v>
      </c>
      <c r="B246" s="3" t="s">
        <v>1680</v>
      </c>
    </row>
    <row r="247" spans="1:2">
      <c r="A247" s="3" t="s">
        <v>1677</v>
      </c>
      <c r="B247" s="3" t="s">
        <v>1681</v>
      </c>
    </row>
    <row r="248" spans="1:2">
      <c r="A248" s="3" t="s">
        <v>1677</v>
      </c>
      <c r="B248" s="3" t="s">
        <v>1682</v>
      </c>
    </row>
    <row r="249" spans="1:2">
      <c r="A249" s="3" t="s">
        <v>1683</v>
      </c>
      <c r="B249" s="3" t="s">
        <v>1684</v>
      </c>
    </row>
    <row r="250" spans="1:2">
      <c r="A250" s="3" t="s">
        <v>1683</v>
      </c>
      <c r="B250" s="3" t="s">
        <v>1685</v>
      </c>
    </row>
    <row r="251" spans="1:2">
      <c r="A251" s="3" t="s">
        <v>1683</v>
      </c>
      <c r="B251" s="3" t="s">
        <v>1686</v>
      </c>
    </row>
    <row r="252" spans="1:2">
      <c r="A252" s="3" t="s">
        <v>1683</v>
      </c>
      <c r="B252" s="3" t="s">
        <v>1687</v>
      </c>
    </row>
    <row r="253" spans="1:2">
      <c r="A253" s="3" t="s">
        <v>1688</v>
      </c>
      <c r="B253" s="3" t="s">
        <v>1689</v>
      </c>
    </row>
    <row r="254" spans="1:2">
      <c r="A254" s="3" t="s">
        <v>1688</v>
      </c>
      <c r="B254" s="3" t="s">
        <v>1690</v>
      </c>
    </row>
    <row r="255" spans="1:2">
      <c r="A255" s="3" t="s">
        <v>1688</v>
      </c>
      <c r="B255" s="3" t="s">
        <v>1691</v>
      </c>
    </row>
    <row r="256" spans="1:2">
      <c r="A256" s="3" t="s">
        <v>1692</v>
      </c>
      <c r="B256" s="3" t="s">
        <v>1693</v>
      </c>
    </row>
    <row r="257" spans="1:2">
      <c r="A257" s="3" t="s">
        <v>1692</v>
      </c>
      <c r="B257" s="3" t="s">
        <v>1694</v>
      </c>
    </row>
    <row r="258" spans="1:2">
      <c r="A258" s="3" t="s">
        <v>1695</v>
      </c>
      <c r="B258" s="3" t="s">
        <v>1696</v>
      </c>
    </row>
    <row r="259" spans="1:2">
      <c r="A259" s="3" t="s">
        <v>1695</v>
      </c>
      <c r="B259" s="3" t="s">
        <v>1697</v>
      </c>
    </row>
    <row r="260" spans="1:2">
      <c r="A260" s="3" t="s">
        <v>1695</v>
      </c>
      <c r="B260" s="3" t="s">
        <v>1698</v>
      </c>
    </row>
    <row r="261" spans="1:2">
      <c r="A261" s="3" t="s">
        <v>1695</v>
      </c>
      <c r="B261" s="3" t="s">
        <v>1699</v>
      </c>
    </row>
    <row r="262" spans="1:2">
      <c r="A262" s="3" t="s">
        <v>1695</v>
      </c>
      <c r="B262" s="3" t="s">
        <v>1700</v>
      </c>
    </row>
    <row r="263" spans="1:2">
      <c r="A263" s="3" t="s">
        <v>1695</v>
      </c>
      <c r="B263" s="3" t="s">
        <v>1701</v>
      </c>
    </row>
    <row r="264" spans="1:2">
      <c r="A264" s="3" t="s">
        <v>1695</v>
      </c>
      <c r="B264" s="3" t="s">
        <v>1702</v>
      </c>
    </row>
    <row r="265" spans="1:2">
      <c r="A265" s="3" t="s">
        <v>1703</v>
      </c>
      <c r="B265" s="3" t="s">
        <v>1704</v>
      </c>
    </row>
    <row r="266" spans="1:2">
      <c r="A266" s="3" t="s">
        <v>1703</v>
      </c>
      <c r="B266" s="3" t="s">
        <v>1705</v>
      </c>
    </row>
    <row r="267" spans="1:2">
      <c r="A267" s="3" t="s">
        <v>1703</v>
      </c>
      <c r="B267" s="3" t="s">
        <v>1706</v>
      </c>
    </row>
    <row r="268" spans="1:2">
      <c r="A268" s="3" t="s">
        <v>1707</v>
      </c>
      <c r="B268" s="3" t="s">
        <v>1708</v>
      </c>
    </row>
    <row r="269" spans="1:2">
      <c r="A269" s="3" t="s">
        <v>1707</v>
      </c>
      <c r="B269" s="3" t="s">
        <v>1709</v>
      </c>
    </row>
    <row r="270" spans="1:2">
      <c r="A270" s="3" t="s">
        <v>1707</v>
      </c>
      <c r="B270" s="3" t="s">
        <v>1710</v>
      </c>
    </row>
    <row r="271" spans="1:2">
      <c r="A271" s="3" t="s">
        <v>1707</v>
      </c>
      <c r="B271" s="3" t="s">
        <v>1711</v>
      </c>
    </row>
    <row r="272" spans="1:2">
      <c r="A272" s="3" t="s">
        <v>1707</v>
      </c>
      <c r="B272" s="3" t="s">
        <v>1712</v>
      </c>
    </row>
    <row r="273" spans="1:2">
      <c r="A273" s="3" t="s">
        <v>1707</v>
      </c>
      <c r="B273" s="3" t="s">
        <v>1713</v>
      </c>
    </row>
    <row r="274" spans="1:2">
      <c r="A274" s="3" t="s">
        <v>1707</v>
      </c>
      <c r="B274" s="3" t="s">
        <v>1714</v>
      </c>
    </row>
    <row r="275" spans="1:2">
      <c r="A275" s="3" t="s">
        <v>1707</v>
      </c>
      <c r="B275" s="3" t="s">
        <v>1715</v>
      </c>
    </row>
    <row r="276" spans="1:2">
      <c r="A276" s="3" t="s">
        <v>1716</v>
      </c>
      <c r="B276" s="3" t="s">
        <v>1717</v>
      </c>
    </row>
    <row r="277" spans="1:2">
      <c r="A277" s="3" t="s">
        <v>1716</v>
      </c>
      <c r="B277" s="3" t="s">
        <v>1718</v>
      </c>
    </row>
    <row r="278" spans="1:2">
      <c r="A278" s="3" t="s">
        <v>1716</v>
      </c>
      <c r="B278" s="3" t="s">
        <v>1719</v>
      </c>
    </row>
    <row r="279" spans="1:2">
      <c r="A279" s="3" t="s">
        <v>1716</v>
      </c>
      <c r="B279" s="3" t="s">
        <v>1720</v>
      </c>
    </row>
    <row r="280" spans="1:2">
      <c r="A280" s="3" t="s">
        <v>1716</v>
      </c>
      <c r="B280" s="3" t="s">
        <v>1721</v>
      </c>
    </row>
    <row r="281" spans="1:2">
      <c r="A281" s="3" t="s">
        <v>1716</v>
      </c>
      <c r="B281" s="3" t="s">
        <v>1722</v>
      </c>
    </row>
    <row r="282" spans="1:2">
      <c r="A282" s="3" t="s">
        <v>1716</v>
      </c>
      <c r="B282" s="3" t="s">
        <v>1723</v>
      </c>
    </row>
    <row r="283" spans="1:2">
      <c r="A283" s="3" t="s">
        <v>1716</v>
      </c>
      <c r="B283" s="3" t="s">
        <v>1724</v>
      </c>
    </row>
    <row r="284" spans="1:2">
      <c r="A284" s="3" t="s">
        <v>1716</v>
      </c>
      <c r="B284" s="3" t="s">
        <v>1725</v>
      </c>
    </row>
    <row r="285" spans="1:2">
      <c r="A285" s="3" t="s">
        <v>1716</v>
      </c>
      <c r="B285" s="3" t="s">
        <v>1726</v>
      </c>
    </row>
    <row r="286" spans="1:2">
      <c r="A286" s="3" t="s">
        <v>1716</v>
      </c>
      <c r="B286" s="3" t="s">
        <v>1727</v>
      </c>
    </row>
    <row r="287" spans="1:2">
      <c r="A287" s="3" t="s">
        <v>1716</v>
      </c>
      <c r="B287" s="3" t="s">
        <v>1728</v>
      </c>
    </row>
    <row r="288" spans="1:2">
      <c r="A288" s="3" t="s">
        <v>1716</v>
      </c>
      <c r="B288" s="3" t="s">
        <v>1729</v>
      </c>
    </row>
    <row r="289" spans="1:2">
      <c r="A289" s="3" t="s">
        <v>1730</v>
      </c>
      <c r="B289" s="3" t="s">
        <v>1731</v>
      </c>
    </row>
    <row r="290" spans="1:2">
      <c r="A290" s="3" t="s">
        <v>1730</v>
      </c>
      <c r="B290" s="3" t="s">
        <v>1732</v>
      </c>
    </row>
    <row r="291" spans="1:2">
      <c r="A291" s="3" t="s">
        <v>1730</v>
      </c>
      <c r="B291" s="3" t="s">
        <v>1733</v>
      </c>
    </row>
    <row r="292" spans="1:2">
      <c r="A292" s="3" t="s">
        <v>1730</v>
      </c>
      <c r="B292" s="3" t="s">
        <v>1734</v>
      </c>
    </row>
    <row r="293" spans="1:2">
      <c r="A293" s="3" t="s">
        <v>1735</v>
      </c>
      <c r="B293" s="3" t="s">
        <v>1736</v>
      </c>
    </row>
    <row r="294" spans="1:2">
      <c r="A294" s="3" t="s">
        <v>1735</v>
      </c>
      <c r="B294" s="3" t="s">
        <v>1737</v>
      </c>
    </row>
    <row r="295" spans="1:2">
      <c r="A295" s="3" t="s">
        <v>1735</v>
      </c>
      <c r="B295" s="3" t="s">
        <v>1738</v>
      </c>
    </row>
    <row r="296" spans="1:2">
      <c r="A296" s="3" t="s">
        <v>1735</v>
      </c>
      <c r="B296" s="3" t="s">
        <v>1739</v>
      </c>
    </row>
    <row r="297" spans="1:2">
      <c r="A297" s="3" t="s">
        <v>1740</v>
      </c>
      <c r="B297" s="3" t="s">
        <v>1741</v>
      </c>
    </row>
    <row r="298" spans="1:2">
      <c r="A298" s="3" t="s">
        <v>1740</v>
      </c>
      <c r="B298" s="3" t="s">
        <v>1742</v>
      </c>
    </row>
    <row r="299" spans="1:2">
      <c r="A299" s="3" t="s">
        <v>1740</v>
      </c>
      <c r="B299" s="3" t="s">
        <v>1743</v>
      </c>
    </row>
    <row r="300" spans="1:2">
      <c r="A300" s="3" t="s">
        <v>1740</v>
      </c>
      <c r="B300" s="3" t="s">
        <v>1744</v>
      </c>
    </row>
    <row r="301" spans="1:2">
      <c r="A301" s="3" t="s">
        <v>1745</v>
      </c>
      <c r="B301" s="3" t="s">
        <v>1746</v>
      </c>
    </row>
    <row r="302" spans="1:2">
      <c r="A302" s="3" t="s">
        <v>1747</v>
      </c>
      <c r="B302" s="3" t="s">
        <v>1748</v>
      </c>
    </row>
    <row r="303" spans="1:2">
      <c r="A303" s="3" t="s">
        <v>1749</v>
      </c>
      <c r="B303" s="3" t="s">
        <v>1750</v>
      </c>
    </row>
    <row r="304" spans="1:2">
      <c r="A304" s="3" t="s">
        <v>1749</v>
      </c>
      <c r="B304" s="3" t="s">
        <v>1751</v>
      </c>
    </row>
    <row r="305" spans="1:2">
      <c r="A305" s="3" t="s">
        <v>1749</v>
      </c>
      <c r="B305" s="3" t="s">
        <v>1752</v>
      </c>
    </row>
    <row r="306" spans="1:2">
      <c r="A306" s="3" t="s">
        <v>1749</v>
      </c>
      <c r="B306" s="3" t="s">
        <v>1753</v>
      </c>
    </row>
    <row r="307" spans="1:2">
      <c r="A307" s="3" t="s">
        <v>1754</v>
      </c>
      <c r="B307" s="3" t="s">
        <v>1755</v>
      </c>
    </row>
    <row r="308" spans="1:2">
      <c r="A308" s="3" t="s">
        <v>1754</v>
      </c>
      <c r="B308" s="3" t="s">
        <v>1756</v>
      </c>
    </row>
    <row r="309" spans="1:2">
      <c r="A309" s="3" t="s">
        <v>1754</v>
      </c>
      <c r="B309" s="3" t="s">
        <v>1757</v>
      </c>
    </row>
    <row r="310" spans="1:2">
      <c r="A310" s="3" t="s">
        <v>1754</v>
      </c>
      <c r="B310" s="3" t="s">
        <v>1758</v>
      </c>
    </row>
    <row r="311" spans="1:2">
      <c r="A311" s="3" t="s">
        <v>1754</v>
      </c>
      <c r="B311" s="3" t="s">
        <v>1759</v>
      </c>
    </row>
    <row r="312" spans="1:2">
      <c r="A312" s="3" t="s">
        <v>1754</v>
      </c>
      <c r="B312" s="3" t="s">
        <v>1760</v>
      </c>
    </row>
    <row r="313" spans="1:2">
      <c r="A313" s="3" t="s">
        <v>1754</v>
      </c>
      <c r="B313" s="3" t="s">
        <v>1761</v>
      </c>
    </row>
    <row r="314" spans="1:2">
      <c r="A314" s="3" t="s">
        <v>1754</v>
      </c>
      <c r="B314" s="3" t="s">
        <v>1762</v>
      </c>
    </row>
    <row r="315" spans="1:2">
      <c r="A315" s="3" t="s">
        <v>1763</v>
      </c>
      <c r="B315" s="3" t="s">
        <v>1764</v>
      </c>
    </row>
    <row r="316" spans="1:2">
      <c r="A316" s="3" t="s">
        <v>1763</v>
      </c>
      <c r="B316" s="3" t="s">
        <v>1765</v>
      </c>
    </row>
    <row r="317" spans="1:2">
      <c r="A317" s="3" t="s">
        <v>1763</v>
      </c>
      <c r="B317" s="3" t="s">
        <v>1766</v>
      </c>
    </row>
    <row r="318" spans="1:2">
      <c r="A318" s="3" t="s">
        <v>1763</v>
      </c>
      <c r="B318" s="3" t="s">
        <v>1767</v>
      </c>
    </row>
    <row r="319" spans="1:2">
      <c r="A319" s="3" t="s">
        <v>1768</v>
      </c>
      <c r="B319" s="3" t="s">
        <v>1769</v>
      </c>
    </row>
    <row r="320" spans="1:2">
      <c r="A320" s="3" t="s">
        <v>1768</v>
      </c>
      <c r="B320" s="3" t="s">
        <v>1770</v>
      </c>
    </row>
    <row r="321" spans="1:2">
      <c r="A321" s="3" t="s">
        <v>1768</v>
      </c>
      <c r="B321" s="3" t="s">
        <v>1771</v>
      </c>
    </row>
    <row r="322" spans="1:2">
      <c r="A322" s="3" t="s">
        <v>1768</v>
      </c>
      <c r="B322" s="3" t="s">
        <v>1772</v>
      </c>
    </row>
    <row r="323" spans="1:2">
      <c r="A323" s="3" t="s">
        <v>1768</v>
      </c>
      <c r="B323" s="3" t="s">
        <v>1773</v>
      </c>
    </row>
    <row r="324" spans="1:2">
      <c r="A324" s="3" t="s">
        <v>1768</v>
      </c>
      <c r="B324" s="3" t="s">
        <v>1774</v>
      </c>
    </row>
    <row r="325" spans="1:2">
      <c r="A325" s="3" t="s">
        <v>1768</v>
      </c>
      <c r="B325" s="3" t="s">
        <v>1775</v>
      </c>
    </row>
    <row r="326" spans="1:2">
      <c r="A326" s="3" t="s">
        <v>1768</v>
      </c>
      <c r="B326" s="3" t="s">
        <v>1776</v>
      </c>
    </row>
    <row r="327" spans="1:2">
      <c r="A327" s="3" t="s">
        <v>1768</v>
      </c>
      <c r="B327" s="3" t="s">
        <v>1777</v>
      </c>
    </row>
    <row r="328" spans="1:2">
      <c r="A328" s="3" t="s">
        <v>1768</v>
      </c>
      <c r="B328" s="3" t="s">
        <v>1778</v>
      </c>
    </row>
    <row r="329" spans="1:2">
      <c r="A329" s="3" t="s">
        <v>1768</v>
      </c>
      <c r="B329" s="3" t="s">
        <v>1779</v>
      </c>
    </row>
    <row r="330" spans="1:2">
      <c r="A330" s="3" t="s">
        <v>1780</v>
      </c>
      <c r="B330" s="3" t="s">
        <v>1781</v>
      </c>
    </row>
    <row r="331" spans="1:2">
      <c r="A331" s="3" t="s">
        <v>1780</v>
      </c>
      <c r="B331" s="3" t="s">
        <v>1782</v>
      </c>
    </row>
    <row r="332" spans="1:2">
      <c r="A332" s="3" t="s">
        <v>1780</v>
      </c>
      <c r="B332" s="3" t="s">
        <v>1783</v>
      </c>
    </row>
    <row r="333" spans="1:2">
      <c r="A333" s="3" t="s">
        <v>1780</v>
      </c>
      <c r="B333" s="3" t="s">
        <v>1784</v>
      </c>
    </row>
    <row r="334" spans="1:2">
      <c r="A334" s="3" t="s">
        <v>1780</v>
      </c>
      <c r="B334" s="3" t="s">
        <v>1785</v>
      </c>
    </row>
    <row r="335" spans="1:2">
      <c r="A335" s="3" t="s">
        <v>1780</v>
      </c>
      <c r="B335" s="3" t="s">
        <v>1786</v>
      </c>
    </row>
    <row r="336" spans="1:2">
      <c r="A336" s="3" t="s">
        <v>1780</v>
      </c>
      <c r="B336" s="3" t="s">
        <v>1787</v>
      </c>
    </row>
    <row r="337" spans="1:2">
      <c r="A337" s="3" t="s">
        <v>1788</v>
      </c>
      <c r="B337" s="3" t="s">
        <v>1789</v>
      </c>
    </row>
    <row r="338" spans="1:2">
      <c r="A338" s="3" t="s">
        <v>1788</v>
      </c>
      <c r="B338" s="3" t="s">
        <v>1790</v>
      </c>
    </row>
    <row r="339" spans="1:2">
      <c r="A339" s="3" t="s">
        <v>1791</v>
      </c>
      <c r="B339" s="3" t="s">
        <v>1792</v>
      </c>
    </row>
    <row r="340" spans="1:2">
      <c r="A340" s="3" t="s">
        <v>1791</v>
      </c>
      <c r="B340" s="3" t="s">
        <v>1793</v>
      </c>
    </row>
    <row r="341" spans="1:2">
      <c r="A341" s="3" t="s">
        <v>1791</v>
      </c>
      <c r="B341" s="3" t="s">
        <v>1794</v>
      </c>
    </row>
    <row r="342" spans="1:2">
      <c r="A342" s="3" t="s">
        <v>1795</v>
      </c>
      <c r="B342" s="3" t="s">
        <v>1796</v>
      </c>
    </row>
    <row r="343" spans="1:2">
      <c r="A343" s="3" t="s">
        <v>1795</v>
      </c>
      <c r="B343" s="3" t="s">
        <v>1797</v>
      </c>
    </row>
    <row r="344" spans="1:2">
      <c r="A344" s="3" t="s">
        <v>1795</v>
      </c>
      <c r="B344" s="3" t="s">
        <v>1798</v>
      </c>
    </row>
    <row r="345" spans="1:2">
      <c r="A345" s="3" t="s">
        <v>1795</v>
      </c>
      <c r="B345" s="3" t="s">
        <v>1799</v>
      </c>
    </row>
    <row r="346" spans="1:2">
      <c r="A346" s="3" t="s">
        <v>1795</v>
      </c>
      <c r="B346" s="3" t="s">
        <v>1800</v>
      </c>
    </row>
    <row r="347" spans="1:2">
      <c r="A347" s="3" t="s">
        <v>1795</v>
      </c>
      <c r="B347" s="3" t="s">
        <v>1801</v>
      </c>
    </row>
    <row r="348" spans="1:2">
      <c r="A348" s="3" t="s">
        <v>1795</v>
      </c>
      <c r="B348" s="3" t="s">
        <v>1802</v>
      </c>
    </row>
    <row r="349" spans="1:2">
      <c r="A349" s="3" t="s">
        <v>1795</v>
      </c>
      <c r="B349" s="3" t="s">
        <v>1803</v>
      </c>
    </row>
    <row r="350" spans="1:2">
      <c r="A350" s="3" t="s">
        <v>1804</v>
      </c>
      <c r="B350" s="3" t="s">
        <v>1805</v>
      </c>
    </row>
    <row r="351" spans="1:2">
      <c r="A351" s="3" t="s">
        <v>1804</v>
      </c>
      <c r="B351" s="3" t="s">
        <v>1806</v>
      </c>
    </row>
    <row r="352" spans="1:2">
      <c r="A352" s="3" t="s">
        <v>1804</v>
      </c>
      <c r="B352" s="3" t="s">
        <v>1807</v>
      </c>
    </row>
    <row r="353" spans="1:2">
      <c r="A353" s="3" t="s">
        <v>1804</v>
      </c>
      <c r="B353" s="3" t="s">
        <v>1808</v>
      </c>
    </row>
    <row r="354" spans="1:2">
      <c r="A354" s="3" t="s">
        <v>1809</v>
      </c>
      <c r="B354" s="3" t="s">
        <v>1810</v>
      </c>
    </row>
    <row r="355" spans="1:2">
      <c r="A355" s="3" t="s">
        <v>1809</v>
      </c>
      <c r="B355" s="3" t="s">
        <v>1811</v>
      </c>
    </row>
    <row r="356" spans="1:2">
      <c r="A356" s="3" t="s">
        <v>1809</v>
      </c>
      <c r="B356" s="3" t="s">
        <v>1812</v>
      </c>
    </row>
    <row r="357" spans="1:2">
      <c r="A357" s="3" t="s">
        <v>1809</v>
      </c>
      <c r="B357" s="3" t="s">
        <v>1813</v>
      </c>
    </row>
    <row r="358" spans="1:2">
      <c r="A358" s="3" t="s">
        <v>1814</v>
      </c>
      <c r="B358" s="3" t="s">
        <v>1815</v>
      </c>
    </row>
    <row r="359" spans="1:2">
      <c r="A359" s="3" t="s">
        <v>1814</v>
      </c>
      <c r="B359" s="3" t="s">
        <v>1816</v>
      </c>
    </row>
    <row r="360" spans="1:2">
      <c r="A360" s="3" t="s">
        <v>1817</v>
      </c>
      <c r="B360" s="3" t="s">
        <v>1818</v>
      </c>
    </row>
    <row r="361" spans="1:2">
      <c r="A361" s="3" t="s">
        <v>1817</v>
      </c>
      <c r="B361" s="3" t="s">
        <v>1819</v>
      </c>
    </row>
    <row r="362" spans="1:2">
      <c r="A362" s="3" t="s">
        <v>1817</v>
      </c>
      <c r="B362" s="3" t="s">
        <v>1820</v>
      </c>
    </row>
    <row r="363" spans="1:2">
      <c r="A363" s="3" t="s">
        <v>1817</v>
      </c>
      <c r="B363" s="3" t="s">
        <v>1821</v>
      </c>
    </row>
    <row r="364" spans="1:2">
      <c r="A364" s="3" t="s">
        <v>1817</v>
      </c>
      <c r="B364" s="3" t="s">
        <v>1822</v>
      </c>
    </row>
    <row r="365" spans="1:2">
      <c r="A365" s="3" t="s">
        <v>1817</v>
      </c>
      <c r="B365" s="3" t="s">
        <v>1823</v>
      </c>
    </row>
    <row r="366" spans="1:2">
      <c r="A366" s="3" t="s">
        <v>1817</v>
      </c>
      <c r="B366" s="3" t="s">
        <v>1824</v>
      </c>
    </row>
    <row r="367" spans="1:2">
      <c r="A367" s="3" t="s">
        <v>1817</v>
      </c>
      <c r="B367" s="3" t="s">
        <v>1825</v>
      </c>
    </row>
    <row r="368" spans="1:2">
      <c r="A368" s="3" t="s">
        <v>1826</v>
      </c>
      <c r="B368" s="3" t="s">
        <v>1827</v>
      </c>
    </row>
    <row r="369" spans="1:2">
      <c r="A369" s="3" t="s">
        <v>1826</v>
      </c>
      <c r="B369" s="3" t="s">
        <v>1828</v>
      </c>
    </row>
    <row r="370" spans="1:2">
      <c r="A370" s="3" t="s">
        <v>1826</v>
      </c>
      <c r="B370" s="3" t="s">
        <v>1829</v>
      </c>
    </row>
    <row r="371" spans="1:2">
      <c r="A371" s="3" t="s">
        <v>1826</v>
      </c>
      <c r="B371" s="3" t="s">
        <v>1830</v>
      </c>
    </row>
    <row r="372" spans="1:2">
      <c r="A372" s="3" t="s">
        <v>1826</v>
      </c>
      <c r="B372" s="3" t="s">
        <v>1831</v>
      </c>
    </row>
    <row r="373" spans="1:2">
      <c r="A373" s="3" t="s">
        <v>1826</v>
      </c>
      <c r="B373" s="3" t="s">
        <v>1832</v>
      </c>
    </row>
    <row r="374" spans="1:2">
      <c r="A374" s="3" t="s">
        <v>1826</v>
      </c>
      <c r="B374" s="3" t="s">
        <v>1833</v>
      </c>
    </row>
    <row r="375" spans="1:2">
      <c r="A375" s="3" t="s">
        <v>1826</v>
      </c>
      <c r="B375" s="3" t="s">
        <v>1834</v>
      </c>
    </row>
    <row r="376" spans="1:2">
      <c r="A376" s="3" t="s">
        <v>1835</v>
      </c>
      <c r="B376" s="3" t="s">
        <v>1836</v>
      </c>
    </row>
    <row r="377" spans="1:2">
      <c r="A377" s="3" t="s">
        <v>1835</v>
      </c>
      <c r="B377" s="3" t="s">
        <v>1837</v>
      </c>
    </row>
    <row r="378" spans="1:2">
      <c r="A378" s="3" t="s">
        <v>1835</v>
      </c>
      <c r="B378" s="3" t="s">
        <v>1838</v>
      </c>
    </row>
    <row r="379" spans="1:2">
      <c r="A379" s="3" t="s">
        <v>1835</v>
      </c>
      <c r="B379" s="3" t="s">
        <v>1839</v>
      </c>
    </row>
    <row r="380" spans="1:2">
      <c r="A380" s="3" t="s">
        <v>1835</v>
      </c>
      <c r="B380" s="3" t="s">
        <v>1840</v>
      </c>
    </row>
    <row r="381" spans="1:2">
      <c r="A381" s="3" t="s">
        <v>1835</v>
      </c>
      <c r="B381" s="3" t="s">
        <v>1841</v>
      </c>
    </row>
    <row r="382" spans="1:2">
      <c r="A382" s="3" t="s">
        <v>1835</v>
      </c>
      <c r="B382" s="3" t="s">
        <v>1842</v>
      </c>
    </row>
    <row r="383" spans="1:2">
      <c r="A383" s="3" t="s">
        <v>1835</v>
      </c>
      <c r="B383" s="3" t="s">
        <v>1843</v>
      </c>
    </row>
    <row r="384" spans="1:2">
      <c r="A384" s="3" t="s">
        <v>1844</v>
      </c>
      <c r="B384" s="3" t="s">
        <v>1845</v>
      </c>
    </row>
    <row r="385" spans="1:2">
      <c r="A385" s="3" t="s">
        <v>1844</v>
      </c>
      <c r="B385" s="3" t="s">
        <v>1846</v>
      </c>
    </row>
    <row r="386" spans="1:2">
      <c r="A386" s="3" t="s">
        <v>1844</v>
      </c>
      <c r="B386" s="3" t="s">
        <v>1847</v>
      </c>
    </row>
    <row r="387" spans="1:2">
      <c r="A387" s="3" t="s">
        <v>1844</v>
      </c>
      <c r="B387" s="3" t="s">
        <v>1848</v>
      </c>
    </row>
    <row r="388" spans="1:2">
      <c r="A388" s="3" t="s">
        <v>1849</v>
      </c>
      <c r="B388" s="3" t="s">
        <v>1850</v>
      </c>
    </row>
    <row r="389" spans="1:2">
      <c r="A389" s="3" t="s">
        <v>1849</v>
      </c>
      <c r="B389" s="3" t="s">
        <v>1851</v>
      </c>
    </row>
    <row r="390" spans="1:2">
      <c r="A390" s="3" t="s">
        <v>1849</v>
      </c>
      <c r="B390" s="3" t="s">
        <v>1852</v>
      </c>
    </row>
    <row r="391" spans="1:2">
      <c r="A391" s="3" t="s">
        <v>1849</v>
      </c>
      <c r="B391" s="3" t="s">
        <v>1853</v>
      </c>
    </row>
    <row r="392" spans="1:2">
      <c r="A392" s="3" t="s">
        <v>1849</v>
      </c>
      <c r="B392" s="3" t="s">
        <v>1854</v>
      </c>
    </row>
    <row r="393" spans="1:2">
      <c r="A393" s="3" t="s">
        <v>1849</v>
      </c>
      <c r="B393" s="3" t="s">
        <v>1855</v>
      </c>
    </row>
    <row r="394" spans="1:2">
      <c r="A394" s="3" t="s">
        <v>1849</v>
      </c>
      <c r="B394" s="3" t="s">
        <v>1856</v>
      </c>
    </row>
    <row r="395" spans="1:2">
      <c r="A395" s="3" t="s">
        <v>1849</v>
      </c>
      <c r="B395" s="3" t="s">
        <v>1857</v>
      </c>
    </row>
    <row r="396" spans="1:2">
      <c r="A396" s="3" t="s">
        <v>1858</v>
      </c>
      <c r="B396" s="3" t="s">
        <v>1859</v>
      </c>
    </row>
    <row r="397" spans="1:2">
      <c r="A397" s="3" t="s">
        <v>1858</v>
      </c>
      <c r="B397" s="3" t="s">
        <v>1860</v>
      </c>
    </row>
    <row r="398" spans="1:2">
      <c r="A398" s="3" t="s">
        <v>1858</v>
      </c>
      <c r="B398" s="3" t="s">
        <v>1861</v>
      </c>
    </row>
    <row r="399" spans="1:2">
      <c r="A399" s="3" t="s">
        <v>1858</v>
      </c>
      <c r="B399" s="3" t="s">
        <v>1862</v>
      </c>
    </row>
    <row r="400" spans="1:2">
      <c r="A400" s="3" t="s">
        <v>1858</v>
      </c>
      <c r="B400" s="3" t="s">
        <v>1863</v>
      </c>
    </row>
    <row r="401" spans="1:2">
      <c r="A401" s="3" t="s">
        <v>1858</v>
      </c>
      <c r="B401" s="3" t="s">
        <v>1864</v>
      </c>
    </row>
    <row r="402" spans="1:2">
      <c r="A402" s="3" t="s">
        <v>1858</v>
      </c>
      <c r="B402" s="3" t="s">
        <v>1865</v>
      </c>
    </row>
    <row r="403" spans="1:2">
      <c r="A403" s="3" t="s">
        <v>1858</v>
      </c>
      <c r="B403" s="3" t="s">
        <v>1866</v>
      </c>
    </row>
    <row r="404" spans="1:2">
      <c r="A404" s="3" t="s">
        <v>1867</v>
      </c>
      <c r="B404" s="3" t="s">
        <v>1868</v>
      </c>
    </row>
    <row r="405" spans="1:2">
      <c r="A405" s="3" t="s">
        <v>1867</v>
      </c>
      <c r="B405" s="3" t="s">
        <v>1869</v>
      </c>
    </row>
    <row r="406" spans="1:2">
      <c r="A406" s="3" t="s">
        <v>1867</v>
      </c>
      <c r="B406" s="3" t="s">
        <v>1870</v>
      </c>
    </row>
    <row r="407" spans="1:2">
      <c r="A407" s="3" t="s">
        <v>1867</v>
      </c>
      <c r="B407" s="3" t="s">
        <v>1871</v>
      </c>
    </row>
    <row r="408" spans="1:2">
      <c r="A408" s="3" t="s">
        <v>1867</v>
      </c>
      <c r="B408" s="3" t="s">
        <v>1872</v>
      </c>
    </row>
    <row r="409" spans="1:2">
      <c r="A409" s="3" t="s">
        <v>1867</v>
      </c>
      <c r="B409" s="3" t="s">
        <v>1873</v>
      </c>
    </row>
    <row r="410" spans="1:2">
      <c r="A410" s="3" t="s">
        <v>1867</v>
      </c>
      <c r="B410" s="3" t="s">
        <v>1874</v>
      </c>
    </row>
    <row r="411" spans="1:2">
      <c r="A411" s="3" t="s">
        <v>1867</v>
      </c>
      <c r="B411" s="3" t="s">
        <v>1875</v>
      </c>
    </row>
    <row r="412" spans="1:2">
      <c r="A412" s="3" t="s">
        <v>1867</v>
      </c>
      <c r="B412" s="3" t="s">
        <v>1876</v>
      </c>
    </row>
    <row r="413" spans="1:2">
      <c r="A413" s="3" t="s">
        <v>1867</v>
      </c>
      <c r="B413" s="3" t="s">
        <v>1877</v>
      </c>
    </row>
    <row r="414" spans="1:2">
      <c r="A414" s="3" t="s">
        <v>1867</v>
      </c>
      <c r="B414" s="3" t="s">
        <v>1878</v>
      </c>
    </row>
    <row r="415" spans="1:2">
      <c r="A415" s="3" t="s">
        <v>1867</v>
      </c>
      <c r="B415" s="3" t="s">
        <v>1879</v>
      </c>
    </row>
    <row r="416" spans="1:2">
      <c r="A416" s="3" t="s">
        <v>1867</v>
      </c>
      <c r="B416" s="3" t="s">
        <v>1880</v>
      </c>
    </row>
    <row r="417" spans="1:2">
      <c r="A417" s="3" t="s">
        <v>1867</v>
      </c>
      <c r="B417" s="3" t="s">
        <v>1881</v>
      </c>
    </row>
    <row r="418" spans="1:2">
      <c r="A418" s="3" t="s">
        <v>1867</v>
      </c>
      <c r="B418" s="3" t="s">
        <v>1882</v>
      </c>
    </row>
    <row r="419" spans="1:2">
      <c r="A419" s="3" t="s">
        <v>1867</v>
      </c>
      <c r="B419" s="3" t="s">
        <v>1883</v>
      </c>
    </row>
    <row r="420" spans="1:2">
      <c r="A420" s="3" t="s">
        <v>1884</v>
      </c>
      <c r="B420" s="3" t="s">
        <v>1885</v>
      </c>
    </row>
    <row r="421" spans="1:2">
      <c r="A421" s="3" t="s">
        <v>1884</v>
      </c>
      <c r="B421" s="3" t="s">
        <v>1886</v>
      </c>
    </row>
    <row r="422" spans="1:2">
      <c r="A422" s="3" t="s">
        <v>1884</v>
      </c>
      <c r="B422" s="3" t="s">
        <v>1887</v>
      </c>
    </row>
    <row r="423" spans="1:2">
      <c r="A423" s="3" t="s">
        <v>1884</v>
      </c>
      <c r="B423" s="3" t="s">
        <v>1888</v>
      </c>
    </row>
    <row r="424" spans="1:2">
      <c r="A424" s="3" t="s">
        <v>1884</v>
      </c>
      <c r="B424" s="3" t="s">
        <v>1889</v>
      </c>
    </row>
    <row r="425" spans="1:2">
      <c r="A425" s="3" t="s">
        <v>1884</v>
      </c>
      <c r="B425" s="3" t="s">
        <v>1890</v>
      </c>
    </row>
    <row r="426" spans="1:2">
      <c r="A426" s="3" t="s">
        <v>1884</v>
      </c>
      <c r="B426" s="3" t="s">
        <v>1891</v>
      </c>
    </row>
    <row r="427" spans="1:2">
      <c r="A427" s="3" t="s">
        <v>1884</v>
      </c>
      <c r="B427" s="3" t="s">
        <v>1892</v>
      </c>
    </row>
    <row r="428" spans="1:2">
      <c r="A428" s="3" t="s">
        <v>1893</v>
      </c>
      <c r="B428" s="3" t="s">
        <v>1894</v>
      </c>
    </row>
    <row r="429" spans="1:2">
      <c r="A429" s="3" t="s">
        <v>1893</v>
      </c>
      <c r="B429" s="3" t="s">
        <v>1895</v>
      </c>
    </row>
    <row r="430" spans="1:2">
      <c r="A430" s="3" t="s">
        <v>1896</v>
      </c>
      <c r="B430" s="3" t="s">
        <v>1897</v>
      </c>
    </row>
    <row r="431" spans="1:2">
      <c r="A431" s="3" t="s">
        <v>1896</v>
      </c>
      <c r="B431" s="3" t="s">
        <v>1898</v>
      </c>
    </row>
    <row r="432" spans="1:2">
      <c r="A432" s="3" t="s">
        <v>1896</v>
      </c>
      <c r="B432" s="3" t="s">
        <v>1899</v>
      </c>
    </row>
    <row r="433" spans="1:2">
      <c r="A433" s="3" t="s">
        <v>1896</v>
      </c>
      <c r="B433" s="3" t="s">
        <v>1900</v>
      </c>
    </row>
    <row r="434" spans="1:2">
      <c r="A434" s="3" t="s">
        <v>1901</v>
      </c>
      <c r="B434" s="3" t="s">
        <v>1902</v>
      </c>
    </row>
    <row r="435" spans="1:2">
      <c r="A435" s="3" t="s">
        <v>1901</v>
      </c>
      <c r="B435" s="3" t="s">
        <v>1903</v>
      </c>
    </row>
    <row r="436" spans="1:2">
      <c r="A436" s="3" t="s">
        <v>1901</v>
      </c>
      <c r="B436" s="3" t="s">
        <v>1904</v>
      </c>
    </row>
    <row r="437" spans="1:2">
      <c r="A437" s="3" t="s">
        <v>1901</v>
      </c>
      <c r="B437" s="3" t="s">
        <v>1905</v>
      </c>
    </row>
    <row r="438" spans="1:2">
      <c r="A438" s="3" t="s">
        <v>1901</v>
      </c>
      <c r="B438" s="3" t="s">
        <v>1906</v>
      </c>
    </row>
    <row r="439" spans="1:2">
      <c r="A439" s="3" t="s">
        <v>1901</v>
      </c>
      <c r="B439" s="3" t="s">
        <v>1907</v>
      </c>
    </row>
    <row r="440" spans="1:2">
      <c r="A440" s="3" t="s">
        <v>1901</v>
      </c>
      <c r="B440" s="3" t="s">
        <v>1908</v>
      </c>
    </row>
    <row r="441" spans="1:2">
      <c r="A441" s="3" t="s">
        <v>1901</v>
      </c>
      <c r="B441" s="3" t="s">
        <v>1909</v>
      </c>
    </row>
    <row r="442" spans="1:2">
      <c r="A442" s="3" t="s">
        <v>1901</v>
      </c>
      <c r="B442" s="3" t="s">
        <v>1910</v>
      </c>
    </row>
    <row r="443" spans="1:2">
      <c r="A443" s="3" t="s">
        <v>1901</v>
      </c>
      <c r="B443" s="3" t="s">
        <v>1911</v>
      </c>
    </row>
    <row r="444" spans="1:2">
      <c r="A444" s="3" t="s">
        <v>1901</v>
      </c>
      <c r="B444" s="3" t="s">
        <v>1912</v>
      </c>
    </row>
    <row r="445" spans="1:2">
      <c r="A445" s="3" t="s">
        <v>1901</v>
      </c>
      <c r="B445" s="3" t="s">
        <v>1913</v>
      </c>
    </row>
    <row r="446" spans="1:2">
      <c r="A446" s="3" t="s">
        <v>1914</v>
      </c>
      <c r="B446" s="3" t="s">
        <v>1915</v>
      </c>
    </row>
    <row r="447" spans="1:2">
      <c r="A447" s="3" t="s">
        <v>1914</v>
      </c>
      <c r="B447" s="3" t="s">
        <v>1916</v>
      </c>
    </row>
    <row r="448" spans="1:2">
      <c r="A448" s="3" t="s">
        <v>1917</v>
      </c>
      <c r="B448" s="3" t="s">
        <v>1918</v>
      </c>
    </row>
    <row r="449" spans="1:2">
      <c r="A449" s="3" t="s">
        <v>1917</v>
      </c>
      <c r="B449" s="3" t="s">
        <v>1919</v>
      </c>
    </row>
    <row r="450" spans="1:2">
      <c r="A450" s="3" t="s">
        <v>1917</v>
      </c>
      <c r="B450" s="3" t="s">
        <v>1920</v>
      </c>
    </row>
    <row r="451" spans="1:2">
      <c r="A451" s="3" t="s">
        <v>1917</v>
      </c>
      <c r="B451" s="3" t="s">
        <v>1921</v>
      </c>
    </row>
    <row r="452" spans="1:2">
      <c r="A452" s="3" t="s">
        <v>1922</v>
      </c>
      <c r="B452" s="3" t="s">
        <v>1923</v>
      </c>
    </row>
    <row r="453" spans="1:2">
      <c r="A453" s="3" t="s">
        <v>1922</v>
      </c>
      <c r="B453" s="3" t="s">
        <v>1924</v>
      </c>
    </row>
    <row r="454" spans="1:2">
      <c r="A454" s="3" t="s">
        <v>1922</v>
      </c>
      <c r="B454" s="3" t="s">
        <v>1925</v>
      </c>
    </row>
    <row r="455" spans="1:2">
      <c r="A455" s="3" t="s">
        <v>1922</v>
      </c>
      <c r="B455" s="3" t="s">
        <v>1926</v>
      </c>
    </row>
    <row r="456" spans="1:2">
      <c r="A456" s="3" t="s">
        <v>1927</v>
      </c>
      <c r="B456" s="3" t="s">
        <v>1928</v>
      </c>
    </row>
    <row r="457" spans="1:2">
      <c r="A457" s="3" t="s">
        <v>1927</v>
      </c>
      <c r="B457" s="3" t="s">
        <v>1929</v>
      </c>
    </row>
    <row r="458" spans="1:2">
      <c r="A458" s="3" t="s">
        <v>1927</v>
      </c>
      <c r="B458" s="3" t="s">
        <v>1930</v>
      </c>
    </row>
    <row r="459" spans="1:2">
      <c r="A459" s="3" t="s">
        <v>1927</v>
      </c>
      <c r="B459" s="3" t="s">
        <v>1931</v>
      </c>
    </row>
    <row r="460" spans="1:2">
      <c r="A460" s="3" t="s">
        <v>1932</v>
      </c>
      <c r="B460" s="3" t="s">
        <v>1933</v>
      </c>
    </row>
    <row r="461" spans="1:2">
      <c r="A461" s="3" t="s">
        <v>1932</v>
      </c>
      <c r="B461" s="3" t="s">
        <v>1934</v>
      </c>
    </row>
    <row r="462" spans="1:2">
      <c r="A462" s="3" t="s">
        <v>1935</v>
      </c>
      <c r="B462" s="3" t="s">
        <v>1936</v>
      </c>
    </row>
    <row r="463" spans="1:2">
      <c r="A463" s="3" t="s">
        <v>1935</v>
      </c>
      <c r="B463" s="3" t="s">
        <v>1937</v>
      </c>
    </row>
    <row r="464" spans="1:2">
      <c r="A464" s="3" t="s">
        <v>1935</v>
      </c>
      <c r="B464" s="3" t="s">
        <v>1938</v>
      </c>
    </row>
    <row r="465" spans="1:2">
      <c r="A465" s="3" t="s">
        <v>1935</v>
      </c>
      <c r="B465" s="3" t="s">
        <v>1939</v>
      </c>
    </row>
    <row r="466" spans="1:2">
      <c r="A466" s="3" t="s">
        <v>1940</v>
      </c>
      <c r="B466" s="3" t="s">
        <v>1941</v>
      </c>
    </row>
    <row r="467" spans="1:2">
      <c r="A467" s="3" t="s">
        <v>1940</v>
      </c>
      <c r="B467" s="3" t="s">
        <v>1942</v>
      </c>
    </row>
    <row r="468" spans="1:2">
      <c r="A468" s="3" t="s">
        <v>1940</v>
      </c>
      <c r="B468" s="3" t="s">
        <v>1943</v>
      </c>
    </row>
    <row r="469" spans="1:2">
      <c r="A469" s="3" t="s">
        <v>1940</v>
      </c>
      <c r="B469" s="3" t="s">
        <v>1944</v>
      </c>
    </row>
    <row r="470" spans="1:2">
      <c r="A470" s="3" t="s">
        <v>1945</v>
      </c>
      <c r="B470" s="3" t="s">
        <v>1946</v>
      </c>
    </row>
    <row r="471" spans="1:2">
      <c r="A471" s="3" t="s">
        <v>1945</v>
      </c>
      <c r="B471" s="3" t="s">
        <v>1947</v>
      </c>
    </row>
    <row r="472" spans="1:2">
      <c r="A472" s="3" t="s">
        <v>1945</v>
      </c>
      <c r="B472" s="3" t="s">
        <v>1948</v>
      </c>
    </row>
    <row r="473" spans="1:2">
      <c r="A473" s="3" t="s">
        <v>1945</v>
      </c>
      <c r="B473" s="3" t="s">
        <v>1949</v>
      </c>
    </row>
    <row r="474" spans="1:2">
      <c r="A474" s="3" t="s">
        <v>1950</v>
      </c>
      <c r="B474" s="3" t="s">
        <v>1951</v>
      </c>
    </row>
    <row r="475" spans="1:2">
      <c r="A475" s="3" t="s">
        <v>1950</v>
      </c>
      <c r="B475" s="3" t="s">
        <v>1952</v>
      </c>
    </row>
    <row r="476" spans="1:2">
      <c r="A476" s="3" t="s">
        <v>1950</v>
      </c>
      <c r="B476" s="3" t="s">
        <v>1953</v>
      </c>
    </row>
    <row r="477" spans="1:2">
      <c r="A477" s="3" t="s">
        <v>1950</v>
      </c>
      <c r="B477" s="3" t="s">
        <v>1954</v>
      </c>
    </row>
    <row r="478" spans="1:2">
      <c r="A478" s="3" t="s">
        <v>1950</v>
      </c>
      <c r="B478" s="3" t="s">
        <v>1955</v>
      </c>
    </row>
    <row r="479" spans="1:2">
      <c r="A479" s="3" t="s">
        <v>1950</v>
      </c>
      <c r="B479" s="3" t="s">
        <v>1956</v>
      </c>
    </row>
    <row r="480" spans="1:2">
      <c r="A480" s="3" t="s">
        <v>1950</v>
      </c>
      <c r="B480" s="3" t="s">
        <v>1957</v>
      </c>
    </row>
    <row r="481" spans="1:2">
      <c r="A481" s="3" t="s">
        <v>1950</v>
      </c>
      <c r="B481" s="3" t="s">
        <v>1958</v>
      </c>
    </row>
    <row r="482" spans="1:2">
      <c r="A482" s="3" t="s">
        <v>1959</v>
      </c>
      <c r="B482" s="3" t="s">
        <v>1960</v>
      </c>
    </row>
    <row r="483" spans="1:2">
      <c r="A483" s="3" t="s">
        <v>1959</v>
      </c>
      <c r="B483" s="3" t="s">
        <v>1961</v>
      </c>
    </row>
    <row r="484" spans="1:2">
      <c r="A484" s="3" t="s">
        <v>1959</v>
      </c>
      <c r="B484" s="3" t="s">
        <v>1962</v>
      </c>
    </row>
    <row r="485" spans="1:2">
      <c r="A485" s="3" t="s">
        <v>1959</v>
      </c>
      <c r="B485" s="3" t="s">
        <v>1963</v>
      </c>
    </row>
    <row r="486" spans="1:2">
      <c r="A486" s="3" t="s">
        <v>1959</v>
      </c>
      <c r="B486" s="3" t="s">
        <v>1964</v>
      </c>
    </row>
    <row r="487" spans="1:2">
      <c r="A487" s="3" t="s">
        <v>1959</v>
      </c>
      <c r="B487" s="3" t="s">
        <v>1965</v>
      </c>
    </row>
    <row r="488" spans="1:2">
      <c r="A488" s="3" t="s">
        <v>1966</v>
      </c>
      <c r="B488" s="3" t="s">
        <v>1967</v>
      </c>
    </row>
    <row r="489" spans="1:2">
      <c r="A489" s="3" t="s">
        <v>1966</v>
      </c>
      <c r="B489" s="3" t="s">
        <v>1968</v>
      </c>
    </row>
    <row r="490" spans="1:2">
      <c r="A490" s="3" t="s">
        <v>1966</v>
      </c>
      <c r="B490" s="3" t="s">
        <v>1969</v>
      </c>
    </row>
    <row r="491" spans="1:2">
      <c r="A491" s="3" t="s">
        <v>1966</v>
      </c>
      <c r="B491" s="3" t="s">
        <v>1970</v>
      </c>
    </row>
    <row r="492" spans="1:2">
      <c r="A492" s="3" t="s">
        <v>1966</v>
      </c>
      <c r="B492" s="3" t="s">
        <v>1971</v>
      </c>
    </row>
    <row r="493" spans="1:2">
      <c r="A493" s="3" t="s">
        <v>1972</v>
      </c>
      <c r="B493" s="3" t="s">
        <v>1973</v>
      </c>
    </row>
    <row r="494" spans="1:2">
      <c r="A494" s="3" t="s">
        <v>1972</v>
      </c>
      <c r="B494" s="3" t="s">
        <v>1974</v>
      </c>
    </row>
    <row r="495" spans="1:2">
      <c r="A495" s="3" t="s">
        <v>1972</v>
      </c>
      <c r="B495" s="3" t="s">
        <v>1975</v>
      </c>
    </row>
    <row r="496" spans="1:2">
      <c r="A496" s="3" t="s">
        <v>1972</v>
      </c>
      <c r="B496" s="3" t="s">
        <v>1976</v>
      </c>
    </row>
    <row r="497" spans="1:2">
      <c r="A497" s="3" t="s">
        <v>1977</v>
      </c>
      <c r="B497" s="3" t="s">
        <v>1978</v>
      </c>
    </row>
    <row r="498" spans="1:2">
      <c r="A498" s="3" t="s">
        <v>1977</v>
      </c>
      <c r="B498" s="3" t="s">
        <v>1979</v>
      </c>
    </row>
    <row r="499" spans="1:2">
      <c r="A499" s="3" t="s">
        <v>1977</v>
      </c>
      <c r="B499" s="3" t="s">
        <v>1980</v>
      </c>
    </row>
    <row r="500" spans="1:2">
      <c r="A500" s="3" t="s">
        <v>1977</v>
      </c>
      <c r="B500" s="3" t="s">
        <v>1981</v>
      </c>
    </row>
    <row r="501" spans="1:2">
      <c r="A501" s="3" t="s">
        <v>1977</v>
      </c>
      <c r="B501" s="3" t="s">
        <v>1982</v>
      </c>
    </row>
    <row r="502" spans="1:2">
      <c r="A502" s="3" t="s">
        <v>1983</v>
      </c>
      <c r="B502" s="3" t="s">
        <v>1984</v>
      </c>
    </row>
    <row r="503" spans="1:2">
      <c r="A503" s="3" t="s">
        <v>1983</v>
      </c>
      <c r="B503" s="3" t="s">
        <v>1985</v>
      </c>
    </row>
    <row r="504" spans="1:2">
      <c r="A504" s="3" t="s">
        <v>1983</v>
      </c>
      <c r="B504" s="3" t="s">
        <v>1986</v>
      </c>
    </row>
    <row r="505" spans="1:2">
      <c r="A505" s="3" t="s">
        <v>1983</v>
      </c>
      <c r="B505" s="3" t="s">
        <v>1987</v>
      </c>
    </row>
    <row r="506" spans="1:2">
      <c r="A506" s="3" t="s">
        <v>1988</v>
      </c>
      <c r="B506" s="3" t="s">
        <v>1989</v>
      </c>
    </row>
    <row r="507" spans="1:2">
      <c r="A507" s="3" t="s">
        <v>1988</v>
      </c>
      <c r="B507" s="3" t="s">
        <v>1990</v>
      </c>
    </row>
    <row r="508" spans="1:2">
      <c r="A508" s="3" t="s">
        <v>1988</v>
      </c>
      <c r="B508" s="3" t="s">
        <v>1991</v>
      </c>
    </row>
    <row r="509" spans="1:2">
      <c r="A509" s="3" t="s">
        <v>1988</v>
      </c>
      <c r="B509" s="3" t="s">
        <v>1992</v>
      </c>
    </row>
    <row r="510" spans="1:2">
      <c r="A510" s="3" t="s">
        <v>1993</v>
      </c>
      <c r="B510" s="3" t="s">
        <v>1994</v>
      </c>
    </row>
    <row r="511" spans="1:2">
      <c r="A511" s="3" t="s">
        <v>1993</v>
      </c>
      <c r="B511" s="3" t="s">
        <v>1995</v>
      </c>
    </row>
    <row r="512" spans="1:2">
      <c r="A512" s="3" t="s">
        <v>1993</v>
      </c>
      <c r="B512" s="3" t="s">
        <v>1996</v>
      </c>
    </row>
    <row r="513" spans="1:2">
      <c r="A513" s="3" t="s">
        <v>1993</v>
      </c>
      <c r="B513" s="3" t="s">
        <v>1997</v>
      </c>
    </row>
    <row r="514" spans="1:2">
      <c r="A514" s="3" t="s">
        <v>1998</v>
      </c>
      <c r="B514" s="3" t="s">
        <v>1999</v>
      </c>
    </row>
    <row r="515" spans="1:2">
      <c r="A515" s="3" t="s">
        <v>1998</v>
      </c>
      <c r="B515" s="3" t="s">
        <v>2000</v>
      </c>
    </row>
    <row r="516" spans="1:2">
      <c r="A516" s="3" t="s">
        <v>2001</v>
      </c>
      <c r="B516" s="3" t="s">
        <v>2002</v>
      </c>
    </row>
    <row r="517" spans="1:2">
      <c r="A517" s="3" t="s">
        <v>2001</v>
      </c>
      <c r="B517" s="3" t="s">
        <v>2003</v>
      </c>
    </row>
    <row r="518" spans="1:2">
      <c r="A518" s="3" t="s">
        <v>2001</v>
      </c>
      <c r="B518" s="3" t="s">
        <v>2004</v>
      </c>
    </row>
    <row r="519" spans="1:2">
      <c r="A519" s="3" t="s">
        <v>2001</v>
      </c>
      <c r="B519" s="3" t="s">
        <v>2005</v>
      </c>
    </row>
    <row r="520" spans="1:2">
      <c r="A520" s="3" t="s">
        <v>2001</v>
      </c>
      <c r="B520" s="3" t="s">
        <v>2006</v>
      </c>
    </row>
    <row r="521" spans="1:2">
      <c r="A521" s="3" t="s">
        <v>2001</v>
      </c>
      <c r="B521" s="3" t="s">
        <v>2007</v>
      </c>
    </row>
    <row r="522" spans="1:2">
      <c r="A522" s="3" t="s">
        <v>2001</v>
      </c>
      <c r="B522" s="3" t="s">
        <v>2008</v>
      </c>
    </row>
    <row r="523" spans="1:2">
      <c r="A523" s="3" t="s">
        <v>2001</v>
      </c>
      <c r="B523" s="3" t="s">
        <v>2009</v>
      </c>
    </row>
    <row r="524" spans="1:2">
      <c r="A524" s="3" t="s">
        <v>2010</v>
      </c>
      <c r="B524" s="3" t="s">
        <v>2011</v>
      </c>
    </row>
    <row r="525" spans="1:2">
      <c r="A525" s="3" t="s">
        <v>2010</v>
      </c>
      <c r="B525" s="3" t="s">
        <v>2012</v>
      </c>
    </row>
    <row r="526" spans="1:2">
      <c r="A526" s="3" t="s">
        <v>2013</v>
      </c>
      <c r="B526" s="3" t="s">
        <v>2014</v>
      </c>
    </row>
    <row r="527" spans="1:2">
      <c r="A527" s="3" t="s">
        <v>2013</v>
      </c>
      <c r="B527" s="3" t="s">
        <v>2015</v>
      </c>
    </row>
    <row r="528" spans="1:2">
      <c r="A528" s="3" t="s">
        <v>2013</v>
      </c>
      <c r="B528" s="3" t="s">
        <v>2016</v>
      </c>
    </row>
    <row r="529" spans="1:2">
      <c r="A529" s="3" t="s">
        <v>2013</v>
      </c>
      <c r="B529" s="3" t="s">
        <v>2017</v>
      </c>
    </row>
    <row r="530" spans="1:2">
      <c r="A530" s="3" t="s">
        <v>2018</v>
      </c>
      <c r="B530" s="3" t="s">
        <v>2019</v>
      </c>
    </row>
    <row r="531" spans="1:2">
      <c r="A531" s="3" t="s">
        <v>2018</v>
      </c>
      <c r="B531" s="3" t="s">
        <v>2020</v>
      </c>
    </row>
    <row r="532" spans="1:2">
      <c r="A532" s="3" t="s">
        <v>2021</v>
      </c>
      <c r="B532" s="3" t="s">
        <v>2022</v>
      </c>
    </row>
    <row r="533" spans="1:2">
      <c r="A533" s="3" t="s">
        <v>2021</v>
      </c>
      <c r="B533" s="3" t="s">
        <v>2023</v>
      </c>
    </row>
    <row r="534" spans="1:2">
      <c r="A534" s="3" t="s">
        <v>2024</v>
      </c>
      <c r="B534" s="3" t="s">
        <v>2025</v>
      </c>
    </row>
    <row r="535" spans="1:2">
      <c r="A535" s="3" t="s">
        <v>2024</v>
      </c>
      <c r="B535" s="3" t="s">
        <v>2026</v>
      </c>
    </row>
    <row r="536" spans="1:2">
      <c r="A536" s="3" t="s">
        <v>2024</v>
      </c>
      <c r="B536" s="3" t="s">
        <v>2027</v>
      </c>
    </row>
    <row r="537" spans="1:2">
      <c r="A537" s="3" t="s">
        <v>2024</v>
      </c>
      <c r="B537" s="3" t="s">
        <v>2028</v>
      </c>
    </row>
    <row r="538" spans="1:2">
      <c r="A538" s="3" t="s">
        <v>2029</v>
      </c>
      <c r="B538" s="3" t="s">
        <v>2030</v>
      </c>
    </row>
    <row r="539" spans="1:2">
      <c r="A539" s="3" t="s">
        <v>2029</v>
      </c>
      <c r="B539" s="3" t="s">
        <v>2031</v>
      </c>
    </row>
    <row r="540" spans="1:2">
      <c r="A540" s="3" t="s">
        <v>2029</v>
      </c>
      <c r="B540" s="3" t="s">
        <v>2032</v>
      </c>
    </row>
    <row r="541" spans="1:2">
      <c r="A541" s="3" t="s">
        <v>2029</v>
      </c>
      <c r="B541" s="3" t="s">
        <v>2033</v>
      </c>
    </row>
    <row r="542" spans="1:2">
      <c r="A542" s="3" t="s">
        <v>2029</v>
      </c>
      <c r="B542" s="3" t="s">
        <v>2034</v>
      </c>
    </row>
    <row r="543" spans="1:2">
      <c r="A543" s="3" t="s">
        <v>2029</v>
      </c>
      <c r="B543" s="3" t="s">
        <v>2035</v>
      </c>
    </row>
    <row r="544" spans="1:2">
      <c r="A544" s="3" t="s">
        <v>2029</v>
      </c>
      <c r="B544" s="3" t="s">
        <v>2036</v>
      </c>
    </row>
    <row r="545" spans="1:2">
      <c r="A545" s="3" t="s">
        <v>2029</v>
      </c>
      <c r="B545" s="3" t="s">
        <v>2037</v>
      </c>
    </row>
    <row r="546" spans="1:2">
      <c r="A546" s="3" t="s">
        <v>2038</v>
      </c>
      <c r="B546" s="3" t="s">
        <v>2039</v>
      </c>
    </row>
    <row r="547" spans="1:2">
      <c r="A547" s="3" t="s">
        <v>2038</v>
      </c>
      <c r="B547" s="3" t="s">
        <v>2040</v>
      </c>
    </row>
    <row r="548" spans="1:2">
      <c r="A548" s="3" t="s">
        <v>2038</v>
      </c>
      <c r="B548" s="3" t="s">
        <v>2041</v>
      </c>
    </row>
    <row r="549" spans="1:2">
      <c r="A549" s="3" t="s">
        <v>2038</v>
      </c>
      <c r="B549" s="3" t="s">
        <v>2042</v>
      </c>
    </row>
    <row r="550" spans="1:2">
      <c r="A550" s="3" t="s">
        <v>2038</v>
      </c>
      <c r="B550" s="3" t="s">
        <v>2043</v>
      </c>
    </row>
    <row r="551" spans="1:2">
      <c r="A551" s="3" t="s">
        <v>2038</v>
      </c>
      <c r="B551" s="3" t="s">
        <v>2044</v>
      </c>
    </row>
    <row r="552" spans="1:2">
      <c r="A552" s="3" t="s">
        <v>2045</v>
      </c>
      <c r="B552" s="3" t="s">
        <v>2046</v>
      </c>
    </row>
    <row r="553" spans="1:2">
      <c r="A553" s="3" t="s">
        <v>2045</v>
      </c>
      <c r="B553" s="3" t="s">
        <v>2047</v>
      </c>
    </row>
    <row r="554" spans="1:2">
      <c r="A554" s="3" t="s">
        <v>2045</v>
      </c>
      <c r="B554" s="3" t="s">
        <v>2048</v>
      </c>
    </row>
    <row r="555" spans="1:2">
      <c r="A555" s="3" t="s">
        <v>2045</v>
      </c>
      <c r="B555" s="3" t="s">
        <v>2049</v>
      </c>
    </row>
    <row r="556" spans="1:2">
      <c r="A556" s="3" t="s">
        <v>2045</v>
      </c>
      <c r="B556" s="3" t="s">
        <v>2050</v>
      </c>
    </row>
    <row r="557" spans="1:2">
      <c r="A557" s="3" t="s">
        <v>2045</v>
      </c>
      <c r="B557" s="3" t="s">
        <v>2051</v>
      </c>
    </row>
    <row r="558" spans="1:2">
      <c r="A558" s="3" t="s">
        <v>2045</v>
      </c>
      <c r="B558" s="3" t="s">
        <v>2052</v>
      </c>
    </row>
    <row r="559" spans="1:2">
      <c r="A559" s="3" t="s">
        <v>2045</v>
      </c>
      <c r="B559" s="3" t="s">
        <v>2053</v>
      </c>
    </row>
    <row r="560" spans="1:2">
      <c r="A560" s="3" t="s">
        <v>2045</v>
      </c>
      <c r="B560" s="3" t="s">
        <v>2054</v>
      </c>
    </row>
    <row r="561" spans="1:2">
      <c r="A561" s="3" t="s">
        <v>2045</v>
      </c>
      <c r="B561" s="3" t="s">
        <v>2055</v>
      </c>
    </row>
    <row r="562" spans="1:2">
      <c r="A562" s="3" t="s">
        <v>2045</v>
      </c>
      <c r="B562" s="3" t="s">
        <v>2056</v>
      </c>
    </row>
    <row r="563" spans="1:2">
      <c r="A563" s="3" t="s">
        <v>2045</v>
      </c>
      <c r="B563" s="3" t="s">
        <v>2057</v>
      </c>
    </row>
    <row r="564" spans="1:2">
      <c r="A564" s="3" t="s">
        <v>2045</v>
      </c>
      <c r="B564" s="3" t="s">
        <v>2058</v>
      </c>
    </row>
    <row r="565" spans="1:2">
      <c r="A565" s="3" t="s">
        <v>2045</v>
      </c>
      <c r="B565" s="3" t="s">
        <v>2059</v>
      </c>
    </row>
    <row r="566" spans="1:2">
      <c r="A566" s="3" t="s">
        <v>2045</v>
      </c>
      <c r="B566" s="3" t="s">
        <v>2060</v>
      </c>
    </row>
    <row r="567" spans="1:2">
      <c r="A567" s="3" t="s">
        <v>2045</v>
      </c>
      <c r="B567" s="3" t="s">
        <v>2061</v>
      </c>
    </row>
    <row r="568" spans="1:2">
      <c r="A568" s="3" t="s">
        <v>2045</v>
      </c>
      <c r="B568" s="3" t="s">
        <v>2062</v>
      </c>
    </row>
    <row r="569" spans="1:2">
      <c r="A569" s="3" t="s">
        <v>2045</v>
      </c>
      <c r="B569" s="3" t="s">
        <v>2063</v>
      </c>
    </row>
    <row r="570" spans="1:2">
      <c r="A570" s="3" t="s">
        <v>2045</v>
      </c>
      <c r="B570" s="3" t="s">
        <v>2064</v>
      </c>
    </row>
    <row r="571" spans="1:2">
      <c r="A571" s="3" t="s">
        <v>2045</v>
      </c>
      <c r="B571" s="3" t="s">
        <v>2065</v>
      </c>
    </row>
    <row r="572" spans="1:2">
      <c r="A572" s="3" t="s">
        <v>2045</v>
      </c>
      <c r="B572" s="3" t="s">
        <v>2066</v>
      </c>
    </row>
    <row r="573" spans="1:2">
      <c r="A573" s="3" t="s">
        <v>2045</v>
      </c>
      <c r="B573" s="3" t="s">
        <v>2067</v>
      </c>
    </row>
    <row r="574" spans="1:2">
      <c r="A574" s="3" t="s">
        <v>2045</v>
      </c>
      <c r="B574" s="3" t="s">
        <v>2068</v>
      </c>
    </row>
    <row r="575" spans="1:2">
      <c r="A575" s="3" t="s">
        <v>2045</v>
      </c>
      <c r="B575" s="3" t="s">
        <v>2069</v>
      </c>
    </row>
    <row r="576" spans="1:2">
      <c r="A576" s="3" t="s">
        <v>2045</v>
      </c>
      <c r="B576" s="3" t="s">
        <v>2070</v>
      </c>
    </row>
    <row r="577" spans="1:2">
      <c r="A577" s="3" t="s">
        <v>2045</v>
      </c>
      <c r="B577" s="3" t="s">
        <v>2071</v>
      </c>
    </row>
    <row r="578" spans="1:2">
      <c r="A578" s="3" t="s">
        <v>2045</v>
      </c>
      <c r="B578" s="3" t="s">
        <v>2072</v>
      </c>
    </row>
    <row r="579" spans="1:2">
      <c r="A579" s="3" t="s">
        <v>2045</v>
      </c>
      <c r="B579" s="3" t="s">
        <v>2073</v>
      </c>
    </row>
    <row r="580" spans="1:2">
      <c r="A580" s="3" t="s">
        <v>2074</v>
      </c>
      <c r="B580" s="3" t="s">
        <v>2075</v>
      </c>
    </row>
    <row r="581" spans="1:2">
      <c r="A581" s="3" t="s">
        <v>2074</v>
      </c>
      <c r="B581" s="3" t="s">
        <v>2076</v>
      </c>
    </row>
    <row r="582" spans="1:2">
      <c r="A582" s="3" t="s">
        <v>2074</v>
      </c>
      <c r="B582" s="3" t="s">
        <v>2077</v>
      </c>
    </row>
    <row r="583" spans="1:2">
      <c r="A583" s="3" t="s">
        <v>2074</v>
      </c>
      <c r="B583" s="3" t="s">
        <v>2078</v>
      </c>
    </row>
    <row r="584" spans="1:2">
      <c r="A584" s="3" t="s">
        <v>2079</v>
      </c>
      <c r="B584" s="3" t="s">
        <v>2080</v>
      </c>
    </row>
    <row r="585" spans="1:2">
      <c r="A585" s="3" t="s">
        <v>2079</v>
      </c>
      <c r="B585" s="3" t="s">
        <v>2081</v>
      </c>
    </row>
    <row r="586" spans="1:2">
      <c r="A586" s="3" t="s">
        <v>2079</v>
      </c>
      <c r="B586" s="3" t="s">
        <v>2082</v>
      </c>
    </row>
    <row r="587" spans="1:2">
      <c r="A587" s="3" t="s">
        <v>2079</v>
      </c>
      <c r="B587" s="3" t="s">
        <v>2083</v>
      </c>
    </row>
    <row r="588" spans="1:2">
      <c r="A588" s="3" t="s">
        <v>2084</v>
      </c>
      <c r="B588" s="3" t="s">
        <v>2085</v>
      </c>
    </row>
    <row r="589" spans="1:2">
      <c r="A589" s="3" t="s">
        <v>2084</v>
      </c>
      <c r="B589" s="3" t="s">
        <v>2086</v>
      </c>
    </row>
    <row r="590" spans="1:2">
      <c r="A590" s="3" t="s">
        <v>2084</v>
      </c>
      <c r="B590" s="3" t="s">
        <v>2087</v>
      </c>
    </row>
    <row r="591" spans="1:2">
      <c r="A591" s="3" t="s">
        <v>2084</v>
      </c>
      <c r="B591" s="3" t="s">
        <v>2088</v>
      </c>
    </row>
    <row r="592" spans="1:2">
      <c r="A592" s="3" t="s">
        <v>2089</v>
      </c>
      <c r="B592" s="3" t="s">
        <v>2090</v>
      </c>
    </row>
    <row r="593" spans="1:2">
      <c r="A593" s="3" t="s">
        <v>2089</v>
      </c>
      <c r="B593" s="3" t="s">
        <v>2091</v>
      </c>
    </row>
    <row r="594" spans="1:2">
      <c r="A594" s="3" t="s">
        <v>2089</v>
      </c>
      <c r="B594" s="3" t="s">
        <v>2092</v>
      </c>
    </row>
    <row r="595" spans="1:2">
      <c r="A595" s="3" t="s">
        <v>2089</v>
      </c>
      <c r="B595" s="3" t="s">
        <v>2093</v>
      </c>
    </row>
    <row r="596" spans="1:2">
      <c r="A596" s="3" t="s">
        <v>2089</v>
      </c>
      <c r="B596" s="3" t="s">
        <v>2094</v>
      </c>
    </row>
    <row r="597" spans="1:2">
      <c r="A597" s="3" t="s">
        <v>2089</v>
      </c>
      <c r="B597" s="3" t="s">
        <v>2095</v>
      </c>
    </row>
    <row r="598" spans="1:2">
      <c r="A598" s="3" t="s">
        <v>2089</v>
      </c>
      <c r="B598" s="3" t="s">
        <v>2096</v>
      </c>
    </row>
    <row r="599" spans="1:2">
      <c r="A599" s="3" t="s">
        <v>2089</v>
      </c>
      <c r="B599" s="3" t="s">
        <v>2097</v>
      </c>
    </row>
    <row r="600" spans="1:2">
      <c r="A600" s="3" t="s">
        <v>2098</v>
      </c>
      <c r="B600" s="3" t="s">
        <v>2099</v>
      </c>
    </row>
    <row r="601" spans="1:2">
      <c r="A601" s="3" t="s">
        <v>2098</v>
      </c>
      <c r="B601" s="3" t="s">
        <v>2100</v>
      </c>
    </row>
    <row r="602" spans="1:2">
      <c r="A602" s="3" t="s">
        <v>2098</v>
      </c>
      <c r="B602" s="3" t="s">
        <v>2101</v>
      </c>
    </row>
    <row r="603" spans="1:2">
      <c r="A603" s="3" t="s">
        <v>2098</v>
      </c>
      <c r="B603" s="3" t="s">
        <v>2102</v>
      </c>
    </row>
    <row r="604" spans="1:2">
      <c r="A604" s="3" t="s">
        <v>2103</v>
      </c>
      <c r="B604" s="3" t="s">
        <v>2104</v>
      </c>
    </row>
    <row r="605" spans="1:2">
      <c r="A605" s="3" t="s">
        <v>2103</v>
      </c>
      <c r="B605" s="3" t="s">
        <v>2105</v>
      </c>
    </row>
    <row r="606" spans="1:2">
      <c r="A606" s="3" t="s">
        <v>2103</v>
      </c>
      <c r="B606" s="3" t="s">
        <v>2106</v>
      </c>
    </row>
    <row r="607" spans="1:2">
      <c r="A607" s="3" t="s">
        <v>2103</v>
      </c>
      <c r="B607" s="3" t="s">
        <v>2107</v>
      </c>
    </row>
    <row r="608" spans="1:2">
      <c r="A608" s="3" t="s">
        <v>2103</v>
      </c>
      <c r="B608" s="3" t="s">
        <v>2108</v>
      </c>
    </row>
    <row r="609" spans="1:2">
      <c r="A609" s="3" t="s">
        <v>2103</v>
      </c>
      <c r="B609" s="3" t="s">
        <v>2109</v>
      </c>
    </row>
    <row r="610" spans="1:2">
      <c r="A610" s="3" t="s">
        <v>2103</v>
      </c>
      <c r="B610" s="3" t="s">
        <v>2110</v>
      </c>
    </row>
    <row r="611" spans="1:2">
      <c r="A611" s="3" t="s">
        <v>2103</v>
      </c>
      <c r="B611" s="3" t="s">
        <v>2111</v>
      </c>
    </row>
    <row r="612" spans="1:2">
      <c r="A612" s="3" t="s">
        <v>2103</v>
      </c>
      <c r="B612" s="3" t="s">
        <v>2112</v>
      </c>
    </row>
    <row r="613" spans="1:2">
      <c r="A613" s="3" t="s">
        <v>2103</v>
      </c>
      <c r="B613" s="3" t="s">
        <v>2113</v>
      </c>
    </row>
    <row r="614" spans="1:2">
      <c r="A614" s="3" t="s">
        <v>2103</v>
      </c>
      <c r="B614" s="3" t="s">
        <v>2114</v>
      </c>
    </row>
    <row r="615" spans="1:2">
      <c r="A615" s="3" t="s">
        <v>2103</v>
      </c>
      <c r="B615" s="3" t="s">
        <v>2115</v>
      </c>
    </row>
    <row r="616" spans="1:2">
      <c r="A616" s="3" t="s">
        <v>2103</v>
      </c>
      <c r="B616" s="3" t="s">
        <v>2116</v>
      </c>
    </row>
    <row r="617" spans="1:2">
      <c r="A617" s="3" t="s">
        <v>2117</v>
      </c>
      <c r="B617" s="3" t="s">
        <v>2118</v>
      </c>
    </row>
    <row r="618" spans="1:2">
      <c r="A618" s="3" t="s">
        <v>2117</v>
      </c>
      <c r="B618" s="3" t="s">
        <v>2119</v>
      </c>
    </row>
    <row r="619" spans="1:2">
      <c r="A619" s="3" t="s">
        <v>2117</v>
      </c>
      <c r="B619" s="3" t="s">
        <v>2120</v>
      </c>
    </row>
    <row r="620" spans="1:2">
      <c r="A620" s="29" t="s">
        <v>2121</v>
      </c>
      <c r="B620" s="30" t="s">
        <v>2122</v>
      </c>
    </row>
    <row r="621" spans="1:2">
      <c r="A621" s="29" t="s">
        <v>2121</v>
      </c>
      <c r="B621" s="30" t="s">
        <v>2123</v>
      </c>
    </row>
    <row r="622" spans="1:2">
      <c r="A622" s="29" t="s">
        <v>2121</v>
      </c>
      <c r="B622" s="30" t="s">
        <v>2124</v>
      </c>
    </row>
    <row r="623" spans="1:2">
      <c r="A623" s="29" t="s">
        <v>2121</v>
      </c>
      <c r="B623" s="30" t="s">
        <v>2125</v>
      </c>
    </row>
    <row r="624" spans="1:2">
      <c r="A624" s="29" t="s">
        <v>2121</v>
      </c>
      <c r="B624" s="30" t="s">
        <v>2126</v>
      </c>
    </row>
    <row r="625" spans="1:2">
      <c r="A625" s="3" t="s">
        <v>2127</v>
      </c>
      <c r="B625" s="3" t="s">
        <v>2128</v>
      </c>
    </row>
    <row r="626" spans="1:2">
      <c r="A626" s="3" t="s">
        <v>2127</v>
      </c>
      <c r="B626" s="3" t="s">
        <v>2129</v>
      </c>
    </row>
    <row r="627" spans="1:2">
      <c r="A627" s="3" t="s">
        <v>2127</v>
      </c>
      <c r="B627" s="3" t="s">
        <v>2130</v>
      </c>
    </row>
    <row r="628" spans="1:2">
      <c r="A628" s="3" t="s">
        <v>2127</v>
      </c>
      <c r="B628" s="3" t="s">
        <v>2131</v>
      </c>
    </row>
    <row r="629" spans="1:2">
      <c r="A629" s="3" t="s">
        <v>2132</v>
      </c>
      <c r="B629" s="3" t="s">
        <v>2133</v>
      </c>
    </row>
    <row r="630" spans="1:2">
      <c r="A630" s="3" t="s">
        <v>2132</v>
      </c>
      <c r="B630" s="3" t="s">
        <v>2134</v>
      </c>
    </row>
    <row r="631" spans="1:2">
      <c r="A631" s="3" t="s">
        <v>2132</v>
      </c>
      <c r="B631" s="3" t="s">
        <v>2135</v>
      </c>
    </row>
    <row r="632" spans="1:2">
      <c r="A632" s="3" t="s">
        <v>2132</v>
      </c>
      <c r="B632" s="3" t="s">
        <v>2136</v>
      </c>
    </row>
    <row r="633" spans="1:2">
      <c r="A633" s="3" t="s">
        <v>2132</v>
      </c>
      <c r="B633" s="3" t="s">
        <v>2137</v>
      </c>
    </row>
    <row r="634" spans="1:2">
      <c r="A634" s="3" t="s">
        <v>2132</v>
      </c>
      <c r="B634" s="3" t="s">
        <v>2138</v>
      </c>
    </row>
    <row r="635" spans="1:2">
      <c r="A635" s="3" t="s">
        <v>2132</v>
      </c>
      <c r="B635" s="3" t="s">
        <v>2139</v>
      </c>
    </row>
    <row r="636" spans="1:2">
      <c r="A636" s="3" t="s">
        <v>2132</v>
      </c>
      <c r="B636" s="3" t="s">
        <v>2140</v>
      </c>
    </row>
    <row r="637" spans="1:2">
      <c r="A637" s="3" t="s">
        <v>2141</v>
      </c>
      <c r="B637" s="3" t="s">
        <v>2142</v>
      </c>
    </row>
    <row r="638" spans="1:2">
      <c r="A638" s="3" t="s">
        <v>2141</v>
      </c>
      <c r="B638" s="3" t="s">
        <v>2143</v>
      </c>
    </row>
    <row r="639" spans="1:2">
      <c r="A639" s="3" t="s">
        <v>2141</v>
      </c>
      <c r="B639" s="3" t="s">
        <v>2144</v>
      </c>
    </row>
    <row r="640" spans="1:2">
      <c r="A640" s="3" t="s">
        <v>2141</v>
      </c>
      <c r="B640" s="3" t="s">
        <v>2145</v>
      </c>
    </row>
    <row r="641" spans="1:2">
      <c r="A641" s="3" t="s">
        <v>2146</v>
      </c>
      <c r="B641" s="3" t="s">
        <v>2147</v>
      </c>
    </row>
    <row r="642" spans="1:2">
      <c r="A642" s="3" t="s">
        <v>2146</v>
      </c>
      <c r="B642" s="3" t="s">
        <v>2148</v>
      </c>
    </row>
    <row r="643" spans="1:2">
      <c r="A643" s="3" t="s">
        <v>2146</v>
      </c>
      <c r="B643" s="3" t="s">
        <v>2149</v>
      </c>
    </row>
    <row r="644" spans="1:2">
      <c r="A644" s="3" t="s">
        <v>2146</v>
      </c>
      <c r="B644" s="3" t="s">
        <v>2150</v>
      </c>
    </row>
    <row r="645" spans="1:2">
      <c r="A645" s="3" t="s">
        <v>2151</v>
      </c>
      <c r="B645" s="3" t="s">
        <v>2152</v>
      </c>
    </row>
    <row r="646" spans="1:2">
      <c r="A646" s="3" t="s">
        <v>2151</v>
      </c>
      <c r="B646" s="3" t="s">
        <v>2153</v>
      </c>
    </row>
    <row r="647" spans="1:2">
      <c r="A647" s="3" t="s">
        <v>2154</v>
      </c>
      <c r="B647" s="3" t="s">
        <v>2155</v>
      </c>
    </row>
    <row r="648" spans="1:2">
      <c r="A648" s="3" t="s">
        <v>2154</v>
      </c>
      <c r="B648" s="3" t="s">
        <v>2156</v>
      </c>
    </row>
    <row r="649" spans="1:2">
      <c r="A649" s="3" t="s">
        <v>2154</v>
      </c>
      <c r="B649" s="3" t="s">
        <v>2157</v>
      </c>
    </row>
    <row r="650" spans="1:2">
      <c r="A650" s="3" t="s">
        <v>2154</v>
      </c>
      <c r="B650" s="3" t="s">
        <v>2158</v>
      </c>
    </row>
    <row r="651" spans="1:2">
      <c r="A651" s="3" t="s">
        <v>2154</v>
      </c>
      <c r="B651" s="3" t="s">
        <v>2159</v>
      </c>
    </row>
    <row r="652" spans="1:2">
      <c r="A652" s="3" t="s">
        <v>2154</v>
      </c>
      <c r="B652" s="3" t="s">
        <v>2160</v>
      </c>
    </row>
    <row r="653" spans="1:2">
      <c r="A653" s="3" t="s">
        <v>2154</v>
      </c>
      <c r="B653" s="3" t="s">
        <v>2161</v>
      </c>
    </row>
    <row r="654" spans="1:2">
      <c r="A654" s="3" t="s">
        <v>2154</v>
      </c>
      <c r="B654" s="3" t="s">
        <v>2162</v>
      </c>
    </row>
    <row r="655" spans="1:2">
      <c r="A655" s="3" t="s">
        <v>2154</v>
      </c>
      <c r="B655" s="3" t="s">
        <v>2163</v>
      </c>
    </row>
    <row r="656" spans="1:2">
      <c r="A656" s="3" t="s">
        <v>2164</v>
      </c>
      <c r="B656" s="3" t="s">
        <v>2165</v>
      </c>
    </row>
    <row r="657" spans="1:2">
      <c r="A657" s="3" t="s">
        <v>2164</v>
      </c>
      <c r="B657" s="3" t="s">
        <v>2166</v>
      </c>
    </row>
    <row r="658" spans="1:2">
      <c r="A658" s="3" t="s">
        <v>2164</v>
      </c>
      <c r="B658" s="3" t="s">
        <v>2167</v>
      </c>
    </row>
    <row r="659" spans="1:2">
      <c r="A659" s="3" t="s">
        <v>2168</v>
      </c>
      <c r="B659" s="3" t="s">
        <v>2169</v>
      </c>
    </row>
    <row r="660" spans="1:2">
      <c r="A660" s="3" t="s">
        <v>2168</v>
      </c>
      <c r="B660" s="3" t="s">
        <v>2170</v>
      </c>
    </row>
    <row r="661" spans="1:2">
      <c r="A661" s="3" t="s">
        <v>2168</v>
      </c>
      <c r="B661" s="3" t="s">
        <v>2171</v>
      </c>
    </row>
    <row r="662" spans="1:2">
      <c r="A662" s="3" t="s">
        <v>2168</v>
      </c>
      <c r="B662" s="3" t="s">
        <v>2172</v>
      </c>
    </row>
    <row r="663" spans="1:2">
      <c r="A663" s="3" t="s">
        <v>2168</v>
      </c>
      <c r="B663" s="3" t="s">
        <v>2173</v>
      </c>
    </row>
    <row r="664" spans="1:2">
      <c r="A664" s="3" t="s">
        <v>2168</v>
      </c>
      <c r="B664" s="3" t="s">
        <v>2174</v>
      </c>
    </row>
    <row r="665" spans="1:2">
      <c r="A665" s="3" t="s">
        <v>2168</v>
      </c>
      <c r="B665" s="3" t="s">
        <v>2175</v>
      </c>
    </row>
    <row r="666" spans="1:2">
      <c r="A666" s="3" t="s">
        <v>2168</v>
      </c>
      <c r="B666" s="3" t="s">
        <v>2176</v>
      </c>
    </row>
    <row r="667" spans="1:2">
      <c r="A667" s="3" t="s">
        <v>2177</v>
      </c>
      <c r="B667" s="3" t="s">
        <v>2178</v>
      </c>
    </row>
    <row r="668" spans="1:2">
      <c r="A668" s="3" t="s">
        <v>2177</v>
      </c>
      <c r="B668" s="3" t="s">
        <v>2179</v>
      </c>
    </row>
    <row r="669" spans="1:2">
      <c r="A669" s="3" t="s">
        <v>2177</v>
      </c>
      <c r="B669" s="3" t="s">
        <v>2180</v>
      </c>
    </row>
    <row r="670" spans="1:2">
      <c r="A670" s="3" t="s">
        <v>2177</v>
      </c>
      <c r="B670" s="3" t="s">
        <v>2181</v>
      </c>
    </row>
    <row r="671" spans="1:2">
      <c r="A671" s="3" t="s">
        <v>2182</v>
      </c>
      <c r="B671" s="3" t="s">
        <v>2183</v>
      </c>
    </row>
    <row r="672" spans="1:2">
      <c r="A672" s="3" t="s">
        <v>2182</v>
      </c>
      <c r="B672" s="3" t="s">
        <v>2184</v>
      </c>
    </row>
    <row r="673" spans="1:2">
      <c r="A673" s="3" t="s">
        <v>2182</v>
      </c>
      <c r="B673" s="3" t="s">
        <v>2185</v>
      </c>
    </row>
    <row r="674" spans="1:2">
      <c r="A674" s="3" t="s">
        <v>2182</v>
      </c>
      <c r="B674" s="3" t="s">
        <v>2186</v>
      </c>
    </row>
    <row r="675" spans="1:2">
      <c r="A675" s="3" t="s">
        <v>2182</v>
      </c>
      <c r="B675" s="3" t="s">
        <v>2187</v>
      </c>
    </row>
    <row r="676" spans="1:2">
      <c r="A676" s="3" t="s">
        <v>2182</v>
      </c>
      <c r="B676" s="3" t="s">
        <v>2188</v>
      </c>
    </row>
    <row r="677" spans="1:2">
      <c r="A677" s="3" t="s">
        <v>2189</v>
      </c>
      <c r="B677" s="3" t="s">
        <v>2190</v>
      </c>
    </row>
    <row r="678" spans="1:2">
      <c r="A678" s="3" t="s">
        <v>2189</v>
      </c>
      <c r="B678" s="3" t="s">
        <v>2191</v>
      </c>
    </row>
    <row r="679" spans="1:2">
      <c r="A679" s="3" t="s">
        <v>2189</v>
      </c>
      <c r="B679" s="3" t="s">
        <v>2192</v>
      </c>
    </row>
    <row r="680" spans="1:2">
      <c r="A680" s="3" t="s">
        <v>2189</v>
      </c>
      <c r="B680" s="3" t="s">
        <v>2193</v>
      </c>
    </row>
    <row r="681" spans="1:2">
      <c r="A681" s="3" t="s">
        <v>2194</v>
      </c>
      <c r="B681" s="3" t="s">
        <v>2195</v>
      </c>
    </row>
    <row r="682" spans="1:2">
      <c r="A682" s="3" t="s">
        <v>2194</v>
      </c>
      <c r="B682" s="3" t="s">
        <v>2196</v>
      </c>
    </row>
    <row r="683" spans="1:2">
      <c r="A683" s="3" t="s">
        <v>2194</v>
      </c>
      <c r="B683" s="3" t="s">
        <v>2197</v>
      </c>
    </row>
    <row r="684" spans="1:2">
      <c r="A684" s="3" t="s">
        <v>2194</v>
      </c>
      <c r="B684" s="3" t="s">
        <v>2198</v>
      </c>
    </row>
    <row r="685" spans="1:2">
      <c r="A685" s="3" t="s">
        <v>2194</v>
      </c>
      <c r="B685" s="3" t="s">
        <v>2199</v>
      </c>
    </row>
    <row r="686" spans="1:2">
      <c r="A686" s="3" t="s">
        <v>2194</v>
      </c>
      <c r="B686" s="3" t="s">
        <v>2200</v>
      </c>
    </row>
    <row r="687" spans="1:2">
      <c r="A687" s="3" t="s">
        <v>2194</v>
      </c>
      <c r="B687" s="3" t="s">
        <v>2201</v>
      </c>
    </row>
    <row r="688" spans="1:2">
      <c r="A688" s="3" t="s">
        <v>2194</v>
      </c>
      <c r="B688" s="3" t="s">
        <v>2202</v>
      </c>
    </row>
    <row r="689" spans="1:2">
      <c r="A689" s="3" t="s">
        <v>2203</v>
      </c>
      <c r="B689" s="3" t="s">
        <v>2204</v>
      </c>
    </row>
    <row r="690" spans="1:2">
      <c r="A690" s="3" t="s">
        <v>2203</v>
      </c>
      <c r="B690" s="3" t="s">
        <v>2205</v>
      </c>
    </row>
    <row r="691" spans="1:2">
      <c r="A691" s="3" t="s">
        <v>2203</v>
      </c>
      <c r="B691" s="3" t="s">
        <v>2206</v>
      </c>
    </row>
    <row r="692" spans="1:2">
      <c r="A692" s="3" t="s">
        <v>2203</v>
      </c>
      <c r="B692" s="3" t="s">
        <v>2207</v>
      </c>
    </row>
    <row r="693" spans="1:2">
      <c r="A693" s="3" t="s">
        <v>2208</v>
      </c>
      <c r="B693" s="3" t="s">
        <v>2209</v>
      </c>
    </row>
    <row r="694" spans="1:2">
      <c r="A694" s="3" t="s">
        <v>2208</v>
      </c>
      <c r="B694" s="3" t="s">
        <v>2210</v>
      </c>
    </row>
    <row r="695" spans="1:2">
      <c r="A695" s="3" t="s">
        <v>2208</v>
      </c>
      <c r="B695" s="3" t="s">
        <v>2211</v>
      </c>
    </row>
    <row r="696" spans="1:2">
      <c r="A696" s="3" t="s">
        <v>2208</v>
      </c>
      <c r="B696" s="3" t="s">
        <v>2212</v>
      </c>
    </row>
    <row r="697" spans="1:2">
      <c r="A697" s="3" t="s">
        <v>2208</v>
      </c>
      <c r="B697" s="3" t="s">
        <v>2213</v>
      </c>
    </row>
    <row r="698" spans="1:2">
      <c r="A698" s="3" t="s">
        <v>2208</v>
      </c>
      <c r="B698" s="3" t="s">
        <v>2214</v>
      </c>
    </row>
    <row r="699" spans="1:2">
      <c r="A699" s="3" t="s">
        <v>2208</v>
      </c>
      <c r="B699" s="3" t="s">
        <v>2215</v>
      </c>
    </row>
    <row r="700" spans="1:2">
      <c r="A700" s="3" t="s">
        <v>2208</v>
      </c>
      <c r="B700" s="3" t="s">
        <v>2216</v>
      </c>
    </row>
    <row r="701" spans="1:2">
      <c r="A701" s="3" t="s">
        <v>2217</v>
      </c>
      <c r="B701" s="3" t="s">
        <v>2218</v>
      </c>
    </row>
    <row r="702" spans="1:2">
      <c r="A702" s="3" t="s">
        <v>2217</v>
      </c>
      <c r="B702" s="3" t="s">
        <v>2219</v>
      </c>
    </row>
    <row r="703" spans="1:2">
      <c r="A703" s="3" t="s">
        <v>2217</v>
      </c>
      <c r="B703" s="3" t="s">
        <v>2220</v>
      </c>
    </row>
    <row r="704" spans="1:2">
      <c r="A704" s="3" t="s">
        <v>2217</v>
      </c>
      <c r="B704" s="3" t="s">
        <v>2221</v>
      </c>
    </row>
    <row r="705" spans="1:2">
      <c r="A705" s="3" t="s">
        <v>2217</v>
      </c>
      <c r="B705" s="3" t="s">
        <v>2222</v>
      </c>
    </row>
    <row r="706" spans="1:2">
      <c r="A706" s="3" t="s">
        <v>2217</v>
      </c>
      <c r="B706" s="3" t="s">
        <v>2223</v>
      </c>
    </row>
    <row r="707" spans="1:2">
      <c r="A707" s="3" t="s">
        <v>2217</v>
      </c>
      <c r="B707" s="3" t="s">
        <v>2224</v>
      </c>
    </row>
    <row r="708" spans="1:2">
      <c r="A708" s="3" t="s">
        <v>2217</v>
      </c>
      <c r="B708" s="3" t="s">
        <v>2225</v>
      </c>
    </row>
    <row r="709" spans="1:2">
      <c r="A709" s="3" t="s">
        <v>2226</v>
      </c>
      <c r="B709" s="3" t="s">
        <v>2227</v>
      </c>
    </row>
    <row r="710" spans="1:2">
      <c r="A710" s="3" t="s">
        <v>2226</v>
      </c>
      <c r="B710" s="3" t="s">
        <v>2228</v>
      </c>
    </row>
    <row r="711" spans="1:2">
      <c r="A711" s="3" t="s">
        <v>2226</v>
      </c>
      <c r="B711" s="3" t="s">
        <v>2229</v>
      </c>
    </row>
    <row r="712" spans="1:2">
      <c r="A712" s="3" t="s">
        <v>2226</v>
      </c>
      <c r="B712" s="3" t="s">
        <v>2230</v>
      </c>
    </row>
    <row r="713" spans="1:2">
      <c r="A713" s="3" t="s">
        <v>2231</v>
      </c>
      <c r="B713" s="3" t="s">
        <v>2232</v>
      </c>
    </row>
    <row r="714" spans="1:2">
      <c r="A714" s="3" t="s">
        <v>2231</v>
      </c>
      <c r="B714" s="3" t="s">
        <v>2233</v>
      </c>
    </row>
    <row r="715" spans="1:2">
      <c r="A715" s="3" t="s">
        <v>2231</v>
      </c>
      <c r="B715" s="3" t="s">
        <v>2234</v>
      </c>
    </row>
    <row r="716" spans="1:2">
      <c r="A716" s="3" t="s">
        <v>2231</v>
      </c>
      <c r="B716" s="3" t="s">
        <v>2235</v>
      </c>
    </row>
    <row r="717" spans="1:2">
      <c r="A717" s="3" t="s">
        <v>2231</v>
      </c>
      <c r="B717" s="3" t="s">
        <v>2236</v>
      </c>
    </row>
    <row r="718" spans="1:2">
      <c r="A718" s="3" t="s">
        <v>2237</v>
      </c>
      <c r="B718" s="3" t="s">
        <v>2238</v>
      </c>
    </row>
    <row r="719" spans="1:2">
      <c r="A719" s="3" t="s">
        <v>2237</v>
      </c>
      <c r="B719" s="3" t="s">
        <v>2239</v>
      </c>
    </row>
    <row r="720" spans="1:2">
      <c r="A720" s="3" t="s">
        <v>2237</v>
      </c>
      <c r="B720" s="3" t="s">
        <v>2240</v>
      </c>
    </row>
    <row r="721" spans="1:2">
      <c r="A721" s="3" t="s">
        <v>2237</v>
      </c>
      <c r="B721" s="3" t="s">
        <v>2241</v>
      </c>
    </row>
    <row r="722" spans="1:2">
      <c r="A722" s="3" t="s">
        <v>2237</v>
      </c>
      <c r="B722" s="3" t="s">
        <v>2242</v>
      </c>
    </row>
    <row r="723" spans="1:2">
      <c r="A723" s="3" t="s">
        <v>2237</v>
      </c>
      <c r="B723" s="3" t="s">
        <v>2243</v>
      </c>
    </row>
    <row r="724" spans="1:2">
      <c r="A724" s="3" t="s">
        <v>2237</v>
      </c>
      <c r="B724" s="3" t="s">
        <v>2244</v>
      </c>
    </row>
    <row r="725" spans="1:2">
      <c r="A725" s="3" t="s">
        <v>2237</v>
      </c>
      <c r="B725" s="3" t="s">
        <v>2245</v>
      </c>
    </row>
    <row r="726" spans="1:2">
      <c r="A726" s="3" t="s">
        <v>2246</v>
      </c>
      <c r="B726" s="3" t="s">
        <v>2247</v>
      </c>
    </row>
    <row r="727" spans="1:2">
      <c r="A727" s="3" t="s">
        <v>2246</v>
      </c>
      <c r="B727" s="3" t="s">
        <v>2248</v>
      </c>
    </row>
    <row r="728" spans="1:2">
      <c r="A728" s="3" t="s">
        <v>2246</v>
      </c>
      <c r="B728" s="3" t="s">
        <v>2249</v>
      </c>
    </row>
    <row r="729" spans="1:2">
      <c r="A729" s="3" t="s">
        <v>2246</v>
      </c>
      <c r="B729" s="3" t="s">
        <v>2250</v>
      </c>
    </row>
    <row r="730" spans="1:2">
      <c r="A730" s="3" t="s">
        <v>2251</v>
      </c>
      <c r="B730" s="3" t="s">
        <v>2252</v>
      </c>
    </row>
    <row r="731" spans="1:2">
      <c r="A731" s="3" t="s">
        <v>2251</v>
      </c>
      <c r="B731" s="3" t="s">
        <v>2253</v>
      </c>
    </row>
    <row r="732" spans="1:2">
      <c r="A732" s="3" t="s">
        <v>2251</v>
      </c>
      <c r="B732" s="3" t="s">
        <v>2254</v>
      </c>
    </row>
    <row r="733" spans="1:2">
      <c r="A733" s="3" t="s">
        <v>2251</v>
      </c>
      <c r="B733" s="3" t="s">
        <v>2255</v>
      </c>
    </row>
    <row r="734" spans="1:2">
      <c r="A734" s="3" t="s">
        <v>2256</v>
      </c>
      <c r="B734" s="3" t="s">
        <v>2257</v>
      </c>
    </row>
    <row r="735" spans="1:2">
      <c r="A735" s="3" t="s">
        <v>2256</v>
      </c>
      <c r="B735" s="3" t="s">
        <v>2258</v>
      </c>
    </row>
    <row r="736" spans="1:2">
      <c r="A736" s="3" t="s">
        <v>2256</v>
      </c>
      <c r="B736" s="3" t="s">
        <v>2259</v>
      </c>
    </row>
    <row r="737" spans="1:2">
      <c r="A737" s="3" t="s">
        <v>2256</v>
      </c>
      <c r="B737" s="3" t="s">
        <v>2260</v>
      </c>
    </row>
    <row r="738" spans="1:2">
      <c r="A738" s="3" t="s">
        <v>2256</v>
      </c>
      <c r="B738" s="3" t="s">
        <v>2261</v>
      </c>
    </row>
    <row r="739" spans="1:2">
      <c r="A739" s="3" t="s">
        <v>2262</v>
      </c>
      <c r="B739" s="3" t="s">
        <v>2263</v>
      </c>
    </row>
    <row r="740" spans="1:2">
      <c r="A740" s="3" t="s">
        <v>2262</v>
      </c>
      <c r="B740" s="3" t="s">
        <v>2264</v>
      </c>
    </row>
    <row r="741" spans="1:2">
      <c r="A741" s="3" t="s">
        <v>2262</v>
      </c>
      <c r="B741" s="3" t="s">
        <v>2265</v>
      </c>
    </row>
    <row r="742" spans="1:2">
      <c r="A742" s="3" t="s">
        <v>2262</v>
      </c>
      <c r="B742" s="3" t="s">
        <v>2266</v>
      </c>
    </row>
    <row r="743" spans="1:2">
      <c r="A743" s="3" t="s">
        <v>2262</v>
      </c>
      <c r="B743" s="3" t="s">
        <v>2267</v>
      </c>
    </row>
    <row r="744" spans="1:2">
      <c r="A744" s="3" t="s">
        <v>2268</v>
      </c>
      <c r="B744" s="3" t="s">
        <v>2269</v>
      </c>
    </row>
    <row r="745" spans="1:2">
      <c r="A745" s="3" t="s">
        <v>2268</v>
      </c>
      <c r="B745" s="3" t="s">
        <v>2270</v>
      </c>
    </row>
    <row r="746" spans="1:2">
      <c r="A746" s="3" t="s">
        <v>2268</v>
      </c>
      <c r="B746" s="3" t="s">
        <v>2271</v>
      </c>
    </row>
    <row r="747" spans="1:2">
      <c r="A747" s="3" t="s">
        <v>2272</v>
      </c>
      <c r="B747" s="3" t="s">
        <v>2273</v>
      </c>
    </row>
    <row r="748" spans="1:2">
      <c r="A748" s="3" t="s">
        <v>2272</v>
      </c>
      <c r="B748" s="3" t="s">
        <v>2274</v>
      </c>
    </row>
    <row r="749" spans="1:2">
      <c r="A749" s="3" t="s">
        <v>2275</v>
      </c>
      <c r="B749" s="3" t="s">
        <v>2276</v>
      </c>
    </row>
    <row r="750" spans="1:2">
      <c r="A750" s="3" t="s">
        <v>2275</v>
      </c>
      <c r="B750" s="3" t="s">
        <v>2277</v>
      </c>
    </row>
    <row r="751" spans="1:2">
      <c r="A751" s="3" t="s">
        <v>2275</v>
      </c>
      <c r="B751" s="3" t="s">
        <v>2278</v>
      </c>
    </row>
    <row r="752" spans="1:2">
      <c r="A752" s="3" t="s">
        <v>2275</v>
      </c>
      <c r="B752" s="3" t="s">
        <v>2279</v>
      </c>
    </row>
    <row r="753" spans="1:2">
      <c r="A753" s="3" t="s">
        <v>2275</v>
      </c>
      <c r="B753" s="3" t="s">
        <v>2280</v>
      </c>
    </row>
    <row r="754" spans="1:2">
      <c r="A754" s="3" t="s">
        <v>2275</v>
      </c>
      <c r="B754" s="3" t="s">
        <v>2281</v>
      </c>
    </row>
    <row r="755" spans="1:2">
      <c r="A755" s="3" t="s">
        <v>2275</v>
      </c>
      <c r="B755" s="3" t="s">
        <v>2282</v>
      </c>
    </row>
    <row r="756" spans="1:2">
      <c r="A756" s="3" t="s">
        <v>2275</v>
      </c>
      <c r="B756" s="3" t="s">
        <v>2283</v>
      </c>
    </row>
    <row r="757" spans="1:2">
      <c r="A757" s="3" t="s">
        <v>2284</v>
      </c>
      <c r="B757" s="3" t="s">
        <v>2285</v>
      </c>
    </row>
    <row r="758" spans="1:2">
      <c r="A758" s="3" t="s">
        <v>2284</v>
      </c>
      <c r="B758" s="3" t="s">
        <v>2286</v>
      </c>
    </row>
    <row r="759" spans="1:2">
      <c r="A759" s="3" t="s">
        <v>2287</v>
      </c>
      <c r="B759" s="3" t="s">
        <v>2288</v>
      </c>
    </row>
    <row r="760" spans="1:2">
      <c r="A760" s="3" t="s">
        <v>2287</v>
      </c>
      <c r="B760" s="3" t="s">
        <v>2289</v>
      </c>
    </row>
    <row r="761" spans="1:2">
      <c r="A761" s="3" t="s">
        <v>2287</v>
      </c>
      <c r="B761" s="3" t="s">
        <v>2290</v>
      </c>
    </row>
    <row r="762" spans="1:2">
      <c r="A762" s="3" t="s">
        <v>2287</v>
      </c>
      <c r="B762" s="3" t="s">
        <v>2291</v>
      </c>
    </row>
    <row r="763" spans="1:2">
      <c r="A763" s="3" t="s">
        <v>2292</v>
      </c>
      <c r="B763" s="3" t="s">
        <v>2293</v>
      </c>
    </row>
    <row r="764" spans="1:2">
      <c r="A764" s="3" t="s">
        <v>2292</v>
      </c>
      <c r="B764" s="3" t="s">
        <v>2294</v>
      </c>
    </row>
    <row r="765" spans="1:2">
      <c r="A765" s="3" t="s">
        <v>2292</v>
      </c>
      <c r="B765" s="3" t="s">
        <v>2295</v>
      </c>
    </row>
    <row r="766" spans="1:2">
      <c r="A766" s="3" t="s">
        <v>2292</v>
      </c>
      <c r="B766" s="3" t="s">
        <v>2296</v>
      </c>
    </row>
    <row r="767" spans="1:2">
      <c r="A767" s="3" t="s">
        <v>2297</v>
      </c>
      <c r="B767" s="3" t="s">
        <v>2298</v>
      </c>
    </row>
    <row r="768" spans="1:2">
      <c r="A768" s="3" t="s">
        <v>2297</v>
      </c>
      <c r="B768" s="3" t="s">
        <v>2299</v>
      </c>
    </row>
    <row r="769" spans="1:2">
      <c r="A769" s="3" t="s">
        <v>2300</v>
      </c>
      <c r="B769" s="3" t="s">
        <v>2301</v>
      </c>
    </row>
    <row r="770" spans="1:2">
      <c r="A770" s="3" t="s">
        <v>2300</v>
      </c>
      <c r="B770" s="3" t="s">
        <v>2302</v>
      </c>
    </row>
    <row r="771" spans="1:2">
      <c r="A771" s="3" t="s">
        <v>2300</v>
      </c>
      <c r="B771" s="3" t="s">
        <v>2303</v>
      </c>
    </row>
    <row r="772" spans="1:2">
      <c r="A772" s="3" t="s">
        <v>2300</v>
      </c>
      <c r="B772" s="3" t="s">
        <v>2304</v>
      </c>
    </row>
    <row r="773" spans="1:2">
      <c r="A773" s="3" t="s">
        <v>2305</v>
      </c>
      <c r="B773" s="3" t="s">
        <v>2306</v>
      </c>
    </row>
    <row r="774" spans="1:2">
      <c r="A774" s="3" t="s">
        <v>2305</v>
      </c>
      <c r="B774" s="3" t="s">
        <v>2307</v>
      </c>
    </row>
    <row r="775" spans="1:2">
      <c r="A775" s="3" t="s">
        <v>2305</v>
      </c>
      <c r="B775" s="3" t="s">
        <v>2308</v>
      </c>
    </row>
    <row r="776" spans="1:2">
      <c r="A776" s="3" t="s">
        <v>2305</v>
      </c>
      <c r="B776" s="3" t="s">
        <v>2309</v>
      </c>
    </row>
    <row r="777" spans="1:2">
      <c r="A777" s="3" t="s">
        <v>2305</v>
      </c>
      <c r="B777" s="3" t="s">
        <v>2310</v>
      </c>
    </row>
    <row r="778" spans="1:2">
      <c r="A778" s="3" t="s">
        <v>2305</v>
      </c>
      <c r="B778" s="3" t="s">
        <v>2311</v>
      </c>
    </row>
    <row r="779" spans="1:2">
      <c r="A779" s="3" t="s">
        <v>2305</v>
      </c>
      <c r="B779" s="3" t="s">
        <v>2312</v>
      </c>
    </row>
    <row r="780" spans="1:2">
      <c r="A780" s="3" t="s">
        <v>2305</v>
      </c>
      <c r="B780" s="3" t="s">
        <v>2313</v>
      </c>
    </row>
    <row r="781" spans="1:2">
      <c r="A781" s="3" t="s">
        <v>2314</v>
      </c>
      <c r="B781" s="3" t="s">
        <v>2315</v>
      </c>
    </row>
    <row r="782" spans="1:2">
      <c r="A782" s="3" t="s">
        <v>2314</v>
      </c>
      <c r="B782" s="3" t="s">
        <v>2316</v>
      </c>
    </row>
    <row r="783" spans="1:2">
      <c r="A783" s="3" t="s">
        <v>2314</v>
      </c>
      <c r="B783" s="3" t="s">
        <v>2317</v>
      </c>
    </row>
    <row r="784" spans="1:2">
      <c r="A784" s="3" t="s">
        <v>2318</v>
      </c>
      <c r="B784" s="3" t="s">
        <v>2319</v>
      </c>
    </row>
    <row r="785" spans="1:2">
      <c r="A785" s="3" t="s">
        <v>2318</v>
      </c>
      <c r="B785" s="3" t="s">
        <v>2320</v>
      </c>
    </row>
    <row r="786" spans="1:2">
      <c r="A786" s="3" t="s">
        <v>2318</v>
      </c>
      <c r="B786" s="3" t="s">
        <v>2321</v>
      </c>
    </row>
    <row r="787" spans="1:2">
      <c r="A787" s="3" t="s">
        <v>2322</v>
      </c>
      <c r="B787" s="3" t="s">
        <v>2323</v>
      </c>
    </row>
    <row r="788" spans="1:2">
      <c r="A788" s="3" t="s">
        <v>2322</v>
      </c>
      <c r="B788" s="3" t="s">
        <v>2324</v>
      </c>
    </row>
    <row r="789" spans="1:2">
      <c r="A789" s="3" t="s">
        <v>2325</v>
      </c>
      <c r="B789" s="3" t="s">
        <v>2326</v>
      </c>
    </row>
    <row r="790" spans="1:2">
      <c r="A790" s="3" t="s">
        <v>2325</v>
      </c>
      <c r="B790" s="3" t="s">
        <v>2327</v>
      </c>
    </row>
    <row r="791" spans="1:2">
      <c r="A791" s="29" t="s">
        <v>2328</v>
      </c>
      <c r="B791" s="29" t="s">
        <v>2329</v>
      </c>
    </row>
    <row r="792" spans="1:2">
      <c r="A792" s="29" t="s">
        <v>2328</v>
      </c>
      <c r="B792" s="29" t="s">
        <v>2330</v>
      </c>
    </row>
    <row r="793" spans="1:2">
      <c r="A793" s="29" t="s">
        <v>2328</v>
      </c>
      <c r="B793" s="29" t="s">
        <v>2331</v>
      </c>
    </row>
    <row r="794" spans="1:2">
      <c r="A794" s="29" t="s">
        <v>2328</v>
      </c>
      <c r="B794" s="29" t="s">
        <v>2332</v>
      </c>
    </row>
    <row r="795" spans="1:2">
      <c r="A795" s="3" t="s">
        <v>2333</v>
      </c>
      <c r="B795" s="3" t="s">
        <v>2334</v>
      </c>
    </row>
    <row r="796" spans="1:2">
      <c r="A796" s="3" t="s">
        <v>2333</v>
      </c>
      <c r="B796" s="3" t="s">
        <v>2335</v>
      </c>
    </row>
    <row r="797" spans="1:2">
      <c r="A797" s="3" t="s">
        <v>2333</v>
      </c>
      <c r="B797" s="3" t="s">
        <v>2336</v>
      </c>
    </row>
    <row r="798" spans="1:2">
      <c r="A798" s="3" t="s">
        <v>2333</v>
      </c>
      <c r="B798" s="3" t="s">
        <v>2337</v>
      </c>
    </row>
    <row r="799" spans="1:2">
      <c r="A799" s="3" t="s">
        <v>2333</v>
      </c>
      <c r="B799" s="3" t="s">
        <v>2338</v>
      </c>
    </row>
    <row r="800" spans="1:2">
      <c r="A800" s="3" t="s">
        <v>2333</v>
      </c>
      <c r="B800" s="3" t="s">
        <v>2339</v>
      </c>
    </row>
    <row r="801" spans="1:2">
      <c r="A801" s="3" t="s">
        <v>2333</v>
      </c>
      <c r="B801" s="3" t="s">
        <v>2340</v>
      </c>
    </row>
    <row r="802" spans="1:2">
      <c r="A802" s="3" t="s">
        <v>2333</v>
      </c>
      <c r="B802" s="3" t="s">
        <v>2341</v>
      </c>
    </row>
    <row r="803" spans="1:2">
      <c r="A803" s="3" t="s">
        <v>2342</v>
      </c>
      <c r="B803" s="3" t="s">
        <v>2343</v>
      </c>
    </row>
    <row r="804" spans="1:2">
      <c r="A804" s="3" t="s">
        <v>2342</v>
      </c>
      <c r="B804" s="3" t="s">
        <v>2344</v>
      </c>
    </row>
    <row r="805" spans="1:2">
      <c r="A805" s="3" t="s">
        <v>2342</v>
      </c>
      <c r="B805" s="3" t="s">
        <v>2345</v>
      </c>
    </row>
    <row r="806" spans="1:2">
      <c r="A806" s="3" t="s">
        <v>2342</v>
      </c>
      <c r="B806" s="3" t="s">
        <v>2346</v>
      </c>
    </row>
    <row r="807" spans="1:2">
      <c r="A807" s="3" t="s">
        <v>2347</v>
      </c>
      <c r="B807" s="3" t="s">
        <v>2348</v>
      </c>
    </row>
    <row r="808" spans="1:2">
      <c r="A808" s="3" t="s">
        <v>2347</v>
      </c>
      <c r="B808" s="3" t="s">
        <v>2349</v>
      </c>
    </row>
    <row r="809" spans="1:2">
      <c r="A809" s="3" t="s">
        <v>2350</v>
      </c>
      <c r="B809" s="3" t="s">
        <v>2351</v>
      </c>
    </row>
    <row r="810" spans="1:2">
      <c r="A810" s="3" t="s">
        <v>2350</v>
      </c>
      <c r="B810" s="3" t="s">
        <v>2352</v>
      </c>
    </row>
    <row r="811" spans="1:2">
      <c r="A811" s="3" t="s">
        <v>2350</v>
      </c>
      <c r="B811" s="3" t="s">
        <v>2353</v>
      </c>
    </row>
    <row r="812" spans="1:2">
      <c r="A812" s="3" t="s">
        <v>2350</v>
      </c>
      <c r="B812" s="3" t="s">
        <v>2354</v>
      </c>
    </row>
    <row r="813" spans="1:2">
      <c r="A813" s="3" t="s">
        <v>2355</v>
      </c>
      <c r="B813" s="3" t="s">
        <v>2356</v>
      </c>
    </row>
    <row r="814" spans="1:2">
      <c r="A814" s="3" t="s">
        <v>2355</v>
      </c>
      <c r="B814" s="3" t="s">
        <v>2357</v>
      </c>
    </row>
    <row r="815" spans="1:2">
      <c r="A815" s="3" t="s">
        <v>2355</v>
      </c>
      <c r="B815" s="3" t="s">
        <v>2358</v>
      </c>
    </row>
    <row r="816" spans="1:2">
      <c r="A816" s="3" t="s">
        <v>2355</v>
      </c>
      <c r="B816" s="3" t="s">
        <v>2359</v>
      </c>
    </row>
    <row r="817" spans="1:2">
      <c r="A817" s="3" t="s">
        <v>2355</v>
      </c>
      <c r="B817" s="3" t="s">
        <v>2360</v>
      </c>
    </row>
    <row r="818" spans="1:2">
      <c r="A818" s="3" t="s">
        <v>2355</v>
      </c>
      <c r="B818" s="3" t="s">
        <v>2361</v>
      </c>
    </row>
    <row r="819" spans="1:2">
      <c r="A819" s="3" t="s">
        <v>2355</v>
      </c>
      <c r="B819" s="3" t="s">
        <v>2362</v>
      </c>
    </row>
    <row r="820" spans="1:2">
      <c r="A820" s="3" t="s">
        <v>2355</v>
      </c>
      <c r="B820" s="3" t="s">
        <v>2363</v>
      </c>
    </row>
    <row r="821" spans="1:2">
      <c r="A821" s="3" t="s">
        <v>2355</v>
      </c>
      <c r="B821" s="3" t="s">
        <v>2364</v>
      </c>
    </row>
    <row r="822" spans="1:2">
      <c r="A822" s="3" t="s">
        <v>2355</v>
      </c>
      <c r="B822" s="3" t="s">
        <v>2365</v>
      </c>
    </row>
    <row r="823" spans="1:2">
      <c r="A823" s="3" t="s">
        <v>2355</v>
      </c>
      <c r="B823" s="3" t="s">
        <v>2366</v>
      </c>
    </row>
    <row r="824" spans="1:2">
      <c r="A824" s="3" t="s">
        <v>2355</v>
      </c>
      <c r="B824" s="3" t="s">
        <v>2367</v>
      </c>
    </row>
    <row r="825" spans="1:2">
      <c r="A825" s="3" t="s">
        <v>2355</v>
      </c>
      <c r="B825" s="3" t="s">
        <v>2368</v>
      </c>
    </row>
    <row r="826" spans="1:2">
      <c r="A826" s="3" t="s">
        <v>2355</v>
      </c>
      <c r="B826" s="3" t="s">
        <v>2369</v>
      </c>
    </row>
    <row r="827" spans="1:2">
      <c r="A827" s="3" t="s">
        <v>2370</v>
      </c>
      <c r="B827" s="3" t="s">
        <v>2371</v>
      </c>
    </row>
    <row r="828" spans="1:2">
      <c r="A828" s="3" t="s">
        <v>2370</v>
      </c>
      <c r="B828" s="3" t="s">
        <v>2372</v>
      </c>
    </row>
    <row r="829" spans="1:2">
      <c r="A829" s="3" t="s">
        <v>2373</v>
      </c>
      <c r="B829" s="3" t="s">
        <v>2374</v>
      </c>
    </row>
    <row r="830" spans="1:2">
      <c r="A830" s="3" t="s">
        <v>2373</v>
      </c>
      <c r="B830" s="3" t="s">
        <v>2375</v>
      </c>
    </row>
    <row r="831" spans="1:2">
      <c r="A831" s="3" t="s">
        <v>2373</v>
      </c>
      <c r="B831" s="3" t="s">
        <v>2376</v>
      </c>
    </row>
    <row r="832" spans="1:2">
      <c r="A832" s="3" t="s">
        <v>2373</v>
      </c>
      <c r="B832" s="3" t="s">
        <v>2377</v>
      </c>
    </row>
    <row r="833" spans="1:2">
      <c r="A833" s="3" t="s">
        <v>2378</v>
      </c>
      <c r="B833" s="3" t="s">
        <v>2379</v>
      </c>
    </row>
    <row r="834" spans="1:2">
      <c r="A834" s="3" t="s">
        <v>2378</v>
      </c>
      <c r="B834" s="3" t="s">
        <v>2380</v>
      </c>
    </row>
    <row r="835" spans="1:2">
      <c r="A835" s="3" t="s">
        <v>2378</v>
      </c>
      <c r="B835" s="3" t="s">
        <v>2381</v>
      </c>
    </row>
    <row r="836" spans="1:2">
      <c r="A836" s="3" t="s">
        <v>2378</v>
      </c>
      <c r="B836" s="3" t="s">
        <v>2382</v>
      </c>
    </row>
    <row r="837" spans="1:2">
      <c r="A837" s="3" t="s">
        <v>2378</v>
      </c>
      <c r="B837" s="3" t="s">
        <v>2383</v>
      </c>
    </row>
    <row r="838" spans="1:2">
      <c r="A838" s="3" t="s">
        <v>2378</v>
      </c>
      <c r="B838" s="3" t="s">
        <v>2384</v>
      </c>
    </row>
    <row r="839" spans="1:2">
      <c r="A839" s="3" t="s">
        <v>2378</v>
      </c>
      <c r="B839" s="3" t="s">
        <v>2385</v>
      </c>
    </row>
    <row r="840" spans="1:2">
      <c r="A840" s="3" t="s">
        <v>2378</v>
      </c>
      <c r="B840" s="3" t="s">
        <v>2386</v>
      </c>
    </row>
    <row r="841" spans="1:2">
      <c r="A841" s="3" t="s">
        <v>2387</v>
      </c>
      <c r="B841" s="3" t="s">
        <v>2388</v>
      </c>
    </row>
    <row r="842" spans="1:2">
      <c r="A842" s="3" t="s">
        <v>2387</v>
      </c>
      <c r="B842" s="3" t="s">
        <v>2389</v>
      </c>
    </row>
    <row r="843" spans="1:2">
      <c r="A843" s="3" t="s">
        <v>2387</v>
      </c>
      <c r="B843" s="3" t="s">
        <v>2390</v>
      </c>
    </row>
    <row r="844" spans="1:2">
      <c r="A844" s="3" t="s">
        <v>2387</v>
      </c>
      <c r="B844" s="3" t="s">
        <v>2391</v>
      </c>
    </row>
    <row r="845" spans="1:2">
      <c r="A845" s="3" t="s">
        <v>2392</v>
      </c>
      <c r="B845" s="3" t="s">
        <v>2393</v>
      </c>
    </row>
    <row r="846" spans="1:2">
      <c r="A846" s="3" t="s">
        <v>2392</v>
      </c>
      <c r="B846" s="3" t="s">
        <v>2394</v>
      </c>
    </row>
    <row r="847" spans="1:2">
      <c r="A847" s="3" t="s">
        <v>2395</v>
      </c>
      <c r="B847" s="3" t="s">
        <v>2396</v>
      </c>
    </row>
    <row r="848" spans="1:2">
      <c r="A848" s="3" t="s">
        <v>2395</v>
      </c>
      <c r="B848" s="3" t="s">
        <v>2397</v>
      </c>
    </row>
    <row r="849" spans="1:2">
      <c r="A849" s="3" t="s">
        <v>2395</v>
      </c>
      <c r="B849" s="3" t="s">
        <v>2398</v>
      </c>
    </row>
    <row r="850" spans="1:2">
      <c r="A850" s="3" t="s">
        <v>2399</v>
      </c>
      <c r="B850" s="3" t="s">
        <v>2400</v>
      </c>
    </row>
    <row r="851" spans="1:2">
      <c r="A851" s="3" t="s">
        <v>2399</v>
      </c>
      <c r="B851" s="3" t="s">
        <v>2401</v>
      </c>
    </row>
    <row r="852" spans="1:2">
      <c r="A852" s="3" t="s">
        <v>2399</v>
      </c>
      <c r="B852" s="3" t="s">
        <v>2402</v>
      </c>
    </row>
    <row r="853" spans="1:2">
      <c r="A853" s="3" t="s">
        <v>2399</v>
      </c>
      <c r="B853" s="3" t="s">
        <v>2403</v>
      </c>
    </row>
    <row r="854" spans="1:2">
      <c r="A854" s="3" t="s">
        <v>2404</v>
      </c>
      <c r="B854" s="3" t="s">
        <v>2405</v>
      </c>
    </row>
    <row r="855" spans="1:2">
      <c r="A855" s="3" t="s">
        <v>2404</v>
      </c>
      <c r="B855" s="3" t="s">
        <v>2406</v>
      </c>
    </row>
    <row r="856" spans="1:2">
      <c r="A856" s="3" t="s">
        <v>2404</v>
      </c>
      <c r="B856" s="3" t="s">
        <v>2407</v>
      </c>
    </row>
    <row r="857" spans="1:2">
      <c r="A857" s="3" t="s">
        <v>2404</v>
      </c>
      <c r="B857" s="3" t="s">
        <v>2408</v>
      </c>
    </row>
    <row r="858" spans="1:2">
      <c r="A858" s="3" t="s">
        <v>2409</v>
      </c>
      <c r="B858" s="3" t="s">
        <v>2410</v>
      </c>
    </row>
    <row r="859" spans="1:2">
      <c r="A859" s="3" t="s">
        <v>2409</v>
      </c>
      <c r="B859" s="3" t="s">
        <v>2411</v>
      </c>
    </row>
    <row r="860" spans="1:2">
      <c r="A860" s="3" t="s">
        <v>2409</v>
      </c>
      <c r="B860" s="3" t="s">
        <v>2412</v>
      </c>
    </row>
    <row r="861" spans="1:2">
      <c r="A861" s="3" t="s">
        <v>2409</v>
      </c>
      <c r="B861" s="3" t="s">
        <v>2413</v>
      </c>
    </row>
    <row r="862" spans="1:2">
      <c r="A862" s="3" t="s">
        <v>2409</v>
      </c>
      <c r="B862" s="3" t="s">
        <v>2414</v>
      </c>
    </row>
    <row r="863" spans="1:2">
      <c r="A863" s="3" t="s">
        <v>2409</v>
      </c>
      <c r="B863" s="3" t="s">
        <v>2415</v>
      </c>
    </row>
    <row r="864" spans="1:2">
      <c r="A864" s="3" t="s">
        <v>2409</v>
      </c>
      <c r="B864" s="3" t="s">
        <v>2416</v>
      </c>
    </row>
    <row r="865" spans="1:2">
      <c r="A865" s="3" t="s">
        <v>2409</v>
      </c>
      <c r="B865" s="3" t="s">
        <v>2417</v>
      </c>
    </row>
    <row r="866" spans="1:2">
      <c r="A866" s="3" t="s">
        <v>2418</v>
      </c>
      <c r="B866" s="3" t="s">
        <v>2419</v>
      </c>
    </row>
    <row r="867" spans="1:2">
      <c r="A867" s="3" t="s">
        <v>2418</v>
      </c>
      <c r="B867" s="3" t="s">
        <v>2420</v>
      </c>
    </row>
    <row r="868" spans="1:2">
      <c r="A868" s="3" t="s">
        <v>2418</v>
      </c>
      <c r="B868" s="3" t="s">
        <v>2421</v>
      </c>
    </row>
    <row r="869" spans="1:2">
      <c r="A869" s="3" t="s">
        <v>2418</v>
      </c>
      <c r="B869" s="3" t="s">
        <v>2422</v>
      </c>
    </row>
    <row r="870" spans="1:2">
      <c r="A870" s="3" t="s">
        <v>2418</v>
      </c>
      <c r="B870" s="3" t="s">
        <v>2423</v>
      </c>
    </row>
    <row r="871" spans="1:2">
      <c r="A871" s="3" t="s">
        <v>2418</v>
      </c>
      <c r="B871" s="3" t="s">
        <v>2424</v>
      </c>
    </row>
    <row r="872" spans="1:2">
      <c r="A872" s="3" t="s">
        <v>2418</v>
      </c>
      <c r="B872" s="3" t="s">
        <v>2425</v>
      </c>
    </row>
    <row r="873" spans="1:2">
      <c r="A873" s="3" t="s">
        <v>2418</v>
      </c>
      <c r="B873" s="3" t="s">
        <v>2426</v>
      </c>
    </row>
    <row r="874" spans="1:2">
      <c r="A874" s="3" t="s">
        <v>2418</v>
      </c>
      <c r="B874" s="3" t="s">
        <v>2427</v>
      </c>
    </row>
    <row r="875" spans="1:2">
      <c r="A875" s="3" t="s">
        <v>2428</v>
      </c>
      <c r="B875" s="3" t="s">
        <v>2429</v>
      </c>
    </row>
    <row r="876" spans="1:2">
      <c r="A876" s="3" t="s">
        <v>2428</v>
      </c>
      <c r="B876" s="3" t="s">
        <v>2430</v>
      </c>
    </row>
    <row r="877" spans="1:2">
      <c r="A877" s="3" t="s">
        <v>2428</v>
      </c>
      <c r="B877" s="3" t="s">
        <v>2431</v>
      </c>
    </row>
    <row r="878" spans="1:2">
      <c r="A878" s="3" t="s">
        <v>2428</v>
      </c>
      <c r="B878" s="3" t="s">
        <v>2432</v>
      </c>
    </row>
    <row r="879" spans="1:2">
      <c r="A879" s="3" t="s">
        <v>2428</v>
      </c>
      <c r="B879" s="3" t="s">
        <v>2433</v>
      </c>
    </row>
    <row r="880" spans="1:2">
      <c r="A880" s="3" t="s">
        <v>2428</v>
      </c>
      <c r="B880" s="3" t="s">
        <v>2434</v>
      </c>
    </row>
    <row r="881" spans="1:2">
      <c r="A881" s="3" t="s">
        <v>2428</v>
      </c>
      <c r="B881" s="3" t="s">
        <v>2435</v>
      </c>
    </row>
    <row r="882" spans="1:2">
      <c r="A882" s="3" t="s">
        <v>2436</v>
      </c>
      <c r="B882" s="3" t="s">
        <v>2437</v>
      </c>
    </row>
    <row r="883" spans="1:2">
      <c r="A883" s="3" t="s">
        <v>2436</v>
      </c>
      <c r="B883" s="3" t="s">
        <v>2438</v>
      </c>
    </row>
    <row r="884" spans="1:2">
      <c r="A884" s="3" t="s">
        <v>2436</v>
      </c>
      <c r="B884" s="3" t="s">
        <v>2439</v>
      </c>
    </row>
    <row r="885" spans="1:2">
      <c r="A885" s="3" t="s">
        <v>2436</v>
      </c>
      <c r="B885" s="3" t="s">
        <v>2440</v>
      </c>
    </row>
    <row r="886" spans="1:2">
      <c r="A886" s="3" t="s">
        <v>2441</v>
      </c>
      <c r="B886" s="3" t="s">
        <v>2442</v>
      </c>
    </row>
    <row r="887" spans="1:2">
      <c r="A887" s="3" t="s">
        <v>2441</v>
      </c>
      <c r="B887" s="3" t="s">
        <v>2443</v>
      </c>
    </row>
    <row r="888" spans="1:2">
      <c r="A888" s="3" t="s">
        <v>2441</v>
      </c>
      <c r="B888" s="3" t="s">
        <v>2444</v>
      </c>
    </row>
    <row r="889" spans="1:2">
      <c r="A889" s="3" t="s">
        <v>2441</v>
      </c>
      <c r="B889" s="3" t="s">
        <v>2445</v>
      </c>
    </row>
    <row r="890" spans="1:2">
      <c r="A890" s="3" t="s">
        <v>2441</v>
      </c>
      <c r="B890" s="3" t="s">
        <v>2446</v>
      </c>
    </row>
    <row r="891" spans="1:2">
      <c r="A891" s="3" t="s">
        <v>2441</v>
      </c>
      <c r="B891" s="3" t="s">
        <v>2447</v>
      </c>
    </row>
    <row r="892" spans="1:2">
      <c r="A892" s="3" t="s">
        <v>2441</v>
      </c>
      <c r="B892" s="3" t="s">
        <v>2448</v>
      </c>
    </row>
    <row r="893" spans="1:2">
      <c r="A893" s="3" t="s">
        <v>2441</v>
      </c>
      <c r="B893" s="3" t="s">
        <v>2449</v>
      </c>
    </row>
    <row r="894" spans="1:2">
      <c r="A894" s="3" t="s">
        <v>2450</v>
      </c>
      <c r="B894" s="3" t="s">
        <v>2451</v>
      </c>
    </row>
    <row r="895" spans="1:2">
      <c r="A895" s="3" t="s">
        <v>2450</v>
      </c>
      <c r="B895" s="3" t="s">
        <v>2452</v>
      </c>
    </row>
    <row r="896" spans="1:2">
      <c r="A896" s="3" t="s">
        <v>2450</v>
      </c>
      <c r="B896" s="3" t="s">
        <v>2453</v>
      </c>
    </row>
    <row r="897" spans="1:2">
      <c r="A897" s="3" t="s">
        <v>2450</v>
      </c>
      <c r="B897" s="3" t="s">
        <v>2454</v>
      </c>
    </row>
    <row r="898" spans="1:2">
      <c r="A898" s="3" t="s">
        <v>2450</v>
      </c>
      <c r="B898" s="3" t="s">
        <v>2455</v>
      </c>
    </row>
    <row r="899" spans="1:2">
      <c r="A899" s="3" t="s">
        <v>2450</v>
      </c>
      <c r="B899" s="3" t="s">
        <v>2456</v>
      </c>
    </row>
    <row r="900" spans="1:2">
      <c r="A900" s="3" t="s">
        <v>2450</v>
      </c>
      <c r="B900" s="3" t="s">
        <v>2457</v>
      </c>
    </row>
    <row r="901" spans="1:2">
      <c r="A901" s="3" t="s">
        <v>2450</v>
      </c>
      <c r="B901" s="3" t="s">
        <v>2458</v>
      </c>
    </row>
    <row r="902" spans="1:2">
      <c r="A902" s="3" t="s">
        <v>2459</v>
      </c>
      <c r="B902" s="3" t="s">
        <v>2460</v>
      </c>
    </row>
    <row r="903" spans="1:2">
      <c r="A903" s="3" t="s">
        <v>2459</v>
      </c>
      <c r="B903" s="3" t="s">
        <v>2461</v>
      </c>
    </row>
    <row r="904" spans="1:2">
      <c r="A904" s="3" t="s">
        <v>2459</v>
      </c>
      <c r="B904" s="3" t="s">
        <v>2462</v>
      </c>
    </row>
    <row r="905" spans="1:2">
      <c r="A905" s="3" t="s">
        <v>2463</v>
      </c>
      <c r="B905" s="3" t="s">
        <v>2464</v>
      </c>
    </row>
    <row r="906" spans="1:2">
      <c r="A906" s="3" t="s">
        <v>2463</v>
      </c>
      <c r="B906" s="3" t="s">
        <v>2465</v>
      </c>
    </row>
    <row r="907" spans="1:2">
      <c r="A907" s="3" t="s">
        <v>2463</v>
      </c>
      <c r="B907" s="3" t="s">
        <v>2466</v>
      </c>
    </row>
    <row r="908" spans="1:2">
      <c r="A908" s="3" t="s">
        <v>2463</v>
      </c>
      <c r="B908" s="3" t="s">
        <v>2467</v>
      </c>
    </row>
    <row r="909" spans="1:2">
      <c r="A909" s="3" t="s">
        <v>2468</v>
      </c>
      <c r="B909" s="3" t="s">
        <v>2469</v>
      </c>
    </row>
    <row r="910" spans="1:2">
      <c r="A910" s="3" t="s">
        <v>2468</v>
      </c>
      <c r="B910" s="3" t="s">
        <v>2470</v>
      </c>
    </row>
    <row r="911" spans="1:2">
      <c r="A911" s="3" t="s">
        <v>2468</v>
      </c>
      <c r="B911" s="3" t="s">
        <v>2471</v>
      </c>
    </row>
    <row r="912" spans="1:2">
      <c r="A912" s="3" t="s">
        <v>2468</v>
      </c>
      <c r="B912" s="3" t="s">
        <v>2472</v>
      </c>
    </row>
    <row r="913" spans="1:2">
      <c r="A913" s="3" t="s">
        <v>2468</v>
      </c>
      <c r="B913" s="3" t="s">
        <v>2473</v>
      </c>
    </row>
    <row r="914" spans="1:2">
      <c r="A914" s="3" t="s">
        <v>2468</v>
      </c>
      <c r="B914" s="3" t="s">
        <v>2474</v>
      </c>
    </row>
    <row r="915" spans="1:2">
      <c r="A915" s="3" t="s">
        <v>2468</v>
      </c>
      <c r="B915" s="3" t="s">
        <v>2475</v>
      </c>
    </row>
    <row r="916" spans="1:2">
      <c r="A916" s="3" t="s">
        <v>2468</v>
      </c>
      <c r="B916" s="3" t="s">
        <v>2476</v>
      </c>
    </row>
    <row r="917" spans="1:2">
      <c r="A917" s="3" t="s">
        <v>2468</v>
      </c>
      <c r="B917" s="3" t="s">
        <v>2477</v>
      </c>
    </row>
    <row r="918" spans="1:2">
      <c r="A918" s="3" t="s">
        <v>2468</v>
      </c>
      <c r="B918" s="3" t="s">
        <v>2478</v>
      </c>
    </row>
    <row r="919" spans="1:2">
      <c r="A919" s="3" t="s">
        <v>2468</v>
      </c>
      <c r="B919" s="3" t="s">
        <v>2479</v>
      </c>
    </row>
    <row r="920" spans="1:2">
      <c r="A920" s="3" t="s">
        <v>2468</v>
      </c>
      <c r="B920" s="3" t="s">
        <v>2480</v>
      </c>
    </row>
    <row r="921" spans="1:2">
      <c r="A921" s="3" t="s">
        <v>2468</v>
      </c>
      <c r="B921" s="3" t="s">
        <v>2481</v>
      </c>
    </row>
    <row r="922" spans="1:2">
      <c r="A922" s="3" t="s">
        <v>2468</v>
      </c>
      <c r="B922" s="3" t="s">
        <v>2482</v>
      </c>
    </row>
    <row r="923" spans="1:2">
      <c r="A923" s="3" t="s">
        <v>2468</v>
      </c>
      <c r="B923" s="3" t="s">
        <v>2483</v>
      </c>
    </row>
    <row r="924" spans="1:2">
      <c r="A924" s="3" t="s">
        <v>2468</v>
      </c>
      <c r="B924" s="3" t="s">
        <v>2484</v>
      </c>
    </row>
    <row r="925" spans="1:2">
      <c r="A925" s="3" t="s">
        <v>2485</v>
      </c>
      <c r="B925" s="3" t="s">
        <v>2486</v>
      </c>
    </row>
    <row r="926" spans="1:2">
      <c r="A926" s="3" t="s">
        <v>2485</v>
      </c>
      <c r="B926" s="3" t="s">
        <v>2487</v>
      </c>
    </row>
    <row r="927" spans="1:2">
      <c r="A927" s="3" t="s">
        <v>2485</v>
      </c>
      <c r="B927" s="3" t="s">
        <v>2488</v>
      </c>
    </row>
    <row r="928" spans="1:2">
      <c r="A928" s="3" t="s">
        <v>2485</v>
      </c>
      <c r="B928" s="3" t="s">
        <v>2489</v>
      </c>
    </row>
    <row r="929" spans="1:2">
      <c r="A929" s="3" t="s">
        <v>2490</v>
      </c>
      <c r="B929" s="3" t="s">
        <v>2491</v>
      </c>
    </row>
    <row r="930" spans="1:2">
      <c r="A930" s="3" t="s">
        <v>2490</v>
      </c>
      <c r="B930" s="3" t="s">
        <v>2492</v>
      </c>
    </row>
    <row r="931" spans="1:2">
      <c r="A931" s="3" t="s">
        <v>2490</v>
      </c>
      <c r="B931" s="3" t="s">
        <v>2493</v>
      </c>
    </row>
    <row r="932" spans="1:2">
      <c r="A932" s="3" t="s">
        <v>2494</v>
      </c>
      <c r="B932" s="3" t="s">
        <v>2495</v>
      </c>
    </row>
    <row r="933" spans="1:2">
      <c r="A933" s="3" t="s">
        <v>2494</v>
      </c>
      <c r="B933" s="3" t="s">
        <v>2496</v>
      </c>
    </row>
    <row r="934" spans="1:2">
      <c r="A934" s="3" t="s">
        <v>2494</v>
      </c>
      <c r="B934" s="3" t="s">
        <v>2497</v>
      </c>
    </row>
    <row r="935" spans="1:2">
      <c r="A935" s="3" t="s">
        <v>2494</v>
      </c>
      <c r="B935" s="3" t="s">
        <v>2498</v>
      </c>
    </row>
    <row r="936" spans="1:2">
      <c r="A936" s="3" t="s">
        <v>2494</v>
      </c>
      <c r="B936" s="3" t="s">
        <v>2499</v>
      </c>
    </row>
    <row r="937" spans="1:2">
      <c r="A937" s="3" t="s">
        <v>2494</v>
      </c>
      <c r="B937" s="3" t="s">
        <v>2500</v>
      </c>
    </row>
    <row r="938" spans="1:2">
      <c r="A938" s="3" t="s">
        <v>2494</v>
      </c>
      <c r="B938" s="3" t="s">
        <v>2501</v>
      </c>
    </row>
    <row r="939" spans="1:2">
      <c r="A939" s="3" t="s">
        <v>2494</v>
      </c>
      <c r="B939" s="3" t="s">
        <v>2502</v>
      </c>
    </row>
    <row r="940" spans="1:2">
      <c r="A940" s="3" t="s">
        <v>2503</v>
      </c>
      <c r="B940" s="3" t="s">
        <v>2504</v>
      </c>
    </row>
    <row r="941" spans="1:2">
      <c r="A941" s="3" t="s">
        <v>2503</v>
      </c>
      <c r="B941" s="3" t="s">
        <v>2505</v>
      </c>
    </row>
    <row r="942" spans="1:2">
      <c r="A942" s="3" t="s">
        <v>2506</v>
      </c>
      <c r="B942" s="3" t="s">
        <v>2507</v>
      </c>
    </row>
    <row r="943" spans="1:2">
      <c r="A943" s="3" t="s">
        <v>2506</v>
      </c>
      <c r="B943" s="3" t="s">
        <v>2508</v>
      </c>
    </row>
    <row r="944" spans="1:2">
      <c r="A944" s="3" t="s">
        <v>2506</v>
      </c>
      <c r="B944" s="3" t="s">
        <v>2509</v>
      </c>
    </row>
    <row r="945" spans="1:2">
      <c r="A945" s="3" t="s">
        <v>2506</v>
      </c>
      <c r="B945" s="3" t="s">
        <v>2510</v>
      </c>
    </row>
    <row r="946" spans="1:2">
      <c r="A946" s="3" t="s">
        <v>2511</v>
      </c>
      <c r="B946" s="3" t="s">
        <v>2512</v>
      </c>
    </row>
    <row r="947" spans="1:2">
      <c r="A947" s="3" t="s">
        <v>2511</v>
      </c>
      <c r="B947" s="3" t="s">
        <v>2513</v>
      </c>
    </row>
    <row r="948" spans="1:2">
      <c r="A948" s="3" t="s">
        <v>2511</v>
      </c>
      <c r="B948" s="3" t="s">
        <v>2514</v>
      </c>
    </row>
    <row r="949" spans="1:2">
      <c r="A949" s="3" t="s">
        <v>2511</v>
      </c>
      <c r="B949" s="3" t="s">
        <v>2515</v>
      </c>
    </row>
    <row r="950" spans="1:2">
      <c r="A950" s="3" t="s">
        <v>2511</v>
      </c>
      <c r="B950" s="3" t="s">
        <v>2516</v>
      </c>
    </row>
    <row r="951" spans="1:2">
      <c r="A951" s="3" t="s">
        <v>2517</v>
      </c>
      <c r="B951" s="3" t="s">
        <v>2518</v>
      </c>
    </row>
    <row r="952" spans="1:2">
      <c r="A952" s="3" t="s">
        <v>2517</v>
      </c>
      <c r="B952" s="3" t="s">
        <v>2519</v>
      </c>
    </row>
    <row r="953" spans="1:2">
      <c r="A953" s="3" t="s">
        <v>2517</v>
      </c>
      <c r="B953" s="3" t="s">
        <v>2520</v>
      </c>
    </row>
    <row r="954" spans="1:2">
      <c r="A954" s="3" t="s">
        <v>2517</v>
      </c>
      <c r="B954" s="3" t="s">
        <v>2521</v>
      </c>
    </row>
    <row r="955" spans="1:2">
      <c r="A955" s="3" t="s">
        <v>2517</v>
      </c>
      <c r="B955" s="3" t="s">
        <v>2522</v>
      </c>
    </row>
    <row r="956" spans="1:2">
      <c r="A956" s="3" t="s">
        <v>2517</v>
      </c>
      <c r="B956" s="3" t="s">
        <v>2523</v>
      </c>
    </row>
    <row r="957" spans="1:2">
      <c r="A957" s="3" t="s">
        <v>2517</v>
      </c>
      <c r="B957" s="3" t="s">
        <v>2524</v>
      </c>
    </row>
    <row r="958" spans="1:2">
      <c r="A958" s="3" t="s">
        <v>2517</v>
      </c>
      <c r="B958" s="3" t="s">
        <v>2525</v>
      </c>
    </row>
    <row r="959" spans="1:2">
      <c r="A959" s="3" t="s">
        <v>2517</v>
      </c>
      <c r="B959" s="3" t="s">
        <v>2526</v>
      </c>
    </row>
    <row r="960" spans="1:2">
      <c r="A960" s="3" t="s">
        <v>2517</v>
      </c>
      <c r="B960" s="3" t="s">
        <v>2527</v>
      </c>
    </row>
    <row r="961" spans="1:2">
      <c r="A961" s="3" t="s">
        <v>2517</v>
      </c>
      <c r="B961" s="3" t="s">
        <v>2528</v>
      </c>
    </row>
    <row r="962" spans="1:2">
      <c r="A962" s="3" t="s">
        <v>2529</v>
      </c>
      <c r="B962" s="3" t="s">
        <v>2530</v>
      </c>
    </row>
    <row r="963" spans="1:2">
      <c r="A963" s="3" t="s">
        <v>2529</v>
      </c>
      <c r="B963" s="3" t="s">
        <v>2531</v>
      </c>
    </row>
    <row r="964" spans="1:2">
      <c r="A964" s="3" t="s">
        <v>2529</v>
      </c>
      <c r="B964" s="3" t="s">
        <v>2532</v>
      </c>
    </row>
    <row r="965" spans="1:2">
      <c r="A965" s="3" t="s">
        <v>2529</v>
      </c>
      <c r="B965" s="3" t="s">
        <v>2533</v>
      </c>
    </row>
    <row r="966" spans="1:2">
      <c r="A966" s="3" t="s">
        <v>2529</v>
      </c>
      <c r="B966" s="3" t="s">
        <v>2534</v>
      </c>
    </row>
    <row r="967" spans="1:2">
      <c r="A967" s="3" t="s">
        <v>2529</v>
      </c>
      <c r="B967" s="3" t="s">
        <v>2535</v>
      </c>
    </row>
    <row r="968" spans="1:2">
      <c r="A968" s="3" t="s">
        <v>2536</v>
      </c>
      <c r="B968" s="3" t="s">
        <v>2537</v>
      </c>
    </row>
    <row r="969" spans="1:2">
      <c r="A969" s="3" t="s">
        <v>2536</v>
      </c>
      <c r="B969" s="3" t="s">
        <v>2538</v>
      </c>
    </row>
    <row r="970" spans="1:2">
      <c r="A970" s="3" t="s">
        <v>2536</v>
      </c>
      <c r="B970" s="3" t="s">
        <v>2539</v>
      </c>
    </row>
    <row r="971" spans="1:2">
      <c r="A971" s="3" t="s">
        <v>2536</v>
      </c>
      <c r="B971" s="3" t="s">
        <v>2540</v>
      </c>
    </row>
    <row r="972" spans="1:2">
      <c r="A972" s="3" t="s">
        <v>2541</v>
      </c>
      <c r="B972" s="3" t="s">
        <v>2542</v>
      </c>
    </row>
    <row r="973" spans="1:2">
      <c r="A973" s="3" t="s">
        <v>2541</v>
      </c>
      <c r="B973" s="3" t="s">
        <v>2543</v>
      </c>
    </row>
    <row r="974" spans="1:2">
      <c r="A974" s="3" t="s">
        <v>2541</v>
      </c>
      <c r="B974" s="3" t="s">
        <v>2544</v>
      </c>
    </row>
    <row r="975" spans="1:2">
      <c r="A975" s="3" t="s">
        <v>2541</v>
      </c>
      <c r="B975" s="3" t="s">
        <v>2545</v>
      </c>
    </row>
    <row r="976" spans="1:2">
      <c r="A976" s="3" t="s">
        <v>2546</v>
      </c>
      <c r="B976" s="3" t="s">
        <v>2547</v>
      </c>
    </row>
    <row r="977" spans="1:2">
      <c r="A977" s="3" t="s">
        <v>2546</v>
      </c>
      <c r="B977" s="3" t="s">
        <v>2548</v>
      </c>
    </row>
    <row r="978" spans="1:2">
      <c r="A978" s="3" t="s">
        <v>2546</v>
      </c>
      <c r="B978" s="3" t="s">
        <v>2549</v>
      </c>
    </row>
    <row r="979" spans="1:2">
      <c r="A979" s="3" t="s">
        <v>2550</v>
      </c>
      <c r="B979" s="3" t="s">
        <v>2551</v>
      </c>
    </row>
    <row r="980" spans="1:2">
      <c r="A980" s="3" t="s">
        <v>2550</v>
      </c>
      <c r="B980" s="3" t="s">
        <v>2552</v>
      </c>
    </row>
    <row r="981" spans="1:2">
      <c r="A981" s="3" t="s">
        <v>2550</v>
      </c>
      <c r="B981" s="3" t="s">
        <v>2553</v>
      </c>
    </row>
    <row r="982" spans="1:2">
      <c r="A982" s="3" t="s">
        <v>2550</v>
      </c>
      <c r="B982" s="3" t="s">
        <v>2554</v>
      </c>
    </row>
    <row r="983" spans="1:2">
      <c r="A983" s="3" t="s">
        <v>2550</v>
      </c>
      <c r="B983" s="3" t="s">
        <v>2555</v>
      </c>
    </row>
    <row r="984" spans="1:2">
      <c r="A984" s="3" t="s">
        <v>2550</v>
      </c>
      <c r="B984" s="3" t="s">
        <v>2556</v>
      </c>
    </row>
    <row r="985" spans="1:2">
      <c r="A985" s="3" t="s">
        <v>2550</v>
      </c>
      <c r="B985" s="3" t="s">
        <v>2557</v>
      </c>
    </row>
    <row r="986" spans="1:2">
      <c r="A986" s="3" t="s">
        <v>2550</v>
      </c>
      <c r="B986" s="3" t="s">
        <v>2558</v>
      </c>
    </row>
    <row r="987" spans="1:2">
      <c r="A987" s="3" t="s">
        <v>2559</v>
      </c>
      <c r="B987" s="3" t="s">
        <v>2560</v>
      </c>
    </row>
    <row r="988" spans="1:2">
      <c r="A988" s="3" t="s">
        <v>2559</v>
      </c>
      <c r="B988" s="3" t="s">
        <v>2561</v>
      </c>
    </row>
    <row r="989" spans="1:2">
      <c r="A989" s="3" t="s">
        <v>2559</v>
      </c>
      <c r="B989" s="3" t="s">
        <v>2562</v>
      </c>
    </row>
    <row r="990" spans="1:2">
      <c r="A990" s="3" t="s">
        <v>2559</v>
      </c>
      <c r="B990" s="3" t="s">
        <v>2563</v>
      </c>
    </row>
    <row r="991" spans="1:2">
      <c r="A991" s="3" t="s">
        <v>2559</v>
      </c>
      <c r="B991" s="3" t="s">
        <v>2564</v>
      </c>
    </row>
    <row r="992" spans="1:2">
      <c r="A992" s="3" t="s">
        <v>2559</v>
      </c>
      <c r="B992" s="3" t="s">
        <v>2565</v>
      </c>
    </row>
    <row r="993" spans="1:2">
      <c r="A993" s="3" t="s">
        <v>2559</v>
      </c>
      <c r="B993" s="3" t="s">
        <v>2566</v>
      </c>
    </row>
    <row r="994" spans="1:2">
      <c r="A994" s="3" t="s">
        <v>2559</v>
      </c>
      <c r="B994" s="3" t="s">
        <v>2567</v>
      </c>
    </row>
    <row r="995" spans="1:2">
      <c r="A995" s="3" t="s">
        <v>2559</v>
      </c>
      <c r="B995" s="3" t="s">
        <v>2568</v>
      </c>
    </row>
    <row r="996" spans="1:2">
      <c r="A996" s="3" t="s">
        <v>2559</v>
      </c>
      <c r="B996" s="3" t="s">
        <v>2569</v>
      </c>
    </row>
    <row r="997" spans="1:2">
      <c r="A997" s="3" t="s">
        <v>2559</v>
      </c>
      <c r="B997" s="3" t="s">
        <v>2570</v>
      </c>
    </row>
    <row r="998" spans="1:2">
      <c r="A998" s="3" t="s">
        <v>2559</v>
      </c>
      <c r="B998" s="3" t="s">
        <v>2571</v>
      </c>
    </row>
    <row r="999" spans="1:2">
      <c r="A999" s="3" t="s">
        <v>2559</v>
      </c>
      <c r="B999" s="3" t="s">
        <v>2572</v>
      </c>
    </row>
    <row r="1000" spans="1:2">
      <c r="A1000" s="3" t="s">
        <v>2559</v>
      </c>
      <c r="B1000" s="3" t="s">
        <v>2573</v>
      </c>
    </row>
    <row r="1001" spans="1:2">
      <c r="A1001" s="3" t="s">
        <v>2559</v>
      </c>
      <c r="B1001" s="3" t="s">
        <v>2574</v>
      </c>
    </row>
    <row r="1002" spans="1:2">
      <c r="A1002" s="3" t="s">
        <v>2559</v>
      </c>
      <c r="B1002" s="3" t="s">
        <v>2575</v>
      </c>
    </row>
    <row r="1003" spans="1:2">
      <c r="A1003" s="3" t="s">
        <v>2576</v>
      </c>
      <c r="B1003" s="3" t="s">
        <v>2577</v>
      </c>
    </row>
    <row r="1004" spans="1:2">
      <c r="A1004" s="3" t="s">
        <v>2576</v>
      </c>
      <c r="B1004" s="3" t="s">
        <v>2578</v>
      </c>
    </row>
    <row r="1005" spans="1:2">
      <c r="A1005" s="3" t="s">
        <v>2576</v>
      </c>
      <c r="B1005" s="3" t="s">
        <v>2579</v>
      </c>
    </row>
    <row r="1006" spans="1:2">
      <c r="A1006" s="3" t="s">
        <v>2576</v>
      </c>
      <c r="B1006" s="3" t="s">
        <v>2580</v>
      </c>
    </row>
    <row r="1007" spans="1:2">
      <c r="A1007" s="3" t="s">
        <v>2576</v>
      </c>
      <c r="B1007" s="3" t="s">
        <v>2581</v>
      </c>
    </row>
    <row r="1008" spans="1:2">
      <c r="A1008" s="3" t="s">
        <v>2576</v>
      </c>
      <c r="B1008" s="3" t="s">
        <v>2582</v>
      </c>
    </row>
    <row r="1009" spans="1:2">
      <c r="A1009" s="3" t="s">
        <v>2576</v>
      </c>
      <c r="B1009" s="3" t="s">
        <v>2583</v>
      </c>
    </row>
    <row r="1010" spans="1:2">
      <c r="A1010" s="3" t="s">
        <v>2576</v>
      </c>
      <c r="B1010" s="3" t="s">
        <v>2584</v>
      </c>
    </row>
    <row r="1011" spans="1:2">
      <c r="A1011" s="3" t="s">
        <v>2576</v>
      </c>
      <c r="B1011" s="3" t="s">
        <v>2585</v>
      </c>
    </row>
    <row r="1012" spans="1:2">
      <c r="A1012" s="3" t="s">
        <v>2576</v>
      </c>
      <c r="B1012" s="3" t="s">
        <v>2586</v>
      </c>
    </row>
    <row r="1013" spans="1:2">
      <c r="A1013" s="3" t="s">
        <v>2576</v>
      </c>
      <c r="B1013" s="3" t="s">
        <v>2587</v>
      </c>
    </row>
    <row r="1014" spans="1:2">
      <c r="A1014" s="3" t="s">
        <v>2576</v>
      </c>
      <c r="B1014" s="3" t="s">
        <v>2588</v>
      </c>
    </row>
    <row r="1015" spans="1:2">
      <c r="A1015" s="3" t="s">
        <v>2576</v>
      </c>
      <c r="B1015" s="3" t="s">
        <v>2589</v>
      </c>
    </row>
    <row r="1016" spans="1:2">
      <c r="A1016" s="3" t="s">
        <v>2576</v>
      </c>
      <c r="B1016" s="3" t="s">
        <v>2590</v>
      </c>
    </row>
    <row r="1017" spans="1:2">
      <c r="A1017" s="3" t="s">
        <v>2576</v>
      </c>
      <c r="B1017" s="3" t="s">
        <v>2591</v>
      </c>
    </row>
    <row r="1018" spans="1:2">
      <c r="A1018" s="3" t="s">
        <v>2576</v>
      </c>
      <c r="B1018" s="3" t="s">
        <v>2592</v>
      </c>
    </row>
    <row r="1019" spans="1:2">
      <c r="A1019" s="3" t="s">
        <v>2593</v>
      </c>
      <c r="B1019" s="3" t="s">
        <v>2594</v>
      </c>
    </row>
    <row r="1020" spans="1:2">
      <c r="A1020" s="3" t="s">
        <v>2593</v>
      </c>
      <c r="B1020" s="3" t="s">
        <v>2595</v>
      </c>
    </row>
    <row r="1021" spans="1:2">
      <c r="A1021" s="3" t="s">
        <v>2593</v>
      </c>
      <c r="B1021" s="3" t="s">
        <v>2596</v>
      </c>
    </row>
    <row r="1022" spans="1:2">
      <c r="A1022" s="3" t="s">
        <v>2593</v>
      </c>
      <c r="B1022" s="3" t="s">
        <v>2597</v>
      </c>
    </row>
    <row r="1023" spans="1:2">
      <c r="A1023" s="3" t="s">
        <v>2593</v>
      </c>
      <c r="B1023" s="3" t="s">
        <v>2598</v>
      </c>
    </row>
    <row r="1024" spans="1:2">
      <c r="A1024" s="3" t="s">
        <v>2599</v>
      </c>
      <c r="B1024" s="3" t="s">
        <v>2600</v>
      </c>
    </row>
    <row r="1025" spans="1:2">
      <c r="A1025" s="3" t="s">
        <v>2599</v>
      </c>
      <c r="B1025" s="3" t="s">
        <v>2601</v>
      </c>
    </row>
    <row r="1026" spans="1:2">
      <c r="A1026" s="3" t="s">
        <v>2599</v>
      </c>
      <c r="B1026" s="3" t="s">
        <v>2602</v>
      </c>
    </row>
    <row r="1027" spans="1:2">
      <c r="A1027" s="3" t="s">
        <v>2599</v>
      </c>
      <c r="B1027" s="3" t="s">
        <v>2603</v>
      </c>
    </row>
    <row r="1028" spans="1:2">
      <c r="A1028" s="3" t="s">
        <v>2604</v>
      </c>
      <c r="B1028" s="3" t="s">
        <v>2605</v>
      </c>
    </row>
    <row r="1029" spans="1:2">
      <c r="A1029" s="3" t="s">
        <v>2604</v>
      </c>
      <c r="B1029" s="3" t="s">
        <v>2606</v>
      </c>
    </row>
    <row r="1030" spans="1:2">
      <c r="A1030" s="3" t="s">
        <v>2604</v>
      </c>
      <c r="B1030" s="3" t="s">
        <v>2607</v>
      </c>
    </row>
    <row r="1031" spans="1:2">
      <c r="A1031" s="3" t="s">
        <v>2604</v>
      </c>
      <c r="B1031" s="3" t="s">
        <v>2608</v>
      </c>
    </row>
    <row r="1032" spans="1:2">
      <c r="A1032" s="3" t="s">
        <v>2604</v>
      </c>
      <c r="B1032" s="3" t="s">
        <v>2609</v>
      </c>
    </row>
    <row r="1033" spans="1:2">
      <c r="A1033" s="3" t="s">
        <v>2604</v>
      </c>
      <c r="B1033" s="3" t="s">
        <v>2610</v>
      </c>
    </row>
    <row r="1034" spans="1:2">
      <c r="A1034" s="3" t="s">
        <v>2604</v>
      </c>
      <c r="B1034" s="3" t="s">
        <v>2611</v>
      </c>
    </row>
    <row r="1035" spans="1:2">
      <c r="A1035" s="3" t="s">
        <v>2604</v>
      </c>
      <c r="B1035" s="3" t="s">
        <v>2612</v>
      </c>
    </row>
    <row r="1036" spans="1:2">
      <c r="A1036" s="3" t="s">
        <v>2613</v>
      </c>
      <c r="B1036" s="3" t="s">
        <v>2614</v>
      </c>
    </row>
    <row r="1037" spans="1:2">
      <c r="A1037" s="3" t="s">
        <v>2613</v>
      </c>
      <c r="B1037" s="3" t="s">
        <v>2615</v>
      </c>
    </row>
    <row r="1038" spans="1:2">
      <c r="A1038" s="3" t="s">
        <v>2613</v>
      </c>
      <c r="B1038" s="3" t="s">
        <v>2616</v>
      </c>
    </row>
    <row r="1039" spans="1:2">
      <c r="A1039" s="3" t="s">
        <v>2613</v>
      </c>
      <c r="B1039" s="3" t="s">
        <v>2617</v>
      </c>
    </row>
    <row r="1040" spans="1:2">
      <c r="A1040" s="3" t="s">
        <v>2613</v>
      </c>
      <c r="B1040" s="3" t="s">
        <v>2618</v>
      </c>
    </row>
    <row r="1041" spans="1:2">
      <c r="A1041" s="3" t="s">
        <v>2613</v>
      </c>
      <c r="B1041" s="3" t="s">
        <v>2619</v>
      </c>
    </row>
    <row r="1042" spans="1:2">
      <c r="A1042" s="3" t="s">
        <v>2613</v>
      </c>
      <c r="B1042" s="3" t="s">
        <v>2620</v>
      </c>
    </row>
    <row r="1043" spans="1:2">
      <c r="A1043" s="3" t="s">
        <v>2613</v>
      </c>
      <c r="B1043" s="3" t="s">
        <v>2621</v>
      </c>
    </row>
    <row r="1044" spans="1:2">
      <c r="A1044" s="3" t="s">
        <v>2622</v>
      </c>
      <c r="B1044" s="3" t="s">
        <v>2623</v>
      </c>
    </row>
    <row r="1045" spans="1:2">
      <c r="A1045" s="3" t="s">
        <v>2622</v>
      </c>
      <c r="B1045" s="3" t="s">
        <v>2624</v>
      </c>
    </row>
    <row r="1046" spans="1:2">
      <c r="A1046" s="3" t="s">
        <v>2622</v>
      </c>
      <c r="B1046" s="3" t="s">
        <v>2625</v>
      </c>
    </row>
    <row r="1047" spans="1:2">
      <c r="A1047" s="3" t="s">
        <v>2622</v>
      </c>
      <c r="B1047" s="3" t="s">
        <v>2626</v>
      </c>
    </row>
    <row r="1048" spans="1:2">
      <c r="A1048" s="3" t="s">
        <v>2622</v>
      </c>
      <c r="B1048" s="3" t="s">
        <v>2627</v>
      </c>
    </row>
    <row r="1049" spans="1:2">
      <c r="A1049" s="3" t="s">
        <v>2622</v>
      </c>
      <c r="B1049" s="3" t="s">
        <v>2628</v>
      </c>
    </row>
    <row r="1050" spans="1:2">
      <c r="A1050" s="3" t="s">
        <v>2622</v>
      </c>
      <c r="B1050" s="3" t="s">
        <v>2629</v>
      </c>
    </row>
    <row r="1051" spans="1:2">
      <c r="A1051" s="3" t="s">
        <v>2622</v>
      </c>
      <c r="B1051" s="3" t="s">
        <v>2630</v>
      </c>
    </row>
    <row r="1052" spans="1:2">
      <c r="A1052" s="3" t="s">
        <v>2631</v>
      </c>
      <c r="B1052" s="3" t="s">
        <v>2632</v>
      </c>
    </row>
    <row r="1053" spans="1:2">
      <c r="A1053" s="3" t="s">
        <v>2631</v>
      </c>
      <c r="B1053" s="3" t="s">
        <v>2633</v>
      </c>
    </row>
    <row r="1054" spans="1:2">
      <c r="A1054" s="3" t="s">
        <v>2631</v>
      </c>
      <c r="B1054" s="3" t="s">
        <v>2634</v>
      </c>
    </row>
    <row r="1055" spans="1:2">
      <c r="A1055" s="3" t="s">
        <v>2631</v>
      </c>
      <c r="B1055" s="3" t="s">
        <v>2635</v>
      </c>
    </row>
    <row r="1056" spans="1:2">
      <c r="A1056" s="3" t="s">
        <v>2631</v>
      </c>
      <c r="B1056" s="3" t="s">
        <v>2636</v>
      </c>
    </row>
    <row r="1057" spans="1:2">
      <c r="A1057" s="3" t="s">
        <v>2631</v>
      </c>
      <c r="B1057" s="3" t="s">
        <v>2637</v>
      </c>
    </row>
    <row r="1058" spans="1:2">
      <c r="A1058" s="3" t="s">
        <v>2631</v>
      </c>
      <c r="B1058" s="3" t="s">
        <v>2638</v>
      </c>
    </row>
    <row r="1059" spans="1:2">
      <c r="A1059" s="3" t="s">
        <v>2639</v>
      </c>
      <c r="B1059" s="3" t="s">
        <v>2640</v>
      </c>
    </row>
    <row r="1060" spans="1:2">
      <c r="A1060" s="3" t="s">
        <v>2639</v>
      </c>
      <c r="B1060" s="3" t="s">
        <v>2641</v>
      </c>
    </row>
    <row r="1061" spans="1:2">
      <c r="A1061" s="3" t="s">
        <v>2639</v>
      </c>
      <c r="B1061" s="3" t="s">
        <v>2642</v>
      </c>
    </row>
    <row r="1062" spans="1:2">
      <c r="A1062" s="3" t="s">
        <v>2639</v>
      </c>
      <c r="B1062" s="3" t="s">
        <v>2643</v>
      </c>
    </row>
    <row r="1063" spans="1:2">
      <c r="A1063" s="3" t="s">
        <v>2639</v>
      </c>
      <c r="B1063" s="3" t="s">
        <v>2644</v>
      </c>
    </row>
    <row r="1064" spans="1:2">
      <c r="A1064" s="3" t="s">
        <v>2639</v>
      </c>
      <c r="B1064" s="3" t="s">
        <v>2645</v>
      </c>
    </row>
    <row r="1065" spans="1:2">
      <c r="A1065" s="3" t="s">
        <v>2639</v>
      </c>
      <c r="B1065" s="3" t="s">
        <v>2646</v>
      </c>
    </row>
    <row r="1066" spans="1:2">
      <c r="A1066" s="3" t="s">
        <v>2639</v>
      </c>
      <c r="B1066" s="3" t="s">
        <v>2647</v>
      </c>
    </row>
    <row r="1067" spans="1:2">
      <c r="A1067" s="3" t="s">
        <v>2648</v>
      </c>
      <c r="B1067" s="3" t="s">
        <v>2649</v>
      </c>
    </row>
    <row r="1068" spans="1:2">
      <c r="A1068" s="3" t="s">
        <v>2648</v>
      </c>
      <c r="B1068" s="3" t="s">
        <v>2650</v>
      </c>
    </row>
    <row r="1069" spans="1:2">
      <c r="A1069" s="3" t="s">
        <v>2648</v>
      </c>
      <c r="B1069" s="3" t="s">
        <v>2651</v>
      </c>
    </row>
    <row r="1070" spans="1:2">
      <c r="A1070" s="3" t="s">
        <v>2652</v>
      </c>
      <c r="B1070" s="3" t="s">
        <v>2653</v>
      </c>
    </row>
    <row r="1071" spans="1:2">
      <c r="A1071" s="3" t="s">
        <v>2652</v>
      </c>
      <c r="B1071" s="3" t="s">
        <v>2654</v>
      </c>
    </row>
    <row r="1072" spans="1:2">
      <c r="A1072" s="3" t="s">
        <v>2652</v>
      </c>
      <c r="B1072" s="3" t="s">
        <v>2655</v>
      </c>
    </row>
    <row r="1073" spans="1:2">
      <c r="A1073" s="3" t="s">
        <v>2652</v>
      </c>
      <c r="B1073" s="3" t="s">
        <v>2656</v>
      </c>
    </row>
    <row r="1074" spans="1:2">
      <c r="A1074" s="3" t="s">
        <v>2657</v>
      </c>
      <c r="B1074" s="3" t="s">
        <v>2658</v>
      </c>
    </row>
    <row r="1075" spans="1:2">
      <c r="A1075" s="3" t="s">
        <v>2657</v>
      </c>
      <c r="B1075" s="3" t="s">
        <v>2659</v>
      </c>
    </row>
    <row r="1076" spans="1:2">
      <c r="A1076" s="3" t="s">
        <v>2660</v>
      </c>
      <c r="B1076" s="3" t="s">
        <v>2661</v>
      </c>
    </row>
    <row r="1077" spans="1:2">
      <c r="A1077" s="3" t="s">
        <v>2660</v>
      </c>
      <c r="B1077" s="3" t="s">
        <v>2662</v>
      </c>
    </row>
    <row r="1078" spans="1:2">
      <c r="A1078" s="3" t="s">
        <v>2663</v>
      </c>
      <c r="B1078" s="3" t="s">
        <v>2664</v>
      </c>
    </row>
    <row r="1079" spans="1:2">
      <c r="A1079" s="3" t="s">
        <v>2663</v>
      </c>
      <c r="B1079" s="3" t="s">
        <v>2665</v>
      </c>
    </row>
    <row r="1080" spans="1:2">
      <c r="A1080" s="3" t="s">
        <v>2663</v>
      </c>
      <c r="B1080" s="3" t="s">
        <v>2666</v>
      </c>
    </row>
    <row r="1081" spans="1:2">
      <c r="A1081" s="3" t="s">
        <v>2667</v>
      </c>
      <c r="B1081" s="3" t="s">
        <v>2668</v>
      </c>
    </row>
    <row r="1082" spans="1:2">
      <c r="A1082" s="3" t="s">
        <v>2667</v>
      </c>
      <c r="B1082" s="3" t="s">
        <v>2669</v>
      </c>
    </row>
    <row r="1083" spans="1:2">
      <c r="A1083" s="3" t="s">
        <v>2667</v>
      </c>
      <c r="B1083" s="3" t="s">
        <v>2670</v>
      </c>
    </row>
    <row r="1084" spans="1:2">
      <c r="A1084" s="3" t="s">
        <v>2671</v>
      </c>
      <c r="B1084" s="3" t="s">
        <v>2672</v>
      </c>
    </row>
    <row r="1085" spans="1:2">
      <c r="A1085" s="3" t="s">
        <v>2671</v>
      </c>
      <c r="B1085" s="3" t="s">
        <v>2673</v>
      </c>
    </row>
    <row r="1086" spans="1:2">
      <c r="A1086" s="3" t="s">
        <v>2671</v>
      </c>
      <c r="B1086" s="3" t="s">
        <v>2674</v>
      </c>
    </row>
    <row r="1087" spans="1:2">
      <c r="A1087" s="3" t="s">
        <v>2671</v>
      </c>
      <c r="B1087" s="3" t="s">
        <v>2675</v>
      </c>
    </row>
    <row r="1088" spans="1:2">
      <c r="A1088" s="3" t="s">
        <v>2676</v>
      </c>
      <c r="B1088" s="3" t="s">
        <v>2677</v>
      </c>
    </row>
    <row r="1089" spans="1:2">
      <c r="A1089" s="3" t="s">
        <v>2676</v>
      </c>
      <c r="B1089" s="3" t="s">
        <v>2678</v>
      </c>
    </row>
    <row r="1090" spans="1:2">
      <c r="A1090" s="3" t="s">
        <v>2676</v>
      </c>
      <c r="B1090" s="3" t="s">
        <v>2679</v>
      </c>
    </row>
    <row r="1091" spans="1:2">
      <c r="A1091" s="3" t="s">
        <v>2680</v>
      </c>
      <c r="B1091" s="3" t="s">
        <v>2681</v>
      </c>
    </row>
    <row r="1092" spans="1:2">
      <c r="A1092" s="3" t="s">
        <v>2680</v>
      </c>
      <c r="B1092" s="3" t="s">
        <v>2682</v>
      </c>
    </row>
    <row r="1093" spans="1:2">
      <c r="A1093" s="3" t="s">
        <v>2680</v>
      </c>
      <c r="B1093" s="3" t="s">
        <v>2683</v>
      </c>
    </row>
    <row r="1094" spans="1:2">
      <c r="A1094" s="3" t="s">
        <v>2680</v>
      </c>
      <c r="B1094" s="3" t="s">
        <v>2684</v>
      </c>
    </row>
    <row r="1095" spans="1:2">
      <c r="A1095" s="3" t="s">
        <v>2685</v>
      </c>
      <c r="B1095" s="3" t="s">
        <v>2686</v>
      </c>
    </row>
    <row r="1096" spans="1:2">
      <c r="A1096" s="3" t="s">
        <v>2685</v>
      </c>
      <c r="B1096" s="3" t="s">
        <v>2687</v>
      </c>
    </row>
    <row r="1097" spans="1:2">
      <c r="A1097" s="3" t="s">
        <v>2685</v>
      </c>
      <c r="B1097" s="3" t="s">
        <v>2688</v>
      </c>
    </row>
    <row r="1098" spans="1:2">
      <c r="A1098" s="3" t="s">
        <v>2685</v>
      </c>
      <c r="B1098" s="3" t="s">
        <v>2689</v>
      </c>
    </row>
    <row r="1099" spans="1:2">
      <c r="A1099" s="3" t="s">
        <v>2685</v>
      </c>
      <c r="B1099" s="3" t="s">
        <v>2690</v>
      </c>
    </row>
    <row r="1100" spans="1:2">
      <c r="A1100" s="3" t="s">
        <v>2685</v>
      </c>
      <c r="B1100" s="3" t="s">
        <v>2691</v>
      </c>
    </row>
    <row r="1101" spans="1:2">
      <c r="A1101" s="3" t="s">
        <v>2692</v>
      </c>
      <c r="B1101" s="3" t="s">
        <v>2693</v>
      </c>
    </row>
    <row r="1102" spans="1:2">
      <c r="A1102" s="3" t="s">
        <v>2692</v>
      </c>
      <c r="B1102" s="3" t="s">
        <v>2694</v>
      </c>
    </row>
    <row r="1103" spans="1:2">
      <c r="A1103" s="3" t="s">
        <v>2695</v>
      </c>
      <c r="B1103" s="3" t="s">
        <v>2696</v>
      </c>
    </row>
    <row r="1104" spans="1:2">
      <c r="A1104" s="3" t="s">
        <v>2695</v>
      </c>
      <c r="B1104" s="3" t="s">
        <v>2697</v>
      </c>
    </row>
    <row r="1105" spans="1:2">
      <c r="A1105" s="3" t="s">
        <v>2698</v>
      </c>
      <c r="B1105" s="3" t="s">
        <v>2699</v>
      </c>
    </row>
    <row r="1106" spans="1:2">
      <c r="A1106" s="3" t="s">
        <v>2698</v>
      </c>
      <c r="B1106" s="3" t="s">
        <v>2700</v>
      </c>
    </row>
    <row r="1107" spans="1:2">
      <c r="A1107" s="3" t="s">
        <v>2701</v>
      </c>
      <c r="B1107" s="3" t="s">
        <v>2702</v>
      </c>
    </row>
    <row r="1108" spans="1:2">
      <c r="A1108" s="3" t="s">
        <v>2701</v>
      </c>
      <c r="B1108" s="3" t="s">
        <v>2703</v>
      </c>
    </row>
    <row r="1109" spans="1:2">
      <c r="A1109" s="3" t="s">
        <v>2701</v>
      </c>
      <c r="B1109" s="3" t="s">
        <v>2704</v>
      </c>
    </row>
    <row r="1110" spans="1:2">
      <c r="A1110" s="3" t="s">
        <v>2701</v>
      </c>
      <c r="B1110" s="3" t="s">
        <v>2705</v>
      </c>
    </row>
    <row r="1111" spans="1:2">
      <c r="A1111" s="3" t="s">
        <v>2706</v>
      </c>
      <c r="B1111" s="3" t="s">
        <v>2707</v>
      </c>
    </row>
    <row r="1112" spans="1:2">
      <c r="A1112" s="3" t="s">
        <v>2706</v>
      </c>
      <c r="B1112" s="3" t="s">
        <v>2708</v>
      </c>
    </row>
    <row r="1113" spans="1:2">
      <c r="A1113" s="3" t="s">
        <v>2706</v>
      </c>
      <c r="B1113" s="3" t="s">
        <v>2709</v>
      </c>
    </row>
    <row r="1114" spans="1:2">
      <c r="A1114" s="3" t="s">
        <v>2706</v>
      </c>
      <c r="B1114" s="3" t="s">
        <v>2710</v>
      </c>
    </row>
    <row r="1115" spans="1:2">
      <c r="A1115" s="3" t="s">
        <v>2711</v>
      </c>
      <c r="B1115" s="3" t="s">
        <v>2712</v>
      </c>
    </row>
    <row r="1116" spans="1:2">
      <c r="A1116" s="3" t="s">
        <v>2711</v>
      </c>
      <c r="B1116" s="3" t="s">
        <v>2713</v>
      </c>
    </row>
    <row r="1117" spans="1:2">
      <c r="A1117" s="3" t="s">
        <v>2711</v>
      </c>
      <c r="B1117" s="3" t="s">
        <v>2714</v>
      </c>
    </row>
    <row r="1118" spans="1:2">
      <c r="A1118" s="3" t="s">
        <v>2711</v>
      </c>
      <c r="B1118" s="3" t="s">
        <v>2715</v>
      </c>
    </row>
    <row r="1119" spans="1:2">
      <c r="A1119" s="3" t="s">
        <v>2711</v>
      </c>
      <c r="B1119" s="3" t="s">
        <v>2716</v>
      </c>
    </row>
    <row r="1120" spans="1:2">
      <c r="A1120" s="3" t="s">
        <v>2717</v>
      </c>
      <c r="B1120" s="3" t="s">
        <v>2718</v>
      </c>
    </row>
    <row r="1121" spans="1:2">
      <c r="A1121" s="3" t="s">
        <v>2717</v>
      </c>
      <c r="B1121" s="3" t="s">
        <v>2719</v>
      </c>
    </row>
    <row r="1122" spans="1:2">
      <c r="A1122" s="3" t="s">
        <v>2717</v>
      </c>
      <c r="B1122" s="3" t="s">
        <v>2720</v>
      </c>
    </row>
    <row r="1123" spans="1:2">
      <c r="A1123" s="3" t="s">
        <v>2717</v>
      </c>
      <c r="B1123" s="3" t="s">
        <v>2721</v>
      </c>
    </row>
    <row r="1124" spans="1:2">
      <c r="A1124" s="3" t="s">
        <v>2722</v>
      </c>
      <c r="B1124" s="3" t="s">
        <v>2723</v>
      </c>
    </row>
    <row r="1125" spans="1:2">
      <c r="A1125" s="3" t="s">
        <v>2722</v>
      </c>
      <c r="B1125" s="3" t="s">
        <v>2724</v>
      </c>
    </row>
    <row r="1126" spans="1:2">
      <c r="A1126" s="3" t="s">
        <v>2722</v>
      </c>
      <c r="B1126" s="3" t="s">
        <v>2725</v>
      </c>
    </row>
    <row r="1127" spans="1:2">
      <c r="A1127" s="3" t="s">
        <v>2722</v>
      </c>
      <c r="B1127" s="3" t="s">
        <v>2726</v>
      </c>
    </row>
    <row r="1128" spans="1:2">
      <c r="A1128" s="3" t="s">
        <v>2722</v>
      </c>
      <c r="B1128" s="3" t="s">
        <v>2727</v>
      </c>
    </row>
    <row r="1129" spans="1:2">
      <c r="A1129" s="3" t="s">
        <v>2722</v>
      </c>
      <c r="B1129" s="3" t="s">
        <v>2728</v>
      </c>
    </row>
    <row r="1130" spans="1:2">
      <c r="A1130" s="3" t="s">
        <v>2722</v>
      </c>
      <c r="B1130" s="3" t="s">
        <v>2729</v>
      </c>
    </row>
    <row r="1131" spans="1:2">
      <c r="A1131" s="3" t="s">
        <v>2722</v>
      </c>
      <c r="B1131" s="3" t="s">
        <v>2730</v>
      </c>
    </row>
    <row r="1132" spans="1:2">
      <c r="A1132" s="3" t="s">
        <v>2722</v>
      </c>
      <c r="B1132" s="3" t="s">
        <v>2731</v>
      </c>
    </row>
    <row r="1133" spans="1:2">
      <c r="A1133" s="3" t="s">
        <v>2722</v>
      </c>
      <c r="B1133" s="3" t="s">
        <v>2732</v>
      </c>
    </row>
    <row r="1134" spans="1:2">
      <c r="A1134" s="3" t="s">
        <v>2733</v>
      </c>
      <c r="B1134" s="3" t="s">
        <v>2734</v>
      </c>
    </row>
    <row r="1135" spans="1:2">
      <c r="A1135" s="3" t="s">
        <v>2733</v>
      </c>
      <c r="B1135" s="3" t="s">
        <v>2735</v>
      </c>
    </row>
    <row r="1136" spans="1:2">
      <c r="A1136" s="3" t="s">
        <v>2736</v>
      </c>
      <c r="B1136" s="3" t="s">
        <v>2737</v>
      </c>
    </row>
    <row r="1137" spans="1:2">
      <c r="A1137" s="3" t="s">
        <v>2736</v>
      </c>
      <c r="B1137" s="3" t="s">
        <v>2738</v>
      </c>
    </row>
    <row r="1138" spans="1:2">
      <c r="A1138" s="3" t="s">
        <v>2736</v>
      </c>
      <c r="B1138" s="3" t="s">
        <v>2739</v>
      </c>
    </row>
    <row r="1139" spans="1:2">
      <c r="A1139" s="3" t="s">
        <v>2736</v>
      </c>
      <c r="B1139" s="3" t="s">
        <v>2740</v>
      </c>
    </row>
    <row r="1140" spans="1:2">
      <c r="A1140" s="3" t="s">
        <v>2736</v>
      </c>
      <c r="B1140" s="3" t="s">
        <v>2741</v>
      </c>
    </row>
    <row r="1141" spans="1:2">
      <c r="A1141" s="3" t="s">
        <v>2736</v>
      </c>
      <c r="B1141" s="3" t="s">
        <v>2742</v>
      </c>
    </row>
    <row r="1142" spans="1:2">
      <c r="A1142" s="3" t="s">
        <v>2736</v>
      </c>
      <c r="B1142" s="3" t="s">
        <v>2743</v>
      </c>
    </row>
    <row r="1143" spans="1:2">
      <c r="A1143" s="3" t="s">
        <v>2736</v>
      </c>
      <c r="B1143" s="3" t="s">
        <v>2744</v>
      </c>
    </row>
    <row r="1144" spans="1:2">
      <c r="A1144" s="3" t="s">
        <v>2736</v>
      </c>
      <c r="B1144" s="3" t="s">
        <v>2745</v>
      </c>
    </row>
    <row r="1145" spans="1:2">
      <c r="A1145" s="3" t="s">
        <v>2736</v>
      </c>
      <c r="B1145" s="3" t="s">
        <v>2746</v>
      </c>
    </row>
    <row r="1146" spans="1:2">
      <c r="A1146" s="3" t="s">
        <v>2736</v>
      </c>
      <c r="B1146" s="3" t="s">
        <v>2747</v>
      </c>
    </row>
    <row r="1147" spans="1:2">
      <c r="A1147" s="3" t="s">
        <v>2736</v>
      </c>
      <c r="B1147" s="3" t="s">
        <v>2748</v>
      </c>
    </row>
    <row r="1148" spans="1:2">
      <c r="A1148" s="3" t="s">
        <v>2736</v>
      </c>
      <c r="B1148" s="3" t="s">
        <v>2749</v>
      </c>
    </row>
    <row r="1149" spans="1:2">
      <c r="A1149" s="3" t="s">
        <v>2736</v>
      </c>
      <c r="B1149" s="3" t="s">
        <v>2750</v>
      </c>
    </row>
    <row r="1150" spans="1:2">
      <c r="A1150" s="3" t="s">
        <v>2736</v>
      </c>
      <c r="B1150" s="3" t="s">
        <v>2751</v>
      </c>
    </row>
    <row r="1151" spans="1:2">
      <c r="A1151" s="3" t="s">
        <v>2736</v>
      </c>
      <c r="B1151" s="3" t="s">
        <v>2752</v>
      </c>
    </row>
    <row r="1152" spans="1:2">
      <c r="A1152" s="3" t="s">
        <v>2753</v>
      </c>
      <c r="B1152" s="3" t="s">
        <v>2754</v>
      </c>
    </row>
    <row r="1153" spans="1:2">
      <c r="A1153" s="3" t="s">
        <v>2753</v>
      </c>
      <c r="B1153" s="3" t="s">
        <v>2755</v>
      </c>
    </row>
    <row r="1154" spans="1:2">
      <c r="A1154" s="3" t="s">
        <v>2753</v>
      </c>
      <c r="B1154" s="3" t="s">
        <v>2756</v>
      </c>
    </row>
    <row r="1155" spans="1:2">
      <c r="A1155" s="3" t="s">
        <v>2753</v>
      </c>
      <c r="B1155" s="3" t="s">
        <v>2757</v>
      </c>
    </row>
    <row r="1156" spans="1:2">
      <c r="A1156" s="3" t="s">
        <v>2758</v>
      </c>
      <c r="B1156" s="3" t="s">
        <v>2759</v>
      </c>
    </row>
    <row r="1157" spans="1:2">
      <c r="A1157" s="3" t="s">
        <v>2758</v>
      </c>
      <c r="B1157" s="3" t="s">
        <v>2760</v>
      </c>
    </row>
    <row r="1158" spans="1:2">
      <c r="A1158" s="3" t="s">
        <v>2758</v>
      </c>
      <c r="B1158" s="3" t="s">
        <v>2761</v>
      </c>
    </row>
    <row r="1159" spans="1:2">
      <c r="A1159" s="3" t="s">
        <v>2758</v>
      </c>
      <c r="B1159" s="3" t="s">
        <v>2762</v>
      </c>
    </row>
    <row r="1160" spans="1:2">
      <c r="A1160" s="3" t="s">
        <v>2763</v>
      </c>
      <c r="B1160" s="3" t="s">
        <v>2764</v>
      </c>
    </row>
    <row r="1161" spans="1:2">
      <c r="A1161" s="3" t="s">
        <v>2763</v>
      </c>
      <c r="B1161" s="3" t="s">
        <v>2765</v>
      </c>
    </row>
    <row r="1162" spans="1:2">
      <c r="A1162" s="3" t="s">
        <v>2763</v>
      </c>
      <c r="B1162" s="3" t="s">
        <v>2766</v>
      </c>
    </row>
    <row r="1163" spans="1:2">
      <c r="A1163" s="3" t="s">
        <v>2763</v>
      </c>
      <c r="B1163" s="3" t="s">
        <v>2767</v>
      </c>
    </row>
    <row r="1164" spans="1:2">
      <c r="A1164" s="3" t="s">
        <v>2763</v>
      </c>
      <c r="B1164" s="3" t="s">
        <v>2768</v>
      </c>
    </row>
    <row r="1165" spans="1:2">
      <c r="A1165" s="3" t="s">
        <v>2763</v>
      </c>
      <c r="B1165" s="3" t="s">
        <v>2769</v>
      </c>
    </row>
    <row r="1166" spans="1:2">
      <c r="A1166" s="3" t="s">
        <v>2763</v>
      </c>
      <c r="B1166" s="3" t="s">
        <v>2770</v>
      </c>
    </row>
    <row r="1167" spans="1:2">
      <c r="A1167" s="3" t="s">
        <v>2763</v>
      </c>
      <c r="B1167" s="3" t="s">
        <v>2771</v>
      </c>
    </row>
    <row r="1168" spans="1:2">
      <c r="A1168" s="3" t="s">
        <v>2763</v>
      </c>
      <c r="B1168" s="3" t="s">
        <v>2772</v>
      </c>
    </row>
    <row r="1169" spans="1:2">
      <c r="A1169" s="3" t="s">
        <v>2763</v>
      </c>
      <c r="B1169" s="3" t="s">
        <v>2773</v>
      </c>
    </row>
    <row r="1170" spans="1:2">
      <c r="A1170" s="3" t="s">
        <v>2763</v>
      </c>
      <c r="B1170" s="3" t="s">
        <v>2774</v>
      </c>
    </row>
    <row r="1171" spans="1:2">
      <c r="A1171" s="3" t="s">
        <v>2763</v>
      </c>
      <c r="B1171" s="3" t="s">
        <v>2775</v>
      </c>
    </row>
    <row r="1172" spans="1:2">
      <c r="A1172" s="3" t="s">
        <v>2763</v>
      </c>
      <c r="B1172" s="3" t="s">
        <v>2776</v>
      </c>
    </row>
    <row r="1173" spans="1:2">
      <c r="A1173" s="3" t="s">
        <v>2763</v>
      </c>
      <c r="B1173" s="3" t="s">
        <v>2777</v>
      </c>
    </row>
    <row r="1174" spans="1:2">
      <c r="A1174" s="3" t="s">
        <v>2778</v>
      </c>
      <c r="B1174" s="3" t="s">
        <v>2779</v>
      </c>
    </row>
    <row r="1175" spans="1:2">
      <c r="A1175" s="3" t="s">
        <v>2778</v>
      </c>
      <c r="B1175" s="3" t="s">
        <v>2780</v>
      </c>
    </row>
    <row r="1176" spans="1:2">
      <c r="A1176" s="3" t="s">
        <v>2778</v>
      </c>
      <c r="B1176" s="3" t="s">
        <v>2781</v>
      </c>
    </row>
    <row r="1177" spans="1:2">
      <c r="A1177" s="3" t="s">
        <v>2778</v>
      </c>
      <c r="B1177" s="3" t="s">
        <v>2782</v>
      </c>
    </row>
    <row r="1178" spans="1:2">
      <c r="A1178" s="3" t="s">
        <v>2778</v>
      </c>
      <c r="B1178" s="3" t="s">
        <v>2783</v>
      </c>
    </row>
    <row r="1179" spans="1:2">
      <c r="A1179" s="3" t="s">
        <v>2784</v>
      </c>
      <c r="B1179" s="3" t="s">
        <v>2785</v>
      </c>
    </row>
    <row r="1180" spans="1:2">
      <c r="A1180" s="3" t="s">
        <v>2784</v>
      </c>
      <c r="B1180" s="3" t="s">
        <v>2786</v>
      </c>
    </row>
    <row r="1181" spans="1:2">
      <c r="A1181" s="3" t="s">
        <v>2784</v>
      </c>
      <c r="B1181" s="3" t="s">
        <v>2787</v>
      </c>
    </row>
    <row r="1182" spans="1:2">
      <c r="A1182" s="3" t="s">
        <v>2784</v>
      </c>
      <c r="B1182" s="3" t="s">
        <v>2788</v>
      </c>
    </row>
    <row r="1183" spans="1:2">
      <c r="A1183" s="3" t="s">
        <v>2784</v>
      </c>
      <c r="B1183" s="3" t="s">
        <v>2789</v>
      </c>
    </row>
    <row r="1184" spans="1:2">
      <c r="A1184" s="3" t="s">
        <v>2784</v>
      </c>
      <c r="B1184" s="3" t="s">
        <v>2790</v>
      </c>
    </row>
    <row r="1185" spans="1:2">
      <c r="A1185" s="3" t="s">
        <v>2784</v>
      </c>
      <c r="B1185" s="3" t="s">
        <v>2791</v>
      </c>
    </row>
    <row r="1186" spans="1:2">
      <c r="A1186" s="3" t="s">
        <v>2784</v>
      </c>
      <c r="B1186" s="3" t="s">
        <v>2792</v>
      </c>
    </row>
    <row r="1187" spans="1:2">
      <c r="A1187" s="3" t="s">
        <v>2784</v>
      </c>
      <c r="B1187" s="3" t="s">
        <v>2793</v>
      </c>
    </row>
    <row r="1188" spans="1:2">
      <c r="A1188" s="3" t="s">
        <v>2784</v>
      </c>
      <c r="B1188" s="3" t="s">
        <v>2794</v>
      </c>
    </row>
    <row r="1189" spans="1:2">
      <c r="A1189" s="3" t="s">
        <v>2784</v>
      </c>
      <c r="B1189" s="3" t="s">
        <v>2795</v>
      </c>
    </row>
    <row r="1190" spans="1:2">
      <c r="A1190" s="3" t="s">
        <v>2784</v>
      </c>
      <c r="B1190" s="3" t="s">
        <v>2796</v>
      </c>
    </row>
    <row r="1191" spans="1:2">
      <c r="A1191" s="3" t="s">
        <v>2784</v>
      </c>
      <c r="B1191" s="3" t="s">
        <v>2797</v>
      </c>
    </row>
    <row r="1192" spans="1:2">
      <c r="A1192" s="3" t="s">
        <v>2784</v>
      </c>
      <c r="B1192" s="3" t="s">
        <v>2798</v>
      </c>
    </row>
    <row r="1193" spans="1:2">
      <c r="A1193" s="3" t="s">
        <v>2784</v>
      </c>
      <c r="B1193" s="3" t="s">
        <v>2799</v>
      </c>
    </row>
    <row r="1194" spans="1:2">
      <c r="A1194" s="3" t="s">
        <v>2784</v>
      </c>
      <c r="B1194" s="3" t="s">
        <v>2800</v>
      </c>
    </row>
    <row r="1195" spans="1:2">
      <c r="A1195" s="3" t="s">
        <v>2801</v>
      </c>
      <c r="B1195" s="3" t="s">
        <v>2802</v>
      </c>
    </row>
    <row r="1196" spans="1:2">
      <c r="A1196" s="3" t="s">
        <v>2801</v>
      </c>
      <c r="B1196" s="3" t="s">
        <v>2803</v>
      </c>
    </row>
    <row r="1197" spans="1:2">
      <c r="A1197" s="3" t="s">
        <v>2804</v>
      </c>
      <c r="B1197" s="3" t="s">
        <v>2805</v>
      </c>
    </row>
    <row r="1198" spans="1:2">
      <c r="A1198" s="3" t="s">
        <v>2804</v>
      </c>
      <c r="B1198" s="3" t="s">
        <v>2806</v>
      </c>
    </row>
    <row r="1199" spans="1:2">
      <c r="A1199" s="3" t="s">
        <v>2804</v>
      </c>
      <c r="B1199" s="3" t="s">
        <v>2807</v>
      </c>
    </row>
    <row r="1200" spans="1:2">
      <c r="A1200" s="3" t="s">
        <v>2804</v>
      </c>
      <c r="B1200" s="3" t="s">
        <v>2808</v>
      </c>
    </row>
    <row r="1201" spans="1:2">
      <c r="A1201" s="3" t="s">
        <v>2804</v>
      </c>
      <c r="B1201" s="3" t="s">
        <v>2809</v>
      </c>
    </row>
    <row r="1202" spans="1:2">
      <c r="A1202" s="3" t="s">
        <v>2804</v>
      </c>
      <c r="B1202" s="3" t="s">
        <v>2810</v>
      </c>
    </row>
    <row r="1203" spans="1:2">
      <c r="A1203" s="3" t="s">
        <v>2804</v>
      </c>
      <c r="B1203" s="3" t="s">
        <v>2811</v>
      </c>
    </row>
    <row r="1204" spans="1:2">
      <c r="A1204" s="3" t="s">
        <v>2804</v>
      </c>
      <c r="B1204" s="3" t="s">
        <v>2812</v>
      </c>
    </row>
    <row r="1205" spans="1:2">
      <c r="A1205" s="3" t="s">
        <v>2813</v>
      </c>
      <c r="B1205" s="3" t="s">
        <v>2814</v>
      </c>
    </row>
    <row r="1206" spans="1:2">
      <c r="A1206" s="3" t="s">
        <v>2813</v>
      </c>
      <c r="B1206" s="3" t="s">
        <v>2815</v>
      </c>
    </row>
    <row r="1207" spans="1:2">
      <c r="A1207" s="3" t="s">
        <v>2813</v>
      </c>
      <c r="B1207" s="3" t="s">
        <v>2816</v>
      </c>
    </row>
    <row r="1208" spans="1:2">
      <c r="A1208" s="3" t="s">
        <v>2817</v>
      </c>
      <c r="B1208" s="3" t="s">
        <v>2818</v>
      </c>
    </row>
    <row r="1209" spans="1:2">
      <c r="A1209" s="3" t="s">
        <v>2817</v>
      </c>
      <c r="B1209" s="3" t="s">
        <v>2819</v>
      </c>
    </row>
    <row r="1210" spans="1:2">
      <c r="A1210" s="3" t="s">
        <v>2817</v>
      </c>
      <c r="B1210" s="3" t="s">
        <v>2820</v>
      </c>
    </row>
    <row r="1211" spans="1:2">
      <c r="A1211" s="3" t="s">
        <v>2817</v>
      </c>
      <c r="B1211" s="3" t="s">
        <v>2821</v>
      </c>
    </row>
    <row r="1212" spans="1:2">
      <c r="A1212" s="3" t="s">
        <v>2817</v>
      </c>
      <c r="B1212" s="3" t="s">
        <v>2822</v>
      </c>
    </row>
    <row r="1213" spans="1:2">
      <c r="A1213" s="3" t="s">
        <v>2823</v>
      </c>
      <c r="B1213" s="3" t="s">
        <v>2824</v>
      </c>
    </row>
    <row r="1214" spans="1:2">
      <c r="A1214" s="3" t="s">
        <v>2823</v>
      </c>
      <c r="B1214" s="3" t="s">
        <v>2825</v>
      </c>
    </row>
    <row r="1215" spans="1:2">
      <c r="A1215" s="3" t="s">
        <v>2823</v>
      </c>
      <c r="B1215" s="3" t="s">
        <v>2826</v>
      </c>
    </row>
    <row r="1216" spans="1:2">
      <c r="A1216" s="3" t="s">
        <v>2823</v>
      </c>
      <c r="B1216" s="3" t="s">
        <v>2827</v>
      </c>
    </row>
    <row r="1217" spans="1:2">
      <c r="A1217" s="3" t="s">
        <v>2828</v>
      </c>
      <c r="B1217" s="3" t="s">
        <v>2829</v>
      </c>
    </row>
    <row r="1218" spans="1:2">
      <c r="A1218" s="3" t="s">
        <v>2828</v>
      </c>
      <c r="B1218" s="3" t="s">
        <v>2830</v>
      </c>
    </row>
    <row r="1219" spans="1:2">
      <c r="A1219" s="3" t="s">
        <v>2831</v>
      </c>
      <c r="B1219" s="3" t="s">
        <v>2832</v>
      </c>
    </row>
    <row r="1220" spans="1:2">
      <c r="A1220" s="3" t="s">
        <v>2831</v>
      </c>
      <c r="B1220" s="3" t="s">
        <v>2833</v>
      </c>
    </row>
    <row r="1221" spans="1:2">
      <c r="A1221" s="3" t="s">
        <v>2831</v>
      </c>
      <c r="B1221" s="3" t="s">
        <v>2834</v>
      </c>
    </row>
    <row r="1222" spans="1:2">
      <c r="A1222" s="3" t="s">
        <v>2835</v>
      </c>
      <c r="B1222" s="3" t="s">
        <v>2836</v>
      </c>
    </row>
    <row r="1223" spans="1:2">
      <c r="A1223" s="3" t="s">
        <v>2835</v>
      </c>
      <c r="B1223" s="3" t="s">
        <v>2837</v>
      </c>
    </row>
    <row r="1224" spans="1:2">
      <c r="A1224" s="3" t="s">
        <v>2835</v>
      </c>
      <c r="B1224" s="3" t="s">
        <v>2838</v>
      </c>
    </row>
    <row r="1225" spans="1:2">
      <c r="A1225" s="3" t="s">
        <v>2835</v>
      </c>
      <c r="B1225" s="3" t="s">
        <v>1767</v>
      </c>
    </row>
    <row r="1226" spans="1:2">
      <c r="A1226" s="3" t="s">
        <v>2839</v>
      </c>
      <c r="B1226" s="3" t="s">
        <v>2840</v>
      </c>
    </row>
    <row r="1227" spans="1:2">
      <c r="A1227" s="3" t="s">
        <v>2841</v>
      </c>
      <c r="B1227" s="3" t="s">
        <v>2842</v>
      </c>
    </row>
    <row r="1228" spans="1:2">
      <c r="A1228" s="3" t="s">
        <v>2841</v>
      </c>
      <c r="B1228" s="3" t="s">
        <v>2843</v>
      </c>
    </row>
    <row r="1229" spans="1:2">
      <c r="A1229" s="3" t="s">
        <v>2841</v>
      </c>
      <c r="B1229" s="3" t="s">
        <v>2844</v>
      </c>
    </row>
    <row r="1230" spans="1:2">
      <c r="A1230" s="3" t="s">
        <v>2841</v>
      </c>
      <c r="B1230" s="3" t="s">
        <v>2845</v>
      </c>
    </row>
    <row r="1231" spans="1:2">
      <c r="A1231" s="3" t="s">
        <v>2841</v>
      </c>
      <c r="B1231" s="3" t="s">
        <v>2846</v>
      </c>
    </row>
    <row r="1232" spans="1:2">
      <c r="A1232" s="3" t="s">
        <v>2841</v>
      </c>
      <c r="B1232" s="3" t="s">
        <v>2847</v>
      </c>
    </row>
    <row r="1233" spans="1:2">
      <c r="A1233" s="3" t="s">
        <v>2848</v>
      </c>
      <c r="B1233" s="3" t="s">
        <v>2849</v>
      </c>
    </row>
    <row r="1234" spans="1:2">
      <c r="A1234" s="3" t="s">
        <v>2848</v>
      </c>
      <c r="B1234" s="3" t="s">
        <v>2850</v>
      </c>
    </row>
    <row r="1235" spans="1:2">
      <c r="A1235" s="3" t="s">
        <v>2848</v>
      </c>
      <c r="B1235" s="3" t="s">
        <v>2851</v>
      </c>
    </row>
    <row r="1236" spans="1:2">
      <c r="A1236" s="3" t="s">
        <v>2848</v>
      </c>
      <c r="B1236" s="3" t="s">
        <v>2852</v>
      </c>
    </row>
    <row r="1237" spans="1:2">
      <c r="A1237" s="3" t="s">
        <v>2848</v>
      </c>
      <c r="B1237" s="3" t="s">
        <v>2853</v>
      </c>
    </row>
    <row r="1238" spans="1:2">
      <c r="A1238" s="3" t="s">
        <v>2848</v>
      </c>
      <c r="B1238" s="3" t="s">
        <v>2854</v>
      </c>
    </row>
    <row r="1239" spans="1:2">
      <c r="A1239" s="3" t="s">
        <v>2848</v>
      </c>
      <c r="B1239" s="3" t="s">
        <v>2855</v>
      </c>
    </row>
    <row r="1240" spans="1:2">
      <c r="A1240" s="3" t="s">
        <v>2848</v>
      </c>
      <c r="B1240" s="3" t="s">
        <v>2856</v>
      </c>
    </row>
    <row r="1241" spans="1:2">
      <c r="A1241" s="3" t="s">
        <v>2857</v>
      </c>
      <c r="B1241" s="3" t="s">
        <v>2858</v>
      </c>
    </row>
    <row r="1242" spans="1:2">
      <c r="A1242" s="3" t="s">
        <v>2857</v>
      </c>
      <c r="B1242" s="3" t="s">
        <v>2859</v>
      </c>
    </row>
    <row r="1243" spans="1:2">
      <c r="A1243" s="3" t="s">
        <v>2860</v>
      </c>
      <c r="B1243" s="3" t="s">
        <v>2861</v>
      </c>
    </row>
    <row r="1244" spans="1:2">
      <c r="A1244" s="3" t="s">
        <v>2860</v>
      </c>
      <c r="B1244" s="3" t="s">
        <v>2862</v>
      </c>
    </row>
    <row r="1245" spans="1:2">
      <c r="A1245" s="3" t="s">
        <v>2863</v>
      </c>
      <c r="B1245" s="3" t="s">
        <v>2864</v>
      </c>
    </row>
    <row r="1246" spans="1:2">
      <c r="A1246" s="3" t="s">
        <v>2863</v>
      </c>
      <c r="B1246" s="3" t="s">
        <v>2865</v>
      </c>
    </row>
    <row r="1247" spans="1:2">
      <c r="A1247" s="3" t="s">
        <v>2863</v>
      </c>
      <c r="B1247" s="3" t="s">
        <v>2866</v>
      </c>
    </row>
    <row r="1248" spans="1:2">
      <c r="A1248" s="3" t="s">
        <v>2863</v>
      </c>
      <c r="B1248" s="3" t="s">
        <v>2867</v>
      </c>
    </row>
    <row r="1249" spans="1:2">
      <c r="A1249" s="3" t="s">
        <v>2868</v>
      </c>
      <c r="B1249" s="3" t="s">
        <v>2869</v>
      </c>
    </row>
    <row r="1250" spans="1:2">
      <c r="A1250" s="3" t="s">
        <v>2868</v>
      </c>
      <c r="B1250" s="3" t="s">
        <v>2870</v>
      </c>
    </row>
    <row r="1251" spans="1:2">
      <c r="A1251" s="3" t="s">
        <v>2871</v>
      </c>
      <c r="B1251" s="3" t="s">
        <v>2872</v>
      </c>
    </row>
    <row r="1252" spans="1:2">
      <c r="A1252" s="3" t="s">
        <v>2871</v>
      </c>
      <c r="B1252" s="3" t="s">
        <v>2873</v>
      </c>
    </row>
    <row r="1253" spans="1:2">
      <c r="A1253" s="3" t="s">
        <v>2871</v>
      </c>
      <c r="B1253" s="3" t="s">
        <v>2874</v>
      </c>
    </row>
    <row r="1254" spans="1:2">
      <c r="A1254" s="3" t="s">
        <v>2871</v>
      </c>
      <c r="B1254" s="3" t="s">
        <v>2875</v>
      </c>
    </row>
    <row r="1255" spans="1:2">
      <c r="A1255" s="3" t="s">
        <v>2876</v>
      </c>
      <c r="B1255" s="3" t="s">
        <v>2877</v>
      </c>
    </row>
    <row r="1256" spans="1:2">
      <c r="A1256" s="3" t="s">
        <v>2876</v>
      </c>
      <c r="B1256" s="3" t="s">
        <v>2878</v>
      </c>
    </row>
    <row r="1257" spans="1:2">
      <c r="A1257" s="3" t="s">
        <v>2876</v>
      </c>
      <c r="B1257" s="3" t="s">
        <v>2879</v>
      </c>
    </row>
    <row r="1258" spans="1:2">
      <c r="A1258" s="3" t="s">
        <v>2876</v>
      </c>
      <c r="B1258" s="3" t="s">
        <v>2880</v>
      </c>
    </row>
    <row r="1259" spans="1:2">
      <c r="A1259" s="3" t="s">
        <v>2876</v>
      </c>
      <c r="B1259" s="3" t="s">
        <v>2881</v>
      </c>
    </row>
    <row r="1260" spans="1:2">
      <c r="A1260" s="3" t="s">
        <v>2876</v>
      </c>
      <c r="B1260" s="3" t="s">
        <v>2882</v>
      </c>
    </row>
    <row r="1261" spans="1:2">
      <c r="A1261" s="3" t="s">
        <v>2883</v>
      </c>
      <c r="B1261" s="3" t="s">
        <v>2884</v>
      </c>
    </row>
    <row r="1262" spans="1:2">
      <c r="A1262" s="3" t="s">
        <v>2883</v>
      </c>
      <c r="B1262" s="3" t="s">
        <v>2885</v>
      </c>
    </row>
    <row r="1263" spans="1:2">
      <c r="A1263" s="3" t="s">
        <v>2886</v>
      </c>
      <c r="B1263" s="3" t="s">
        <v>2887</v>
      </c>
    </row>
    <row r="1264" spans="1:2">
      <c r="A1264" s="3" t="s">
        <v>2886</v>
      </c>
      <c r="B1264" s="3" t="s">
        <v>2888</v>
      </c>
    </row>
    <row r="1265" spans="1:2">
      <c r="A1265" s="3" t="s">
        <v>2889</v>
      </c>
      <c r="B1265" s="3" t="s">
        <v>2890</v>
      </c>
    </row>
    <row r="1266" spans="1:2">
      <c r="A1266" s="3" t="s">
        <v>2889</v>
      </c>
      <c r="B1266" s="3" t="s">
        <v>2891</v>
      </c>
    </row>
    <row r="1267" spans="1:2">
      <c r="A1267" s="3" t="s">
        <v>2892</v>
      </c>
      <c r="B1267" s="3" t="s">
        <v>2893</v>
      </c>
    </row>
    <row r="1268" spans="1:2">
      <c r="A1268" s="3" t="s">
        <v>2892</v>
      </c>
      <c r="B1268" s="3" t="s">
        <v>2894</v>
      </c>
    </row>
    <row r="1269" spans="1:2">
      <c r="A1269" s="3" t="s">
        <v>2892</v>
      </c>
      <c r="B1269" s="3" t="s">
        <v>2895</v>
      </c>
    </row>
    <row r="1270" spans="1:2">
      <c r="A1270" s="3" t="s">
        <v>2892</v>
      </c>
      <c r="B1270" s="3" t="s">
        <v>2896</v>
      </c>
    </row>
    <row r="1271" spans="1:2">
      <c r="A1271" s="3" t="s">
        <v>2897</v>
      </c>
      <c r="B1271" s="3" t="s">
        <v>2898</v>
      </c>
    </row>
    <row r="1272" spans="1:2">
      <c r="A1272" s="3" t="s">
        <v>2897</v>
      </c>
      <c r="B1272" s="3" t="s">
        <v>2899</v>
      </c>
    </row>
    <row r="1273" spans="1:2">
      <c r="A1273" s="3" t="s">
        <v>2900</v>
      </c>
      <c r="B1273" s="3" t="s">
        <v>2901</v>
      </c>
    </row>
    <row r="1274" spans="1:2">
      <c r="A1274" s="3" t="s">
        <v>2900</v>
      </c>
      <c r="B1274" s="3" t="s">
        <v>2902</v>
      </c>
    </row>
    <row r="1275" spans="1:2">
      <c r="A1275" s="3" t="s">
        <v>2900</v>
      </c>
      <c r="B1275" s="3" t="s">
        <v>2903</v>
      </c>
    </row>
    <row r="1276" spans="1:2">
      <c r="A1276" s="3" t="s">
        <v>2904</v>
      </c>
      <c r="B1276" s="3" t="s">
        <v>2905</v>
      </c>
    </row>
    <row r="1277" spans="1:2">
      <c r="A1277" s="3" t="s">
        <v>2904</v>
      </c>
      <c r="B1277" s="3" t="s">
        <v>2906</v>
      </c>
    </row>
    <row r="1278" spans="1:2">
      <c r="A1278" s="3" t="s">
        <v>2904</v>
      </c>
      <c r="B1278" s="3" t="s">
        <v>2907</v>
      </c>
    </row>
    <row r="1279" spans="1:2">
      <c r="A1279" s="3" t="s">
        <v>2904</v>
      </c>
      <c r="B1279" s="3" t="s">
        <v>2908</v>
      </c>
    </row>
    <row r="1280" spans="1:2">
      <c r="A1280" s="3" t="s">
        <v>2909</v>
      </c>
      <c r="B1280" s="3" t="s">
        <v>2910</v>
      </c>
    </row>
    <row r="1281" spans="1:2">
      <c r="A1281" s="3" t="s">
        <v>2909</v>
      </c>
      <c r="B1281" s="3" t="s">
        <v>2911</v>
      </c>
    </row>
    <row r="1282" spans="1:2">
      <c r="A1282" s="3" t="s">
        <v>2909</v>
      </c>
      <c r="B1282" s="3" t="s">
        <v>2912</v>
      </c>
    </row>
    <row r="1283" spans="1:2">
      <c r="A1283" s="3" t="s">
        <v>2909</v>
      </c>
      <c r="B1283" s="3" t="s">
        <v>2913</v>
      </c>
    </row>
    <row r="1284" spans="1:2">
      <c r="A1284" s="3" t="s">
        <v>2909</v>
      </c>
      <c r="B1284" s="3" t="s">
        <v>2914</v>
      </c>
    </row>
    <row r="1285" spans="1:2">
      <c r="A1285" s="3" t="s">
        <v>2909</v>
      </c>
      <c r="B1285" s="3" t="s">
        <v>2915</v>
      </c>
    </row>
    <row r="1286" spans="1:2">
      <c r="A1286" s="3" t="s">
        <v>2909</v>
      </c>
      <c r="B1286" s="3" t="s">
        <v>2916</v>
      </c>
    </row>
    <row r="1287" spans="1:2">
      <c r="A1287" s="3" t="s">
        <v>2909</v>
      </c>
      <c r="B1287" s="3" t="s">
        <v>2917</v>
      </c>
    </row>
    <row r="1288" spans="1:2">
      <c r="A1288" s="3" t="s">
        <v>2918</v>
      </c>
      <c r="B1288" s="3" t="s">
        <v>2919</v>
      </c>
    </row>
    <row r="1289" spans="1:2">
      <c r="A1289" s="3" t="s">
        <v>2918</v>
      </c>
      <c r="B1289" s="3" t="s">
        <v>2920</v>
      </c>
    </row>
    <row r="1290" spans="1:2">
      <c r="A1290" s="3" t="s">
        <v>2918</v>
      </c>
      <c r="B1290" s="3" t="s">
        <v>2921</v>
      </c>
    </row>
    <row r="1291" spans="1:2">
      <c r="A1291" s="3" t="s">
        <v>2918</v>
      </c>
      <c r="B1291" s="3" t="s">
        <v>2922</v>
      </c>
    </row>
    <row r="1292" spans="1:2">
      <c r="A1292" s="3" t="s">
        <v>2923</v>
      </c>
      <c r="B1292" s="3" t="s">
        <v>2924</v>
      </c>
    </row>
    <row r="1293" spans="1:2">
      <c r="A1293" s="3" t="s">
        <v>2923</v>
      </c>
      <c r="B1293" s="3" t="s">
        <v>2925</v>
      </c>
    </row>
    <row r="1294" spans="1:2">
      <c r="A1294" s="3" t="s">
        <v>2923</v>
      </c>
      <c r="B1294" s="3" t="s">
        <v>2926</v>
      </c>
    </row>
    <row r="1295" spans="1:2">
      <c r="A1295" s="3" t="s">
        <v>2923</v>
      </c>
      <c r="B1295" s="3" t="s">
        <v>2927</v>
      </c>
    </row>
    <row r="1296" spans="1:2">
      <c r="A1296" s="3" t="s">
        <v>2923</v>
      </c>
      <c r="B1296" s="3" t="s">
        <v>2928</v>
      </c>
    </row>
    <row r="1297" spans="1:2">
      <c r="A1297" s="3" t="s">
        <v>2923</v>
      </c>
      <c r="B1297" s="3" t="s">
        <v>2929</v>
      </c>
    </row>
    <row r="1298" spans="1:2">
      <c r="A1298" s="3" t="s">
        <v>2923</v>
      </c>
      <c r="B1298" s="3" t="s">
        <v>2930</v>
      </c>
    </row>
    <row r="1299" spans="1:2">
      <c r="A1299" s="3" t="s">
        <v>2923</v>
      </c>
      <c r="B1299" s="3" t="s">
        <v>2931</v>
      </c>
    </row>
    <row r="1300" spans="1:2">
      <c r="A1300" s="3" t="s">
        <v>2923</v>
      </c>
      <c r="B1300" s="3" t="s">
        <v>2932</v>
      </c>
    </row>
    <row r="1301" spans="1:2">
      <c r="A1301" s="3" t="s">
        <v>2923</v>
      </c>
      <c r="B1301" s="3" t="s">
        <v>2933</v>
      </c>
    </row>
    <row r="1302" spans="1:2">
      <c r="A1302" s="3" t="s">
        <v>2923</v>
      </c>
      <c r="B1302" s="3" t="s">
        <v>2934</v>
      </c>
    </row>
    <row r="1303" spans="1:2">
      <c r="A1303" s="3" t="s">
        <v>2923</v>
      </c>
      <c r="B1303" s="3" t="s">
        <v>2935</v>
      </c>
    </row>
    <row r="1304" spans="1:2">
      <c r="A1304" s="3" t="s">
        <v>2936</v>
      </c>
      <c r="B1304" s="3" t="s">
        <v>2937</v>
      </c>
    </row>
    <row r="1305" spans="1:2">
      <c r="A1305" s="3" t="s">
        <v>2936</v>
      </c>
      <c r="B1305" s="3" t="s">
        <v>2938</v>
      </c>
    </row>
    <row r="1306" spans="1:2">
      <c r="A1306" s="3" t="s">
        <v>2936</v>
      </c>
      <c r="B1306" s="3" t="s">
        <v>2939</v>
      </c>
    </row>
    <row r="1307" spans="1:2">
      <c r="A1307" s="3" t="s">
        <v>2936</v>
      </c>
      <c r="B1307" s="3" t="s">
        <v>2940</v>
      </c>
    </row>
    <row r="1308" spans="1:2">
      <c r="A1308" s="3" t="s">
        <v>2941</v>
      </c>
      <c r="B1308" s="3" t="s">
        <v>2942</v>
      </c>
    </row>
    <row r="1309" spans="1:2">
      <c r="A1309" s="3" t="s">
        <v>2941</v>
      </c>
      <c r="B1309" s="3" t="s">
        <v>2943</v>
      </c>
    </row>
    <row r="1310" spans="1:2">
      <c r="A1310" s="3" t="s">
        <v>2941</v>
      </c>
      <c r="B1310" s="3" t="s">
        <v>2944</v>
      </c>
    </row>
    <row r="1311" spans="1:2">
      <c r="A1311" s="3" t="s">
        <v>2941</v>
      </c>
      <c r="B1311" s="3" t="s">
        <v>2945</v>
      </c>
    </row>
    <row r="1312" spans="1:2">
      <c r="A1312" s="3" t="s">
        <v>2941</v>
      </c>
      <c r="B1312" s="3" t="s">
        <v>2946</v>
      </c>
    </row>
    <row r="1313" spans="1:2">
      <c r="A1313" s="3" t="s">
        <v>2941</v>
      </c>
      <c r="B1313" s="3" t="s">
        <v>2947</v>
      </c>
    </row>
    <row r="1314" spans="1:2">
      <c r="A1314" s="3" t="s">
        <v>2941</v>
      </c>
      <c r="B1314" s="3" t="s">
        <v>2948</v>
      </c>
    </row>
    <row r="1315" spans="1:2">
      <c r="A1315" s="3" t="s">
        <v>2941</v>
      </c>
      <c r="B1315" s="3" t="s">
        <v>2949</v>
      </c>
    </row>
    <row r="1316" spans="1:2">
      <c r="A1316" s="3" t="s">
        <v>2950</v>
      </c>
      <c r="B1316" s="3" t="s">
        <v>2951</v>
      </c>
    </row>
    <row r="1317" spans="1:2">
      <c r="A1317" s="3" t="s">
        <v>2950</v>
      </c>
      <c r="B1317" s="3" t="s">
        <v>2952</v>
      </c>
    </row>
    <row r="1318" spans="1:2">
      <c r="A1318" s="3" t="s">
        <v>2953</v>
      </c>
      <c r="B1318" s="3" t="s">
        <v>2954</v>
      </c>
    </row>
    <row r="1319" spans="1:2">
      <c r="A1319" s="3" t="s">
        <v>2953</v>
      </c>
      <c r="B1319" s="3" t="s">
        <v>2955</v>
      </c>
    </row>
    <row r="1320" spans="1:2">
      <c r="A1320" s="3" t="s">
        <v>2956</v>
      </c>
      <c r="B1320" s="3" t="s">
        <v>2957</v>
      </c>
    </row>
    <row r="1321" spans="1:2">
      <c r="A1321" s="3" t="s">
        <v>2956</v>
      </c>
      <c r="B1321" s="3" t="s">
        <v>2958</v>
      </c>
    </row>
    <row r="1322" spans="1:2">
      <c r="A1322" s="3" t="s">
        <v>2959</v>
      </c>
      <c r="B1322" s="3" t="s">
        <v>2960</v>
      </c>
    </row>
    <row r="1323" spans="1:2">
      <c r="A1323" s="3" t="s">
        <v>2959</v>
      </c>
      <c r="B1323" s="3" t="s">
        <v>2961</v>
      </c>
    </row>
    <row r="1324" spans="1:2">
      <c r="A1324" s="3" t="s">
        <v>2959</v>
      </c>
      <c r="B1324" s="3" t="s">
        <v>2962</v>
      </c>
    </row>
    <row r="1325" spans="1:2">
      <c r="A1325" s="3" t="s">
        <v>2963</v>
      </c>
      <c r="B1325" s="3" t="s">
        <v>2964</v>
      </c>
    </row>
    <row r="1326" spans="1:2">
      <c r="A1326" s="3" t="s">
        <v>2963</v>
      </c>
      <c r="B1326" s="3" t="s">
        <v>2965</v>
      </c>
    </row>
    <row r="1327" spans="1:2">
      <c r="A1327" s="3" t="s">
        <v>2966</v>
      </c>
      <c r="B1327" s="3" t="s">
        <v>2967</v>
      </c>
    </row>
    <row r="1328" spans="1:2">
      <c r="A1328" s="3" t="s">
        <v>2966</v>
      </c>
      <c r="B1328" s="3" t="s">
        <v>2968</v>
      </c>
    </row>
    <row r="1329" spans="1:2">
      <c r="A1329" s="3" t="s">
        <v>2969</v>
      </c>
      <c r="B1329" s="3" t="s">
        <v>2970</v>
      </c>
    </row>
    <row r="1330" spans="1:2">
      <c r="A1330" s="3" t="s">
        <v>2969</v>
      </c>
      <c r="B1330" s="3" t="s">
        <v>2971</v>
      </c>
    </row>
    <row r="1331" spans="1:2">
      <c r="A1331" s="3" t="s">
        <v>2969</v>
      </c>
      <c r="B1331" s="3" t="s">
        <v>2972</v>
      </c>
    </row>
    <row r="1332" spans="1:2">
      <c r="A1332" s="3" t="s">
        <v>2969</v>
      </c>
      <c r="B1332" s="3" t="s">
        <v>2973</v>
      </c>
    </row>
    <row r="1333" spans="1:2">
      <c r="A1333" s="3" t="s">
        <v>2969</v>
      </c>
      <c r="B1333" s="3" t="s">
        <v>2974</v>
      </c>
    </row>
    <row r="1334" spans="1:2">
      <c r="A1334" s="3" t="s">
        <v>2969</v>
      </c>
      <c r="B1334" s="3" t="s">
        <v>2975</v>
      </c>
    </row>
    <row r="1335" spans="1:2">
      <c r="A1335" s="3" t="s">
        <v>2969</v>
      </c>
      <c r="B1335" s="3" t="s">
        <v>2976</v>
      </c>
    </row>
    <row r="1336" spans="1:2">
      <c r="A1336" s="3" t="s">
        <v>2977</v>
      </c>
      <c r="B1336" s="3" t="s">
        <v>2978</v>
      </c>
    </row>
    <row r="1337" spans="1:2">
      <c r="A1337" s="3" t="s">
        <v>2977</v>
      </c>
      <c r="B1337" s="3" t="s">
        <v>2979</v>
      </c>
    </row>
    <row r="1338" spans="1:2">
      <c r="A1338" s="3" t="s">
        <v>2977</v>
      </c>
      <c r="B1338" s="3" t="s">
        <v>2980</v>
      </c>
    </row>
    <row r="1339" spans="1:2">
      <c r="A1339" s="3" t="s">
        <v>2977</v>
      </c>
      <c r="B1339" s="3" t="s">
        <v>2981</v>
      </c>
    </row>
    <row r="1340" spans="1:2">
      <c r="A1340" s="3" t="s">
        <v>2977</v>
      </c>
      <c r="B1340" s="3" t="s">
        <v>2982</v>
      </c>
    </row>
    <row r="1341" spans="1:2">
      <c r="A1341" s="3" t="s">
        <v>2977</v>
      </c>
      <c r="B1341" s="3" t="s">
        <v>2983</v>
      </c>
    </row>
    <row r="1342" spans="1:2">
      <c r="A1342" s="3" t="s">
        <v>2977</v>
      </c>
      <c r="B1342" s="3" t="s">
        <v>2984</v>
      </c>
    </row>
    <row r="1343" spans="1:2">
      <c r="A1343" s="3" t="s">
        <v>2977</v>
      </c>
      <c r="B1343" s="3" t="s">
        <v>2985</v>
      </c>
    </row>
    <row r="1344" spans="1:2">
      <c r="A1344" s="3" t="s">
        <v>2977</v>
      </c>
      <c r="B1344" s="3" t="s">
        <v>2986</v>
      </c>
    </row>
    <row r="1345" spans="1:2">
      <c r="A1345" s="3" t="s">
        <v>2977</v>
      </c>
      <c r="B1345" s="3" t="s">
        <v>2987</v>
      </c>
    </row>
    <row r="1346" spans="1:2">
      <c r="A1346" s="3" t="s">
        <v>2977</v>
      </c>
      <c r="B1346" s="3" t="s">
        <v>2988</v>
      </c>
    </row>
    <row r="1347" spans="1:2">
      <c r="A1347" s="3" t="s">
        <v>2977</v>
      </c>
      <c r="B1347" s="3" t="s">
        <v>2989</v>
      </c>
    </row>
    <row r="1348" spans="1:2">
      <c r="A1348" s="3" t="s">
        <v>2977</v>
      </c>
      <c r="B1348" s="3" t="s">
        <v>2990</v>
      </c>
    </row>
    <row r="1349" spans="1:2">
      <c r="A1349" s="3" t="s">
        <v>2977</v>
      </c>
      <c r="B1349" s="3" t="s">
        <v>2991</v>
      </c>
    </row>
    <row r="1350" spans="1:2">
      <c r="A1350" s="3" t="s">
        <v>2977</v>
      </c>
      <c r="B1350" s="3" t="s">
        <v>2992</v>
      </c>
    </row>
    <row r="1351" spans="1:2">
      <c r="A1351" s="3" t="s">
        <v>2977</v>
      </c>
      <c r="B1351" s="3" t="s">
        <v>2993</v>
      </c>
    </row>
    <row r="1352" spans="1:2">
      <c r="A1352" s="3" t="s">
        <v>2994</v>
      </c>
      <c r="B1352" s="3" t="s">
        <v>2995</v>
      </c>
    </row>
    <row r="1353" spans="1:2">
      <c r="A1353" s="3" t="s">
        <v>2994</v>
      </c>
      <c r="B1353" s="3" t="s">
        <v>2996</v>
      </c>
    </row>
    <row r="1354" spans="1:2">
      <c r="A1354" s="3" t="s">
        <v>2994</v>
      </c>
      <c r="B1354" s="3" t="s">
        <v>2997</v>
      </c>
    </row>
    <row r="1355" spans="1:2">
      <c r="A1355" s="3" t="s">
        <v>2994</v>
      </c>
      <c r="B1355" s="3" t="s">
        <v>2998</v>
      </c>
    </row>
    <row r="1356" spans="1:2">
      <c r="A1356" s="3" t="s">
        <v>2999</v>
      </c>
      <c r="B1356" s="3" t="s">
        <v>3000</v>
      </c>
    </row>
    <row r="1357" spans="1:2">
      <c r="A1357" s="3" t="s">
        <v>2999</v>
      </c>
      <c r="B1357" s="3" t="s">
        <v>3001</v>
      </c>
    </row>
    <row r="1358" spans="1:2">
      <c r="A1358" s="3" t="s">
        <v>2999</v>
      </c>
      <c r="B1358" s="3" t="s">
        <v>3002</v>
      </c>
    </row>
    <row r="1359" spans="1:2">
      <c r="A1359" s="3" t="s">
        <v>2999</v>
      </c>
      <c r="B1359" s="3" t="s">
        <v>3003</v>
      </c>
    </row>
    <row r="1360" spans="1:2">
      <c r="A1360" s="3" t="s">
        <v>2999</v>
      </c>
      <c r="B1360" s="3" t="s">
        <v>3004</v>
      </c>
    </row>
    <row r="1361" spans="1:2">
      <c r="A1361" s="3" t="s">
        <v>3005</v>
      </c>
      <c r="B1361" s="3" t="s">
        <v>3006</v>
      </c>
    </row>
    <row r="1362" spans="1:2">
      <c r="A1362" s="3" t="s">
        <v>3005</v>
      </c>
      <c r="B1362" s="3" t="s">
        <v>3007</v>
      </c>
    </row>
    <row r="1363" spans="1:2">
      <c r="A1363" s="3" t="s">
        <v>3005</v>
      </c>
      <c r="B1363" s="3" t="s">
        <v>3008</v>
      </c>
    </row>
    <row r="1364" spans="1:2">
      <c r="A1364" s="3" t="s">
        <v>3005</v>
      </c>
      <c r="B1364" s="3" t="s">
        <v>3009</v>
      </c>
    </row>
    <row r="1365" spans="1:2">
      <c r="A1365" s="3" t="s">
        <v>3010</v>
      </c>
      <c r="B1365" s="3" t="s">
        <v>3011</v>
      </c>
    </row>
    <row r="1366" spans="1:2">
      <c r="A1366" s="3" t="s">
        <v>3010</v>
      </c>
      <c r="B1366" s="3" t="s">
        <v>3012</v>
      </c>
    </row>
    <row r="1367" spans="1:2">
      <c r="A1367" s="3" t="s">
        <v>3010</v>
      </c>
      <c r="B1367" s="3" t="s">
        <v>3013</v>
      </c>
    </row>
    <row r="1368" spans="1:2">
      <c r="A1368" s="3" t="s">
        <v>3010</v>
      </c>
      <c r="B1368" s="3" t="s">
        <v>3014</v>
      </c>
    </row>
    <row r="1369" spans="1:2">
      <c r="A1369" s="3" t="s">
        <v>3015</v>
      </c>
      <c r="B1369" s="3" t="s">
        <v>3016</v>
      </c>
    </row>
    <row r="1370" spans="1:2">
      <c r="A1370" s="3" t="s">
        <v>3015</v>
      </c>
      <c r="B1370" s="3" t="s">
        <v>3017</v>
      </c>
    </row>
    <row r="1371" spans="1:2">
      <c r="A1371" s="3" t="s">
        <v>3015</v>
      </c>
      <c r="B1371" s="3" t="s">
        <v>3018</v>
      </c>
    </row>
    <row r="1372" spans="1:2">
      <c r="A1372" s="3" t="s">
        <v>3015</v>
      </c>
      <c r="B1372" s="3" t="s">
        <v>3019</v>
      </c>
    </row>
    <row r="1373" spans="1:2">
      <c r="A1373" s="3" t="s">
        <v>3015</v>
      </c>
      <c r="B1373" s="3" t="s">
        <v>3020</v>
      </c>
    </row>
    <row r="1374" spans="1:2">
      <c r="A1374" s="3" t="s">
        <v>3015</v>
      </c>
      <c r="B1374" s="3" t="s">
        <v>3021</v>
      </c>
    </row>
    <row r="1375" spans="1:2">
      <c r="A1375" s="3" t="s">
        <v>3015</v>
      </c>
      <c r="B1375" s="3" t="s">
        <v>3022</v>
      </c>
    </row>
    <row r="1376" spans="1:2">
      <c r="A1376" s="3" t="s">
        <v>3015</v>
      </c>
      <c r="B1376" s="3" t="s">
        <v>3023</v>
      </c>
    </row>
    <row r="1377" spans="1:2">
      <c r="A1377" s="3" t="s">
        <v>3015</v>
      </c>
      <c r="B1377" s="3" t="s">
        <v>3024</v>
      </c>
    </row>
    <row r="1378" spans="1:2">
      <c r="A1378" s="3" t="s">
        <v>3015</v>
      </c>
      <c r="B1378" s="3" t="s">
        <v>3025</v>
      </c>
    </row>
    <row r="1379" spans="1:2">
      <c r="A1379" s="3" t="s">
        <v>3015</v>
      </c>
      <c r="B1379" s="3" t="s">
        <v>3026</v>
      </c>
    </row>
    <row r="1380" spans="1:2">
      <c r="A1380" s="3" t="s">
        <v>3015</v>
      </c>
      <c r="B1380" s="3" t="s">
        <v>3027</v>
      </c>
    </row>
    <row r="1381" spans="1:2">
      <c r="A1381" s="3" t="s">
        <v>3015</v>
      </c>
      <c r="B1381" s="3" t="s">
        <v>3028</v>
      </c>
    </row>
    <row r="1382" spans="1:2">
      <c r="A1382" s="3" t="s">
        <v>3015</v>
      </c>
      <c r="B1382" s="3" t="s">
        <v>3029</v>
      </c>
    </row>
    <row r="1383" spans="1:2">
      <c r="A1383" s="3" t="s">
        <v>3015</v>
      </c>
      <c r="B1383" s="3" t="s">
        <v>3030</v>
      </c>
    </row>
    <row r="1384" spans="1:2">
      <c r="A1384" s="3" t="s">
        <v>3015</v>
      </c>
      <c r="B1384" s="3" t="s">
        <v>3031</v>
      </c>
    </row>
    <row r="1385" spans="1:2">
      <c r="A1385" s="3" t="s">
        <v>3032</v>
      </c>
      <c r="B1385" s="3" t="s">
        <v>3033</v>
      </c>
    </row>
    <row r="1386" spans="1:2">
      <c r="A1386" s="3" t="s">
        <v>3032</v>
      </c>
      <c r="B1386" s="3" t="s">
        <v>3034</v>
      </c>
    </row>
    <row r="1387" spans="1:2">
      <c r="A1387" s="3" t="s">
        <v>3032</v>
      </c>
      <c r="B1387" s="3" t="s">
        <v>3035</v>
      </c>
    </row>
    <row r="1388" spans="1:2">
      <c r="A1388" s="3" t="s">
        <v>3032</v>
      </c>
      <c r="B1388" s="3" t="s">
        <v>3036</v>
      </c>
    </row>
    <row r="1389" spans="1:2">
      <c r="A1389" s="3" t="s">
        <v>3032</v>
      </c>
      <c r="B1389" s="3" t="s">
        <v>3037</v>
      </c>
    </row>
    <row r="1390" spans="1:2">
      <c r="A1390" s="3" t="s">
        <v>3032</v>
      </c>
      <c r="B1390" s="3" t="s">
        <v>3038</v>
      </c>
    </row>
    <row r="1391" spans="1:2">
      <c r="A1391" s="3" t="s">
        <v>3032</v>
      </c>
      <c r="B1391" s="3" t="s">
        <v>3039</v>
      </c>
    </row>
    <row r="1392" spans="1:2">
      <c r="A1392" s="3" t="s">
        <v>3032</v>
      </c>
      <c r="B1392" s="3" t="s">
        <v>3040</v>
      </c>
    </row>
    <row r="1393" spans="1:2">
      <c r="A1393" s="3" t="s">
        <v>3041</v>
      </c>
      <c r="B1393" s="3" t="s">
        <v>3042</v>
      </c>
    </row>
    <row r="1394" spans="1:2">
      <c r="A1394" s="3" t="s">
        <v>3041</v>
      </c>
      <c r="B1394" s="3" t="s">
        <v>3043</v>
      </c>
    </row>
    <row r="1395" spans="1:2">
      <c r="A1395" s="3" t="s">
        <v>3041</v>
      </c>
      <c r="B1395" s="3" t="s">
        <v>3044</v>
      </c>
    </row>
    <row r="1396" spans="1:2">
      <c r="A1396" s="3" t="s">
        <v>3041</v>
      </c>
      <c r="B1396" s="3" t="s">
        <v>3045</v>
      </c>
    </row>
    <row r="1397" spans="1:2">
      <c r="A1397" s="3" t="s">
        <v>3041</v>
      </c>
      <c r="B1397" s="3" t="s">
        <v>3046</v>
      </c>
    </row>
    <row r="1398" spans="1:2">
      <c r="A1398" s="3" t="s">
        <v>3041</v>
      </c>
      <c r="B1398" s="3" t="s">
        <v>3047</v>
      </c>
    </row>
    <row r="1399" spans="1:2">
      <c r="A1399" s="3" t="s">
        <v>3048</v>
      </c>
      <c r="B1399" s="3" t="s">
        <v>3049</v>
      </c>
    </row>
    <row r="1400" spans="1:2">
      <c r="A1400" s="3" t="s">
        <v>3048</v>
      </c>
      <c r="B1400" s="3" t="s">
        <v>3050</v>
      </c>
    </row>
    <row r="1401" spans="1:2">
      <c r="A1401" s="3" t="s">
        <v>3048</v>
      </c>
      <c r="B1401" s="3" t="s">
        <v>3051</v>
      </c>
    </row>
    <row r="1402" spans="1:2">
      <c r="A1402" s="3" t="s">
        <v>3048</v>
      </c>
      <c r="B1402" s="3" t="s">
        <v>3052</v>
      </c>
    </row>
    <row r="1403" spans="1:2">
      <c r="A1403" s="3" t="s">
        <v>3048</v>
      </c>
      <c r="B1403" s="3" t="s">
        <v>3053</v>
      </c>
    </row>
    <row r="1404" spans="1:2">
      <c r="A1404" s="3" t="s">
        <v>3048</v>
      </c>
      <c r="B1404" s="3" t="s">
        <v>3054</v>
      </c>
    </row>
    <row r="1405" spans="1:2">
      <c r="A1405" s="3" t="s">
        <v>3048</v>
      </c>
      <c r="B1405" s="3" t="s">
        <v>3055</v>
      </c>
    </row>
    <row r="1406" spans="1:2">
      <c r="A1406" s="3" t="s">
        <v>3048</v>
      </c>
      <c r="B1406" s="3" t="s">
        <v>3056</v>
      </c>
    </row>
    <row r="1407" spans="1:2">
      <c r="A1407" s="3" t="s">
        <v>3057</v>
      </c>
      <c r="B1407" s="3" t="s">
        <v>3058</v>
      </c>
    </row>
    <row r="1408" spans="1:2">
      <c r="A1408" s="3" t="s">
        <v>3057</v>
      </c>
      <c r="B1408" s="3" t="s">
        <v>3059</v>
      </c>
    </row>
    <row r="1409" spans="1:2">
      <c r="A1409" s="3" t="s">
        <v>3057</v>
      </c>
      <c r="B1409" s="3" t="s">
        <v>3060</v>
      </c>
    </row>
    <row r="1410" spans="1:2">
      <c r="A1410" s="3" t="s">
        <v>3057</v>
      </c>
      <c r="B1410" s="3" t="s">
        <v>3061</v>
      </c>
    </row>
    <row r="1411" spans="1:2">
      <c r="A1411" s="3" t="s">
        <v>3057</v>
      </c>
      <c r="B1411" s="3" t="s">
        <v>3062</v>
      </c>
    </row>
    <row r="1412" spans="1:2">
      <c r="A1412" s="3" t="s">
        <v>3057</v>
      </c>
      <c r="B1412" s="3" t="s">
        <v>3063</v>
      </c>
    </row>
    <row r="1413" spans="1:2">
      <c r="A1413" s="3" t="s">
        <v>3057</v>
      </c>
      <c r="B1413" s="3" t="s">
        <v>3064</v>
      </c>
    </row>
    <row r="1414" spans="1:2">
      <c r="A1414" s="3" t="s">
        <v>3057</v>
      </c>
      <c r="B1414" s="3" t="s">
        <v>3065</v>
      </c>
    </row>
    <row r="1415" spans="1:2">
      <c r="A1415" s="3" t="s">
        <v>3066</v>
      </c>
      <c r="B1415" s="3" t="s">
        <v>3067</v>
      </c>
    </row>
    <row r="1416" spans="1:2">
      <c r="A1416" s="3" t="s">
        <v>3066</v>
      </c>
      <c r="B1416" s="3" t="s">
        <v>3068</v>
      </c>
    </row>
    <row r="1417" spans="1:2">
      <c r="A1417" s="3" t="s">
        <v>3066</v>
      </c>
      <c r="B1417" s="3" t="s">
        <v>3069</v>
      </c>
    </row>
    <row r="1418" spans="1:2">
      <c r="A1418" s="3" t="s">
        <v>3066</v>
      </c>
      <c r="B1418" s="3" t="s">
        <v>3070</v>
      </c>
    </row>
    <row r="1419" spans="1:2">
      <c r="A1419" s="3" t="s">
        <v>3066</v>
      </c>
      <c r="B1419" s="3" t="s">
        <v>3071</v>
      </c>
    </row>
    <row r="1420" spans="1:2">
      <c r="A1420" s="3" t="s">
        <v>3066</v>
      </c>
      <c r="B1420" s="3" t="s">
        <v>3072</v>
      </c>
    </row>
    <row r="1421" spans="1:2">
      <c r="A1421" s="3" t="s">
        <v>3066</v>
      </c>
      <c r="B1421" s="3" t="s">
        <v>3073</v>
      </c>
    </row>
    <row r="1422" spans="1:2">
      <c r="A1422" s="3" t="s">
        <v>3074</v>
      </c>
      <c r="B1422" s="3" t="s">
        <v>3075</v>
      </c>
    </row>
    <row r="1423" spans="1:2">
      <c r="A1423" s="3" t="s">
        <v>3074</v>
      </c>
      <c r="B1423" s="3" t="s">
        <v>3076</v>
      </c>
    </row>
    <row r="1424" spans="1:2">
      <c r="A1424" s="3" t="s">
        <v>3074</v>
      </c>
      <c r="B1424" s="3" t="s">
        <v>3077</v>
      </c>
    </row>
    <row r="1425" spans="1:2">
      <c r="A1425" s="3" t="s">
        <v>3074</v>
      </c>
      <c r="B1425" s="3" t="s">
        <v>3078</v>
      </c>
    </row>
    <row r="1426" spans="1:2">
      <c r="A1426" s="3" t="s">
        <v>3079</v>
      </c>
      <c r="B1426" s="3" t="s">
        <v>3042</v>
      </c>
    </row>
    <row r="1427" spans="1:2">
      <c r="A1427" s="3" t="s">
        <v>3079</v>
      </c>
      <c r="B1427" s="3" t="s">
        <v>3080</v>
      </c>
    </row>
    <row r="1428" spans="1:2">
      <c r="A1428" s="3" t="s">
        <v>3079</v>
      </c>
      <c r="B1428" s="3" t="s">
        <v>3081</v>
      </c>
    </row>
    <row r="1429" spans="1:2">
      <c r="A1429" s="3" t="s">
        <v>3079</v>
      </c>
      <c r="B1429" s="3" t="s">
        <v>3082</v>
      </c>
    </row>
    <row r="1430" spans="1:2">
      <c r="A1430" s="3" t="s">
        <v>3079</v>
      </c>
      <c r="B1430" s="3" t="s">
        <v>3083</v>
      </c>
    </row>
    <row r="1431" spans="1:2">
      <c r="A1431" s="3" t="s">
        <v>3079</v>
      </c>
      <c r="B1431" s="3" t="s">
        <v>3084</v>
      </c>
    </row>
    <row r="1432" spans="1:2">
      <c r="A1432" s="3" t="s">
        <v>3079</v>
      </c>
      <c r="B1432" s="3" t="s">
        <v>3085</v>
      </c>
    </row>
    <row r="1433" spans="1:2">
      <c r="A1433" s="3" t="s">
        <v>3079</v>
      </c>
      <c r="B1433" s="3" t="s">
        <v>3086</v>
      </c>
    </row>
    <row r="1434" spans="1:2">
      <c r="A1434" s="3" t="s">
        <v>3087</v>
      </c>
      <c r="B1434" s="3" t="s">
        <v>3088</v>
      </c>
    </row>
    <row r="1435" spans="1:2">
      <c r="A1435" s="3" t="s">
        <v>3087</v>
      </c>
      <c r="B1435" s="3" t="s">
        <v>3089</v>
      </c>
    </row>
    <row r="1436" spans="1:2">
      <c r="A1436" s="3" t="s">
        <v>3087</v>
      </c>
      <c r="B1436" s="3" t="s">
        <v>3090</v>
      </c>
    </row>
    <row r="1437" spans="1:2">
      <c r="A1437" s="3" t="s">
        <v>3087</v>
      </c>
      <c r="B1437" s="3" t="s">
        <v>3091</v>
      </c>
    </row>
    <row r="1438" spans="1:2">
      <c r="A1438" s="3" t="s">
        <v>3092</v>
      </c>
      <c r="B1438" s="3" t="s">
        <v>3093</v>
      </c>
    </row>
    <row r="1439" spans="1:2">
      <c r="A1439" s="3" t="s">
        <v>3092</v>
      </c>
      <c r="B1439" s="3" t="s">
        <v>3094</v>
      </c>
    </row>
    <row r="1440" spans="1:2">
      <c r="A1440" s="3" t="s">
        <v>3092</v>
      </c>
      <c r="B1440" s="3" t="s">
        <v>3095</v>
      </c>
    </row>
    <row r="1441" spans="1:2">
      <c r="A1441" s="3" t="s">
        <v>3092</v>
      </c>
      <c r="B1441" s="3" t="s">
        <v>3096</v>
      </c>
    </row>
    <row r="1442" spans="1:2">
      <c r="A1442" s="3" t="s">
        <v>3092</v>
      </c>
      <c r="B1442" s="3" t="s">
        <v>3097</v>
      </c>
    </row>
    <row r="1443" spans="1:2">
      <c r="A1443" s="3" t="s">
        <v>3092</v>
      </c>
      <c r="B1443" s="3" t="s">
        <v>3098</v>
      </c>
    </row>
    <row r="1444" spans="1:2">
      <c r="A1444" s="3" t="s">
        <v>3092</v>
      </c>
      <c r="B1444" s="3" t="s">
        <v>3099</v>
      </c>
    </row>
    <row r="1445" spans="1:2">
      <c r="A1445" s="3" t="s">
        <v>3092</v>
      </c>
      <c r="B1445" s="3" t="s">
        <v>3100</v>
      </c>
    </row>
    <row r="1446" spans="1:2">
      <c r="A1446" s="3" t="s">
        <v>3092</v>
      </c>
      <c r="B1446" s="3" t="s">
        <v>3101</v>
      </c>
    </row>
    <row r="1447" spans="1:2">
      <c r="A1447" s="3" t="s">
        <v>3102</v>
      </c>
      <c r="B1447" s="3" t="s">
        <v>3103</v>
      </c>
    </row>
    <row r="1448" spans="1:2">
      <c r="A1448" s="3" t="s">
        <v>3102</v>
      </c>
      <c r="B1448" s="3" t="s">
        <v>3104</v>
      </c>
    </row>
    <row r="1449" spans="1:2">
      <c r="A1449" s="3" t="s">
        <v>3102</v>
      </c>
      <c r="B1449" s="3" t="s">
        <v>3105</v>
      </c>
    </row>
    <row r="1450" spans="1:2">
      <c r="A1450" s="3" t="s">
        <v>3102</v>
      </c>
      <c r="B1450" s="3" t="s">
        <v>3106</v>
      </c>
    </row>
    <row r="1451" spans="1:2">
      <c r="A1451" s="3" t="s">
        <v>3107</v>
      </c>
      <c r="B1451" s="3" t="s">
        <v>3108</v>
      </c>
    </row>
    <row r="1452" spans="1:2">
      <c r="A1452" s="3" t="s">
        <v>3107</v>
      </c>
      <c r="B1452" s="3" t="s">
        <v>3109</v>
      </c>
    </row>
    <row r="1453" spans="1:2">
      <c r="A1453" s="3" t="s">
        <v>3107</v>
      </c>
      <c r="B1453" s="3" t="s">
        <v>3110</v>
      </c>
    </row>
    <row r="1454" spans="1:2">
      <c r="A1454" s="3" t="s">
        <v>3111</v>
      </c>
      <c r="B1454" s="3" t="s">
        <v>3112</v>
      </c>
    </row>
    <row r="1455" spans="1:2">
      <c r="A1455" s="3" t="s">
        <v>3111</v>
      </c>
      <c r="B1455" s="3" t="s">
        <v>3113</v>
      </c>
    </row>
    <row r="1456" spans="1:2">
      <c r="A1456" s="3" t="s">
        <v>3111</v>
      </c>
      <c r="B1456" s="3" t="s">
        <v>3114</v>
      </c>
    </row>
    <row r="1457" spans="1:2">
      <c r="A1457" s="3" t="s">
        <v>3111</v>
      </c>
      <c r="B1457" s="3" t="s">
        <v>3115</v>
      </c>
    </row>
    <row r="1458" spans="1:2">
      <c r="A1458" s="3" t="s">
        <v>3111</v>
      </c>
      <c r="B1458" s="3" t="s">
        <v>3116</v>
      </c>
    </row>
    <row r="1459" spans="1:2">
      <c r="A1459" s="3" t="s">
        <v>3111</v>
      </c>
      <c r="B1459" s="3" t="s">
        <v>3117</v>
      </c>
    </row>
    <row r="1460" spans="1:2">
      <c r="A1460" s="3" t="s">
        <v>3111</v>
      </c>
      <c r="B1460" s="3" t="s">
        <v>3118</v>
      </c>
    </row>
    <row r="1461" spans="1:2">
      <c r="A1461" s="3" t="s">
        <v>3111</v>
      </c>
      <c r="B1461" s="3" t="s">
        <v>3119</v>
      </c>
    </row>
    <row r="1462" spans="1:2">
      <c r="A1462" s="3" t="s">
        <v>3111</v>
      </c>
      <c r="B1462" s="3" t="s">
        <v>3120</v>
      </c>
    </row>
    <row r="1463" spans="1:2">
      <c r="A1463" s="3" t="s">
        <v>3111</v>
      </c>
      <c r="B1463" s="3" t="s">
        <v>3121</v>
      </c>
    </row>
    <row r="1464" spans="1:2">
      <c r="A1464" s="3" t="s">
        <v>3111</v>
      </c>
      <c r="B1464" s="3" t="s">
        <v>3122</v>
      </c>
    </row>
    <row r="1465" spans="1:2">
      <c r="A1465" s="3" t="s">
        <v>3111</v>
      </c>
      <c r="B1465" s="3" t="s">
        <v>3123</v>
      </c>
    </row>
    <row r="1466" spans="1:2">
      <c r="A1466" s="3" t="s">
        <v>3111</v>
      </c>
      <c r="B1466" s="3" t="s">
        <v>3124</v>
      </c>
    </row>
    <row r="1467" spans="1:2">
      <c r="A1467" s="3" t="s">
        <v>3111</v>
      </c>
      <c r="B1467" s="3" t="s">
        <v>3125</v>
      </c>
    </row>
    <row r="1468" spans="1:2">
      <c r="A1468" s="3" t="s">
        <v>3111</v>
      </c>
      <c r="B1468" s="3" t="s">
        <v>3126</v>
      </c>
    </row>
    <row r="1469" spans="1:2">
      <c r="A1469" s="3" t="s">
        <v>3111</v>
      </c>
      <c r="B1469" s="3" t="s">
        <v>3127</v>
      </c>
    </row>
    <row r="1470" spans="1:2">
      <c r="A1470" s="3" t="s">
        <v>3128</v>
      </c>
      <c r="B1470" s="3" t="s">
        <v>3129</v>
      </c>
    </row>
    <row r="1471" spans="1:2">
      <c r="A1471" s="3" t="s">
        <v>3128</v>
      </c>
      <c r="B1471" s="3" t="s">
        <v>3130</v>
      </c>
    </row>
    <row r="1472" spans="1:2">
      <c r="A1472" s="3" t="s">
        <v>3128</v>
      </c>
      <c r="B1472" s="3" t="s">
        <v>3131</v>
      </c>
    </row>
    <row r="1473" spans="1:2">
      <c r="A1473" s="3" t="s">
        <v>3128</v>
      </c>
      <c r="B1473" s="3" t="s">
        <v>3132</v>
      </c>
    </row>
    <row r="1474" spans="1:2">
      <c r="A1474" s="3" t="s">
        <v>3128</v>
      </c>
      <c r="B1474" s="3" t="s">
        <v>3133</v>
      </c>
    </row>
    <row r="1475" spans="1:2">
      <c r="A1475" s="3" t="s">
        <v>3128</v>
      </c>
      <c r="B1475" s="3" t="s">
        <v>3134</v>
      </c>
    </row>
    <row r="1476" spans="1:2">
      <c r="A1476" s="3" t="s">
        <v>3128</v>
      </c>
      <c r="B1476" s="3" t="s">
        <v>3135</v>
      </c>
    </row>
    <row r="1477" spans="1:2">
      <c r="A1477" s="3" t="s">
        <v>3128</v>
      </c>
      <c r="B1477" s="3" t="s">
        <v>3136</v>
      </c>
    </row>
    <row r="1478" spans="1:2">
      <c r="A1478" s="3" t="s">
        <v>3128</v>
      </c>
      <c r="B1478" s="3" t="s">
        <v>3137</v>
      </c>
    </row>
    <row r="1479" spans="1:2">
      <c r="A1479" s="3" t="s">
        <v>3128</v>
      </c>
      <c r="B1479" s="3" t="s">
        <v>3138</v>
      </c>
    </row>
    <row r="1480" spans="1:2">
      <c r="A1480" s="3" t="s">
        <v>3128</v>
      </c>
      <c r="B1480" s="3" t="s">
        <v>3139</v>
      </c>
    </row>
    <row r="1481" spans="1:2">
      <c r="A1481" s="3" t="s">
        <v>3128</v>
      </c>
      <c r="B1481" s="3" t="s">
        <v>3140</v>
      </c>
    </row>
    <row r="1482" spans="1:2">
      <c r="A1482" s="3" t="s">
        <v>3128</v>
      </c>
      <c r="B1482" s="3" t="s">
        <v>3141</v>
      </c>
    </row>
    <row r="1483" spans="1:2">
      <c r="A1483" s="3" t="s">
        <v>3128</v>
      </c>
      <c r="B1483" s="3" t="s">
        <v>3142</v>
      </c>
    </row>
    <row r="1484" spans="1:2">
      <c r="A1484" s="3" t="s">
        <v>3128</v>
      </c>
      <c r="B1484" s="3" t="s">
        <v>3143</v>
      </c>
    </row>
    <row r="1485" spans="1:2">
      <c r="A1485" s="3" t="s">
        <v>3128</v>
      </c>
      <c r="B1485" s="3" t="s">
        <v>3144</v>
      </c>
    </row>
    <row r="1486" spans="1:2">
      <c r="A1486" s="3" t="s">
        <v>3128</v>
      </c>
      <c r="B1486" s="3" t="s">
        <v>3145</v>
      </c>
    </row>
    <row r="1487" spans="1:2">
      <c r="A1487" s="3" t="s">
        <v>3128</v>
      </c>
      <c r="B1487" s="3" t="s">
        <v>3146</v>
      </c>
    </row>
    <row r="1488" spans="1:2">
      <c r="A1488" s="3" t="s">
        <v>3128</v>
      </c>
      <c r="B1488" s="3" t="s">
        <v>3147</v>
      </c>
    </row>
    <row r="1489" spans="1:2">
      <c r="A1489" s="3" t="s">
        <v>3128</v>
      </c>
      <c r="B1489" s="3" t="s">
        <v>3148</v>
      </c>
    </row>
    <row r="1490" spans="1:2">
      <c r="A1490" s="3" t="s">
        <v>3128</v>
      </c>
      <c r="B1490" s="3" t="s">
        <v>3149</v>
      </c>
    </row>
    <row r="1491" spans="1:2">
      <c r="A1491" s="3" t="s">
        <v>3128</v>
      </c>
      <c r="B1491" s="3" t="s">
        <v>3150</v>
      </c>
    </row>
    <row r="1492" spans="1:2">
      <c r="A1492" s="3" t="s">
        <v>3151</v>
      </c>
      <c r="B1492" s="3" t="s">
        <v>3152</v>
      </c>
    </row>
    <row r="1493" spans="1:2">
      <c r="A1493" s="3" t="s">
        <v>3151</v>
      </c>
      <c r="B1493" s="3" t="s">
        <v>3153</v>
      </c>
    </row>
    <row r="1494" spans="1:2">
      <c r="A1494" s="3" t="s">
        <v>3151</v>
      </c>
      <c r="B1494" s="3" t="s">
        <v>3154</v>
      </c>
    </row>
    <row r="1495" spans="1:2">
      <c r="A1495" s="3" t="s">
        <v>3151</v>
      </c>
      <c r="B1495" s="3" t="s">
        <v>3155</v>
      </c>
    </row>
    <row r="1496" spans="1:2">
      <c r="A1496" s="3" t="s">
        <v>3151</v>
      </c>
      <c r="B1496" s="3" t="s">
        <v>3156</v>
      </c>
    </row>
    <row r="1497" spans="1:2">
      <c r="A1497" s="3" t="s">
        <v>3151</v>
      </c>
      <c r="B1497" s="3" t="s">
        <v>3157</v>
      </c>
    </row>
    <row r="1498" spans="1:2">
      <c r="A1498" s="3" t="s">
        <v>3151</v>
      </c>
      <c r="B1498" s="3" t="s">
        <v>3158</v>
      </c>
    </row>
    <row r="1499" spans="1:2">
      <c r="A1499" s="3" t="s">
        <v>3151</v>
      </c>
      <c r="B1499" s="3" t="s">
        <v>3159</v>
      </c>
    </row>
    <row r="1500" spans="1:2">
      <c r="A1500" s="3" t="s">
        <v>3151</v>
      </c>
      <c r="B1500" s="3" t="s">
        <v>3160</v>
      </c>
    </row>
    <row r="1501" spans="1:2">
      <c r="A1501" s="3" t="s">
        <v>3151</v>
      </c>
      <c r="B1501" s="3" t="s">
        <v>3161</v>
      </c>
    </row>
    <row r="1502" spans="1:2">
      <c r="A1502" s="3" t="s">
        <v>3151</v>
      </c>
      <c r="B1502" s="3" t="s">
        <v>3162</v>
      </c>
    </row>
    <row r="1503" spans="1:2">
      <c r="A1503" s="3" t="s">
        <v>3151</v>
      </c>
      <c r="B1503" s="3" t="s">
        <v>3163</v>
      </c>
    </row>
    <row r="1504" spans="1:2">
      <c r="A1504" s="3" t="s">
        <v>3151</v>
      </c>
      <c r="B1504" s="3" t="s">
        <v>3164</v>
      </c>
    </row>
    <row r="1505" spans="1:2">
      <c r="A1505" s="3" t="s">
        <v>3151</v>
      </c>
      <c r="B1505" s="3" t="s">
        <v>3165</v>
      </c>
    </row>
    <row r="1506" spans="1:2">
      <c r="A1506" s="3" t="s">
        <v>3151</v>
      </c>
      <c r="B1506" s="3" t="s">
        <v>3166</v>
      </c>
    </row>
    <row r="1507" spans="1:2">
      <c r="A1507" s="3" t="s">
        <v>3151</v>
      </c>
      <c r="B1507" s="3" t="s">
        <v>3167</v>
      </c>
    </row>
    <row r="1508" spans="1:2">
      <c r="A1508" s="3" t="s">
        <v>3168</v>
      </c>
      <c r="B1508" s="3" t="s">
        <v>3169</v>
      </c>
    </row>
    <row r="1509" spans="1:2">
      <c r="A1509" s="3" t="s">
        <v>3168</v>
      </c>
      <c r="B1509" s="3" t="s">
        <v>3170</v>
      </c>
    </row>
    <row r="1510" spans="1:2">
      <c r="A1510" s="3" t="s">
        <v>3168</v>
      </c>
      <c r="B1510" s="3" t="s">
        <v>3171</v>
      </c>
    </row>
    <row r="1511" spans="1:2">
      <c r="A1511" s="3" t="s">
        <v>3168</v>
      </c>
      <c r="B1511" s="3" t="s">
        <v>3172</v>
      </c>
    </row>
    <row r="1512" spans="1:2">
      <c r="A1512" s="3" t="s">
        <v>3168</v>
      </c>
      <c r="B1512" s="3" t="s">
        <v>3173</v>
      </c>
    </row>
    <row r="1513" spans="1:2">
      <c r="A1513" s="3" t="s">
        <v>3168</v>
      </c>
      <c r="B1513" s="3" t="s">
        <v>3174</v>
      </c>
    </row>
    <row r="1514" spans="1:2">
      <c r="A1514" s="3" t="s">
        <v>3168</v>
      </c>
      <c r="B1514" s="3" t="s">
        <v>3175</v>
      </c>
    </row>
    <row r="1515" spans="1:2">
      <c r="A1515" s="3" t="s">
        <v>3168</v>
      </c>
      <c r="B1515" s="3" t="s">
        <v>3176</v>
      </c>
    </row>
    <row r="1516" spans="1:2">
      <c r="A1516" s="3" t="s">
        <v>3177</v>
      </c>
      <c r="B1516" s="3" t="s">
        <v>3178</v>
      </c>
    </row>
    <row r="1517" spans="1:2">
      <c r="A1517" s="3" t="s">
        <v>3177</v>
      </c>
      <c r="B1517" s="3" t="s">
        <v>3179</v>
      </c>
    </row>
    <row r="1518" spans="1:2">
      <c r="A1518" s="3" t="s">
        <v>3180</v>
      </c>
      <c r="B1518" s="3" t="s">
        <v>3181</v>
      </c>
    </row>
    <row r="1519" spans="1:2">
      <c r="A1519" s="3" t="s">
        <v>3180</v>
      </c>
      <c r="B1519" s="3" t="s">
        <v>3182</v>
      </c>
    </row>
    <row r="1520" spans="1:2">
      <c r="A1520" s="3" t="s">
        <v>3180</v>
      </c>
      <c r="B1520" s="3" t="s">
        <v>3183</v>
      </c>
    </row>
    <row r="1521" spans="1:2">
      <c r="A1521" s="3" t="s">
        <v>3184</v>
      </c>
      <c r="B1521" s="3" t="s">
        <v>3185</v>
      </c>
    </row>
    <row r="1522" spans="1:2">
      <c r="A1522" s="3" t="s">
        <v>3184</v>
      </c>
      <c r="B1522" s="3" t="s">
        <v>3186</v>
      </c>
    </row>
    <row r="1523" spans="1:2">
      <c r="A1523" s="3" t="s">
        <v>3184</v>
      </c>
      <c r="B1523" s="3" t="s">
        <v>3187</v>
      </c>
    </row>
    <row r="1524" spans="1:2">
      <c r="A1524" s="3" t="s">
        <v>3184</v>
      </c>
      <c r="B1524" s="3" t="s">
        <v>3188</v>
      </c>
    </row>
    <row r="1525" spans="1:2">
      <c r="A1525" s="3" t="s">
        <v>3189</v>
      </c>
      <c r="B1525" s="3" t="s">
        <v>3190</v>
      </c>
    </row>
    <row r="1526" spans="1:2">
      <c r="A1526" s="3" t="s">
        <v>3189</v>
      </c>
      <c r="B1526" s="3" t="s">
        <v>3191</v>
      </c>
    </row>
    <row r="1527" spans="1:2">
      <c r="A1527" s="3" t="s">
        <v>3189</v>
      </c>
      <c r="B1527" s="3" t="s">
        <v>3192</v>
      </c>
    </row>
    <row r="1528" spans="1:2">
      <c r="A1528" s="3" t="s">
        <v>3189</v>
      </c>
      <c r="B1528" s="3" t="s">
        <v>3193</v>
      </c>
    </row>
    <row r="1529" spans="1:2">
      <c r="A1529" s="3" t="s">
        <v>3194</v>
      </c>
      <c r="B1529" s="3" t="s">
        <v>3195</v>
      </c>
    </row>
    <row r="1530" spans="1:2">
      <c r="A1530" s="3" t="s">
        <v>3194</v>
      </c>
      <c r="B1530" s="3" t="s">
        <v>3196</v>
      </c>
    </row>
    <row r="1531" spans="1:2">
      <c r="A1531" s="3" t="s">
        <v>3194</v>
      </c>
      <c r="B1531" s="3" t="s">
        <v>3197</v>
      </c>
    </row>
    <row r="1532" spans="1:2">
      <c r="A1532" s="3" t="s">
        <v>3194</v>
      </c>
      <c r="B1532" s="3" t="s">
        <v>3198</v>
      </c>
    </row>
    <row r="1533" spans="1:2">
      <c r="A1533" s="3" t="s">
        <v>3194</v>
      </c>
      <c r="B1533" s="3" t="s">
        <v>3199</v>
      </c>
    </row>
    <row r="1534" spans="1:2">
      <c r="A1534" s="3" t="s">
        <v>3194</v>
      </c>
      <c r="B1534" s="3" t="s">
        <v>3200</v>
      </c>
    </row>
    <row r="1535" spans="1:2">
      <c r="A1535" s="3" t="s">
        <v>3194</v>
      </c>
      <c r="B1535" s="3" t="s">
        <v>3201</v>
      </c>
    </row>
    <row r="1536" spans="1:2">
      <c r="A1536" s="3" t="s">
        <v>3194</v>
      </c>
      <c r="B1536" s="3" t="s">
        <v>3202</v>
      </c>
    </row>
    <row r="1537" spans="1:2">
      <c r="A1537" s="3" t="s">
        <v>3194</v>
      </c>
      <c r="B1537" s="3" t="s">
        <v>3203</v>
      </c>
    </row>
    <row r="1538" spans="1:2">
      <c r="A1538" s="3" t="s">
        <v>3194</v>
      </c>
      <c r="B1538" s="3" t="s">
        <v>3204</v>
      </c>
    </row>
    <row r="1539" spans="1:2">
      <c r="A1539" s="3" t="s">
        <v>3194</v>
      </c>
      <c r="B1539" s="3" t="s">
        <v>3205</v>
      </c>
    </row>
    <row r="1540" spans="1:2">
      <c r="A1540" s="3" t="s">
        <v>3194</v>
      </c>
      <c r="B1540" s="3" t="s">
        <v>3206</v>
      </c>
    </row>
    <row r="1541" spans="1:2">
      <c r="A1541" s="3" t="s">
        <v>3194</v>
      </c>
      <c r="B1541" s="3" t="s">
        <v>3207</v>
      </c>
    </row>
    <row r="1542" spans="1:2">
      <c r="A1542" s="3" t="s">
        <v>3194</v>
      </c>
      <c r="B1542" s="3" t="s">
        <v>3208</v>
      </c>
    </row>
    <row r="1543" spans="1:2">
      <c r="A1543" s="3" t="s">
        <v>3194</v>
      </c>
      <c r="B1543" s="3" t="s">
        <v>3209</v>
      </c>
    </row>
    <row r="1544" spans="1:2">
      <c r="A1544" s="3" t="s">
        <v>3194</v>
      </c>
      <c r="B1544" s="3" t="s">
        <v>3210</v>
      </c>
    </row>
    <row r="1545" spans="1:2">
      <c r="A1545" s="3" t="s">
        <v>3211</v>
      </c>
      <c r="B1545" s="3" t="s">
        <v>3212</v>
      </c>
    </row>
    <row r="1546" spans="1:2">
      <c r="A1546" s="3" t="s">
        <v>3211</v>
      </c>
      <c r="B1546" s="3" t="s">
        <v>3213</v>
      </c>
    </row>
    <row r="1547" spans="1:2">
      <c r="A1547" s="3" t="s">
        <v>3211</v>
      </c>
      <c r="B1547" s="3" t="s">
        <v>3214</v>
      </c>
    </row>
    <row r="1548" spans="1:2">
      <c r="A1548" s="3" t="s">
        <v>3211</v>
      </c>
      <c r="B1548" s="3" t="s">
        <v>3215</v>
      </c>
    </row>
    <row r="1549" spans="1:2">
      <c r="A1549" s="3" t="s">
        <v>3216</v>
      </c>
      <c r="B1549" s="3" t="s">
        <v>3217</v>
      </c>
    </row>
    <row r="1550" spans="1:2">
      <c r="A1550" s="3" t="s">
        <v>3216</v>
      </c>
      <c r="B1550" s="3" t="s">
        <v>3218</v>
      </c>
    </row>
    <row r="1551" spans="1:2">
      <c r="A1551" s="3" t="s">
        <v>3216</v>
      </c>
      <c r="B1551" s="3" t="s">
        <v>3219</v>
      </c>
    </row>
    <row r="1552" spans="1:2">
      <c r="A1552" s="3" t="s">
        <v>3220</v>
      </c>
      <c r="B1552" s="3" t="s">
        <v>3221</v>
      </c>
    </row>
    <row r="1553" spans="1:2">
      <c r="A1553" s="3" t="s">
        <v>3220</v>
      </c>
      <c r="B1553" s="3" t="s">
        <v>3222</v>
      </c>
    </row>
    <row r="1554" spans="1:2">
      <c r="A1554" s="3" t="s">
        <v>3220</v>
      </c>
      <c r="B1554" s="3" t="s">
        <v>3223</v>
      </c>
    </row>
    <row r="1555" spans="1:2">
      <c r="A1555" s="3" t="s">
        <v>3220</v>
      </c>
      <c r="B1555" s="3" t="s">
        <v>3224</v>
      </c>
    </row>
    <row r="1556" spans="1:2">
      <c r="A1556" s="3" t="s">
        <v>3220</v>
      </c>
      <c r="B1556" s="3" t="s">
        <v>3225</v>
      </c>
    </row>
    <row r="1557" spans="1:2">
      <c r="A1557" s="3" t="s">
        <v>3220</v>
      </c>
      <c r="B1557" s="3" t="s">
        <v>3226</v>
      </c>
    </row>
    <row r="1558" spans="1:2">
      <c r="A1558" s="3" t="s">
        <v>3220</v>
      </c>
      <c r="B1558" s="3" t="s">
        <v>3227</v>
      </c>
    </row>
    <row r="1559" spans="1:2">
      <c r="A1559" s="3" t="s">
        <v>3220</v>
      </c>
      <c r="B1559" s="3" t="s">
        <v>3228</v>
      </c>
    </row>
    <row r="1560" spans="1:2">
      <c r="A1560" s="3" t="s">
        <v>3220</v>
      </c>
      <c r="B1560" s="3" t="s">
        <v>3229</v>
      </c>
    </row>
    <row r="1561" spans="1:2">
      <c r="A1561" s="3" t="s">
        <v>3220</v>
      </c>
      <c r="B1561" s="3" t="s">
        <v>3230</v>
      </c>
    </row>
    <row r="1562" spans="1:2">
      <c r="A1562" s="3" t="s">
        <v>3220</v>
      </c>
      <c r="B1562" s="3" t="s">
        <v>3231</v>
      </c>
    </row>
    <row r="1563" spans="1:2">
      <c r="A1563" s="3" t="s">
        <v>3220</v>
      </c>
      <c r="B1563" s="3" t="s">
        <v>3232</v>
      </c>
    </row>
    <row r="1564" spans="1:2">
      <c r="A1564" s="3" t="s">
        <v>3220</v>
      </c>
      <c r="B1564" s="3" t="s">
        <v>3233</v>
      </c>
    </row>
    <row r="1565" spans="1:2">
      <c r="A1565" s="3" t="s">
        <v>3220</v>
      </c>
      <c r="B1565" s="3" t="s">
        <v>3234</v>
      </c>
    </row>
    <row r="1566" spans="1:2">
      <c r="A1566" s="3" t="s">
        <v>3220</v>
      </c>
      <c r="B1566" s="3" t="s">
        <v>3235</v>
      </c>
    </row>
    <row r="1567" spans="1:2">
      <c r="A1567" s="3" t="s">
        <v>3220</v>
      </c>
      <c r="B1567" s="3" t="s">
        <v>3236</v>
      </c>
    </row>
    <row r="1568" spans="1:2">
      <c r="A1568" s="3" t="s">
        <v>3220</v>
      </c>
      <c r="B1568" s="3" t="s">
        <v>3237</v>
      </c>
    </row>
    <row r="1569" spans="1:2">
      <c r="A1569" s="3" t="s">
        <v>3220</v>
      </c>
      <c r="B1569" s="3" t="s">
        <v>3238</v>
      </c>
    </row>
    <row r="1570" spans="1:2">
      <c r="A1570" s="3" t="s">
        <v>3220</v>
      </c>
      <c r="B1570" s="3" t="s">
        <v>3239</v>
      </c>
    </row>
    <row r="1571" spans="1:2">
      <c r="A1571" s="3" t="s">
        <v>3240</v>
      </c>
      <c r="B1571" s="3" t="s">
        <v>3241</v>
      </c>
    </row>
    <row r="1572" spans="1:2">
      <c r="A1572" s="3" t="s">
        <v>3240</v>
      </c>
      <c r="B1572" s="3" t="s">
        <v>3242</v>
      </c>
    </row>
    <row r="1573" spans="1:2">
      <c r="A1573" s="3" t="s">
        <v>3240</v>
      </c>
      <c r="B1573" s="3" t="s">
        <v>3243</v>
      </c>
    </row>
    <row r="1574" spans="1:2">
      <c r="A1574" s="3" t="s">
        <v>3244</v>
      </c>
      <c r="B1574" s="3" t="s">
        <v>3245</v>
      </c>
    </row>
    <row r="1575" spans="1:2">
      <c r="A1575" s="3" t="s">
        <v>3244</v>
      </c>
      <c r="B1575" s="3" t="s">
        <v>3246</v>
      </c>
    </row>
    <row r="1576" spans="1:2">
      <c r="A1576" s="3" t="s">
        <v>3244</v>
      </c>
      <c r="B1576" s="3" t="s">
        <v>3247</v>
      </c>
    </row>
    <row r="1577" spans="1:2">
      <c r="A1577" s="3" t="s">
        <v>3244</v>
      </c>
      <c r="B1577" s="3" t="s">
        <v>3248</v>
      </c>
    </row>
    <row r="1578" spans="1:2">
      <c r="A1578" s="3" t="s">
        <v>3249</v>
      </c>
      <c r="B1578" s="3" t="s">
        <v>3250</v>
      </c>
    </row>
    <row r="1579" spans="1:2">
      <c r="A1579" s="3" t="s">
        <v>3249</v>
      </c>
      <c r="B1579" s="3" t="s">
        <v>3251</v>
      </c>
    </row>
    <row r="1580" spans="1:2">
      <c r="A1580" s="3" t="s">
        <v>3249</v>
      </c>
      <c r="B1580" s="3" t="s">
        <v>3252</v>
      </c>
    </row>
    <row r="1581" spans="1:2">
      <c r="A1581" s="3" t="s">
        <v>3249</v>
      </c>
      <c r="B1581" s="3" t="s">
        <v>3253</v>
      </c>
    </row>
    <row r="1582" spans="1:2">
      <c r="A1582" s="3" t="s">
        <v>3254</v>
      </c>
      <c r="B1582" s="3" t="s">
        <v>3255</v>
      </c>
    </row>
    <row r="1583" spans="1:2">
      <c r="A1583" s="3" t="s">
        <v>3254</v>
      </c>
      <c r="B1583" s="3" t="s">
        <v>3256</v>
      </c>
    </row>
    <row r="1584" spans="1:2">
      <c r="A1584" s="3" t="s">
        <v>3257</v>
      </c>
      <c r="B1584" s="3" t="s">
        <v>3258</v>
      </c>
    </row>
    <row r="1585" spans="1:2">
      <c r="A1585" s="3" t="s">
        <v>3257</v>
      </c>
      <c r="B1585" s="3" t="s">
        <v>3259</v>
      </c>
    </row>
    <row r="1586" spans="1:2">
      <c r="A1586" s="3" t="s">
        <v>3257</v>
      </c>
      <c r="B1586" s="3" t="s">
        <v>3260</v>
      </c>
    </row>
    <row r="1587" spans="1:2">
      <c r="A1587" s="3" t="s">
        <v>3257</v>
      </c>
      <c r="B1587" s="3" t="s">
        <v>3261</v>
      </c>
    </row>
    <row r="1588" spans="1:2">
      <c r="A1588" s="3" t="s">
        <v>3262</v>
      </c>
      <c r="B1588" s="3" t="s">
        <v>3263</v>
      </c>
    </row>
    <row r="1589" spans="1:2">
      <c r="A1589" s="3" t="s">
        <v>3262</v>
      </c>
      <c r="B1589" s="3" t="s">
        <v>3264</v>
      </c>
    </row>
    <row r="1590" spans="1:2">
      <c r="A1590" s="3" t="s">
        <v>3262</v>
      </c>
      <c r="B1590" s="3" t="s">
        <v>3265</v>
      </c>
    </row>
    <row r="1591" spans="1:2">
      <c r="A1591" s="3" t="s">
        <v>3262</v>
      </c>
      <c r="B1591" s="3" t="s">
        <v>3266</v>
      </c>
    </row>
    <row r="1592" spans="1:2">
      <c r="A1592" s="3" t="s">
        <v>3267</v>
      </c>
      <c r="B1592" s="3" t="s">
        <v>3268</v>
      </c>
    </row>
    <row r="1593" spans="1:2">
      <c r="A1593" s="3" t="s">
        <v>3267</v>
      </c>
      <c r="B1593" s="3" t="s">
        <v>3269</v>
      </c>
    </row>
    <row r="1594" spans="1:2">
      <c r="A1594" s="3" t="s">
        <v>3267</v>
      </c>
      <c r="B1594" s="3" t="s">
        <v>3270</v>
      </c>
    </row>
    <row r="1595" spans="1:2">
      <c r="A1595" s="3" t="s">
        <v>3267</v>
      </c>
      <c r="B1595" s="3" t="s">
        <v>3271</v>
      </c>
    </row>
    <row r="1596" spans="1:2">
      <c r="A1596" s="3" t="s">
        <v>3272</v>
      </c>
      <c r="B1596" s="3" t="s">
        <v>3273</v>
      </c>
    </row>
    <row r="1597" spans="1:2">
      <c r="A1597" s="3" t="s">
        <v>3272</v>
      </c>
      <c r="B1597" s="3" t="s">
        <v>3274</v>
      </c>
    </row>
    <row r="1598" spans="1:2">
      <c r="A1598" s="3" t="s">
        <v>3272</v>
      </c>
      <c r="B1598" s="3" t="s">
        <v>3275</v>
      </c>
    </row>
    <row r="1599" spans="1:2">
      <c r="A1599" s="3" t="s">
        <v>3272</v>
      </c>
      <c r="B1599" s="3" t="s">
        <v>3276</v>
      </c>
    </row>
    <row r="1600" spans="1:2">
      <c r="A1600" s="3" t="s">
        <v>3277</v>
      </c>
      <c r="B1600" s="3" t="s">
        <v>3278</v>
      </c>
    </row>
    <row r="1601" spans="1:2">
      <c r="A1601" s="3" t="s">
        <v>3277</v>
      </c>
      <c r="B1601" s="3" t="s">
        <v>3279</v>
      </c>
    </row>
    <row r="1602" spans="1:2">
      <c r="A1602" s="3" t="s">
        <v>3280</v>
      </c>
      <c r="B1602" s="3" t="s">
        <v>3281</v>
      </c>
    </row>
    <row r="1603" spans="1:2">
      <c r="A1603" s="3" t="s">
        <v>3280</v>
      </c>
      <c r="B1603" s="3" t="s">
        <v>3282</v>
      </c>
    </row>
    <row r="1604" spans="1:2">
      <c r="A1604" s="3" t="s">
        <v>3280</v>
      </c>
      <c r="B1604" s="3" t="s">
        <v>3283</v>
      </c>
    </row>
    <row r="1605" spans="1:2">
      <c r="A1605" s="3" t="s">
        <v>3280</v>
      </c>
      <c r="B1605" s="3" t="s">
        <v>3284</v>
      </c>
    </row>
    <row r="1606" spans="1:2">
      <c r="A1606" s="3" t="s">
        <v>3280</v>
      </c>
      <c r="B1606" s="3" t="s">
        <v>3285</v>
      </c>
    </row>
    <row r="1607" spans="1:2">
      <c r="A1607" s="3" t="s">
        <v>3280</v>
      </c>
      <c r="B1607" s="3" t="s">
        <v>3286</v>
      </c>
    </row>
    <row r="1608" spans="1:2">
      <c r="A1608" s="3" t="s">
        <v>3280</v>
      </c>
      <c r="B1608" s="3" t="s">
        <v>3287</v>
      </c>
    </row>
    <row r="1609" spans="1:2">
      <c r="A1609" s="3" t="s">
        <v>3280</v>
      </c>
      <c r="B1609" s="3" t="s">
        <v>3288</v>
      </c>
    </row>
    <row r="1610" spans="1:2">
      <c r="A1610" s="3" t="s">
        <v>3289</v>
      </c>
      <c r="B1610" s="3" t="s">
        <v>3290</v>
      </c>
    </row>
    <row r="1611" spans="1:2">
      <c r="A1611" s="3" t="s">
        <v>3289</v>
      </c>
      <c r="B1611" s="3" t="s">
        <v>3291</v>
      </c>
    </row>
    <row r="1612" spans="1:2">
      <c r="A1612" s="3" t="s">
        <v>3289</v>
      </c>
      <c r="B1612" s="3" t="s">
        <v>3292</v>
      </c>
    </row>
    <row r="1613" spans="1:2">
      <c r="A1613" s="3" t="s">
        <v>3289</v>
      </c>
      <c r="B1613" s="3" t="s">
        <v>3293</v>
      </c>
    </row>
    <row r="1614" spans="1:2">
      <c r="A1614" s="3" t="s">
        <v>3289</v>
      </c>
      <c r="B1614" s="3" t="s">
        <v>3294</v>
      </c>
    </row>
    <row r="1615" spans="1:2">
      <c r="A1615" s="3" t="s">
        <v>3289</v>
      </c>
      <c r="B1615" s="3" t="s">
        <v>3295</v>
      </c>
    </row>
    <row r="1616" spans="1:2">
      <c r="A1616" s="3" t="s">
        <v>3289</v>
      </c>
      <c r="B1616" s="3" t="s">
        <v>3296</v>
      </c>
    </row>
    <row r="1617" spans="1:2">
      <c r="A1617" s="3" t="s">
        <v>3289</v>
      </c>
      <c r="B1617" s="3" t="s">
        <v>3297</v>
      </c>
    </row>
    <row r="1618" spans="1:2">
      <c r="A1618" s="3" t="s">
        <v>3289</v>
      </c>
      <c r="B1618" s="3" t="s">
        <v>3298</v>
      </c>
    </row>
    <row r="1619" spans="1:2">
      <c r="A1619" s="3" t="s">
        <v>3299</v>
      </c>
      <c r="B1619" s="3" t="s">
        <v>3300</v>
      </c>
    </row>
    <row r="1620" spans="1:2">
      <c r="A1620" s="3" t="s">
        <v>3299</v>
      </c>
      <c r="B1620" s="3" t="s">
        <v>3301</v>
      </c>
    </row>
    <row r="1621" spans="1:2">
      <c r="A1621" s="3" t="s">
        <v>3299</v>
      </c>
      <c r="B1621" s="3" t="s">
        <v>3302</v>
      </c>
    </row>
    <row r="1622" spans="1:2">
      <c r="A1622" s="3" t="s">
        <v>3299</v>
      </c>
      <c r="B1622" s="3" t="s">
        <v>3303</v>
      </c>
    </row>
    <row r="1623" spans="1:2">
      <c r="A1623" s="3" t="s">
        <v>3304</v>
      </c>
      <c r="B1623" s="3" t="s">
        <v>3305</v>
      </c>
    </row>
    <row r="1624" spans="1:2">
      <c r="A1624" s="3" t="s">
        <v>3304</v>
      </c>
      <c r="B1624" s="3" t="s">
        <v>3306</v>
      </c>
    </row>
    <row r="1625" spans="1:2">
      <c r="A1625" s="3" t="s">
        <v>3304</v>
      </c>
      <c r="B1625" s="3" t="s">
        <v>3307</v>
      </c>
    </row>
    <row r="1626" spans="1:2">
      <c r="A1626" s="3" t="s">
        <v>3304</v>
      </c>
      <c r="B1626" s="3" t="s">
        <v>3308</v>
      </c>
    </row>
    <row r="1627" spans="1:2">
      <c r="A1627" s="3" t="s">
        <v>3304</v>
      </c>
      <c r="B1627" s="3" t="s">
        <v>3309</v>
      </c>
    </row>
    <row r="1628" spans="1:2">
      <c r="A1628" s="3" t="s">
        <v>3310</v>
      </c>
      <c r="B1628" s="3" t="s">
        <v>3311</v>
      </c>
    </row>
    <row r="1629" spans="1:2">
      <c r="A1629" s="3" t="s">
        <v>3310</v>
      </c>
      <c r="B1629" s="3" t="s">
        <v>3312</v>
      </c>
    </row>
    <row r="1630" spans="1:2">
      <c r="A1630" s="3" t="s">
        <v>3310</v>
      </c>
      <c r="B1630" s="3" t="s">
        <v>3313</v>
      </c>
    </row>
    <row r="1631" spans="1:2">
      <c r="A1631" s="3" t="s">
        <v>3310</v>
      </c>
      <c r="B1631" s="3" t="s">
        <v>3314</v>
      </c>
    </row>
    <row r="1632" spans="1:2">
      <c r="A1632" s="3" t="s">
        <v>3310</v>
      </c>
      <c r="B1632" s="3" t="s">
        <v>3315</v>
      </c>
    </row>
    <row r="1633" spans="1:2">
      <c r="A1633" s="3" t="s">
        <v>3310</v>
      </c>
      <c r="B1633" s="3" t="s">
        <v>3316</v>
      </c>
    </row>
    <row r="1634" spans="1:2">
      <c r="A1634" s="3" t="s">
        <v>3310</v>
      </c>
      <c r="B1634" s="3" t="s">
        <v>3317</v>
      </c>
    </row>
    <row r="1635" spans="1:2">
      <c r="A1635" s="3" t="s">
        <v>3310</v>
      </c>
      <c r="B1635" s="3" t="s">
        <v>3318</v>
      </c>
    </row>
    <row r="1636" spans="1:2">
      <c r="A1636" s="3" t="s">
        <v>3319</v>
      </c>
      <c r="B1636" s="3" t="s">
        <v>3320</v>
      </c>
    </row>
    <row r="1637" spans="1:2">
      <c r="A1637" s="3" t="s">
        <v>3319</v>
      </c>
      <c r="B1637" s="3" t="s">
        <v>3321</v>
      </c>
    </row>
    <row r="1638" spans="1:2">
      <c r="A1638" s="3" t="s">
        <v>3319</v>
      </c>
      <c r="B1638" s="3" t="s">
        <v>3322</v>
      </c>
    </row>
    <row r="1639" spans="1:2">
      <c r="A1639" s="3" t="s">
        <v>3319</v>
      </c>
      <c r="B1639" s="3" t="s">
        <v>3323</v>
      </c>
    </row>
    <row r="1640" spans="1:2">
      <c r="A1640" s="3" t="s">
        <v>3324</v>
      </c>
      <c r="B1640" s="3" t="s">
        <v>3325</v>
      </c>
    </row>
    <row r="1641" spans="1:2">
      <c r="A1641" s="3" t="s">
        <v>3324</v>
      </c>
      <c r="B1641" s="3" t="s">
        <v>3326</v>
      </c>
    </row>
    <row r="1642" spans="1:2">
      <c r="A1642" s="3" t="s">
        <v>3324</v>
      </c>
      <c r="B1642" s="3" t="s">
        <v>3327</v>
      </c>
    </row>
    <row r="1643" spans="1:2">
      <c r="A1643" s="3" t="s">
        <v>3324</v>
      </c>
      <c r="B1643" s="3" t="s">
        <v>3328</v>
      </c>
    </row>
    <row r="1644" spans="1:2">
      <c r="A1644" s="3" t="s">
        <v>3324</v>
      </c>
      <c r="B1644" s="3" t="s">
        <v>3329</v>
      </c>
    </row>
    <row r="1645" spans="1:2">
      <c r="A1645" s="3" t="s">
        <v>3324</v>
      </c>
      <c r="B1645" s="3" t="s">
        <v>3330</v>
      </c>
    </row>
    <row r="1646" spans="1:2">
      <c r="A1646" s="3" t="s">
        <v>3331</v>
      </c>
      <c r="B1646" s="3" t="s">
        <v>3332</v>
      </c>
    </row>
    <row r="1647" spans="1:2">
      <c r="A1647" s="3" t="s">
        <v>3331</v>
      </c>
      <c r="B1647" s="3" t="s">
        <v>3333</v>
      </c>
    </row>
    <row r="1648" spans="1:2">
      <c r="A1648" s="3" t="s">
        <v>3331</v>
      </c>
      <c r="B1648" s="3" t="s">
        <v>3334</v>
      </c>
    </row>
    <row r="1649" spans="1:2">
      <c r="A1649" s="3" t="s">
        <v>3335</v>
      </c>
      <c r="B1649" s="3" t="s">
        <v>3336</v>
      </c>
    </row>
    <row r="1650" spans="1:2">
      <c r="A1650" s="3" t="s">
        <v>3335</v>
      </c>
      <c r="B1650" s="3" t="s">
        <v>3337</v>
      </c>
    </row>
    <row r="1651" spans="1:2">
      <c r="A1651" s="3" t="s">
        <v>3335</v>
      </c>
      <c r="B1651" s="3" t="s">
        <v>3338</v>
      </c>
    </row>
    <row r="1652" spans="1:2">
      <c r="A1652" s="3" t="s">
        <v>3335</v>
      </c>
      <c r="B1652" s="3" t="s">
        <v>3339</v>
      </c>
    </row>
    <row r="1653" spans="1:2">
      <c r="A1653" s="3" t="s">
        <v>3335</v>
      </c>
      <c r="B1653" s="3" t="s">
        <v>3340</v>
      </c>
    </row>
    <row r="1654" spans="1:2">
      <c r="A1654" s="3" t="s">
        <v>3335</v>
      </c>
      <c r="B1654" s="3" t="s">
        <v>3341</v>
      </c>
    </row>
    <row r="1655" spans="1:2">
      <c r="A1655" s="3" t="s">
        <v>3335</v>
      </c>
      <c r="B1655" s="3" t="s">
        <v>3342</v>
      </c>
    </row>
    <row r="1656" spans="1:2">
      <c r="A1656" s="3" t="s">
        <v>3335</v>
      </c>
      <c r="B1656" s="3" t="s">
        <v>3343</v>
      </c>
    </row>
    <row r="1657" spans="1:2">
      <c r="A1657" s="3" t="s">
        <v>3335</v>
      </c>
      <c r="B1657" s="3" t="s">
        <v>3344</v>
      </c>
    </row>
    <row r="1658" spans="1:2">
      <c r="A1658" s="3" t="s">
        <v>3335</v>
      </c>
      <c r="B1658" s="3" t="s">
        <v>3345</v>
      </c>
    </row>
    <row r="1659" spans="1:2">
      <c r="A1659" s="3" t="s">
        <v>3335</v>
      </c>
      <c r="B1659" s="3" t="s">
        <v>3346</v>
      </c>
    </row>
    <row r="1660" spans="1:2">
      <c r="A1660" s="3" t="s">
        <v>3335</v>
      </c>
      <c r="B1660" s="3" t="s">
        <v>3347</v>
      </c>
    </row>
    <row r="1661" spans="1:2">
      <c r="A1661" s="3" t="s">
        <v>3335</v>
      </c>
      <c r="B1661" s="3" t="s">
        <v>3348</v>
      </c>
    </row>
    <row r="1662" spans="1:2">
      <c r="A1662" s="3" t="s">
        <v>3335</v>
      </c>
      <c r="B1662" s="3" t="s">
        <v>3349</v>
      </c>
    </row>
    <row r="1663" spans="1:2">
      <c r="A1663" s="3" t="s">
        <v>3335</v>
      </c>
      <c r="B1663" s="3" t="s">
        <v>3350</v>
      </c>
    </row>
    <row r="1664" spans="1:2">
      <c r="A1664" s="3" t="s">
        <v>3335</v>
      </c>
      <c r="B1664" s="3" t="s">
        <v>3351</v>
      </c>
    </row>
    <row r="1665" spans="1:2">
      <c r="A1665" s="3" t="s">
        <v>3352</v>
      </c>
      <c r="B1665" s="3" t="s">
        <v>3353</v>
      </c>
    </row>
    <row r="1666" spans="1:2">
      <c r="A1666" s="3" t="s">
        <v>3352</v>
      </c>
      <c r="B1666" s="3" t="s">
        <v>3354</v>
      </c>
    </row>
    <row r="1667" spans="1:2">
      <c r="A1667" s="3" t="s">
        <v>3352</v>
      </c>
      <c r="B1667" s="3" t="s">
        <v>3355</v>
      </c>
    </row>
    <row r="1668" spans="1:2">
      <c r="A1668" s="3" t="s">
        <v>3356</v>
      </c>
      <c r="B1668" s="3" t="s">
        <v>3357</v>
      </c>
    </row>
    <row r="1669" spans="1:2">
      <c r="A1669" s="3" t="s">
        <v>3356</v>
      </c>
      <c r="B1669" s="3" t="s">
        <v>3358</v>
      </c>
    </row>
    <row r="1670" spans="1:2">
      <c r="A1670" s="3" t="s">
        <v>3356</v>
      </c>
      <c r="B1670" s="3" t="s">
        <v>3359</v>
      </c>
    </row>
    <row r="1671" spans="1:2">
      <c r="A1671" s="3" t="s">
        <v>3356</v>
      </c>
      <c r="B1671" s="3" t="s">
        <v>3360</v>
      </c>
    </row>
    <row r="1672" spans="1:2">
      <c r="A1672" s="3" t="s">
        <v>3356</v>
      </c>
      <c r="B1672" s="3" t="s">
        <v>3361</v>
      </c>
    </row>
    <row r="1673" spans="1:2">
      <c r="A1673" s="3" t="s">
        <v>3356</v>
      </c>
      <c r="B1673" s="3" t="s">
        <v>3362</v>
      </c>
    </row>
    <row r="1674" spans="1:2">
      <c r="A1674" s="3" t="s">
        <v>3356</v>
      </c>
      <c r="B1674" s="3" t="s">
        <v>3363</v>
      </c>
    </row>
    <row r="1675" spans="1:2">
      <c r="A1675" s="3" t="s">
        <v>3356</v>
      </c>
      <c r="B1675" s="3" t="s">
        <v>3364</v>
      </c>
    </row>
    <row r="1676" spans="1:2">
      <c r="A1676" s="3" t="s">
        <v>3365</v>
      </c>
      <c r="B1676" s="3" t="s">
        <v>3366</v>
      </c>
    </row>
    <row r="1677" spans="1:2">
      <c r="A1677" s="3" t="s">
        <v>3365</v>
      </c>
      <c r="B1677" s="3" t="s">
        <v>3367</v>
      </c>
    </row>
    <row r="1678" spans="1:2">
      <c r="A1678" s="3" t="s">
        <v>3365</v>
      </c>
      <c r="B1678" s="3" t="s">
        <v>3368</v>
      </c>
    </row>
    <row r="1679" spans="1:2">
      <c r="A1679" s="3" t="s">
        <v>3365</v>
      </c>
      <c r="B1679" s="3" t="s">
        <v>3369</v>
      </c>
    </row>
    <row r="1680" spans="1:2">
      <c r="A1680" s="3" t="s">
        <v>3365</v>
      </c>
      <c r="B1680" s="3" t="s">
        <v>3370</v>
      </c>
    </row>
    <row r="1681" spans="1:2">
      <c r="A1681" s="3" t="s">
        <v>3365</v>
      </c>
      <c r="B1681" s="3" t="s">
        <v>3371</v>
      </c>
    </row>
    <row r="1682" spans="1:2">
      <c r="A1682" s="3" t="s">
        <v>3365</v>
      </c>
      <c r="B1682" s="3" t="s">
        <v>3372</v>
      </c>
    </row>
    <row r="1683" spans="1:2">
      <c r="A1683" s="3" t="s">
        <v>3365</v>
      </c>
      <c r="B1683" s="3" t="s">
        <v>3373</v>
      </c>
    </row>
    <row r="1684" spans="1:2">
      <c r="A1684" s="3" t="s">
        <v>3374</v>
      </c>
      <c r="B1684" s="3" t="s">
        <v>3375</v>
      </c>
    </row>
    <row r="1685" spans="1:2">
      <c r="A1685" s="3" t="s">
        <v>3374</v>
      </c>
      <c r="B1685" s="3" t="s">
        <v>3376</v>
      </c>
    </row>
    <row r="1686" spans="1:2">
      <c r="A1686" s="3" t="s">
        <v>3374</v>
      </c>
      <c r="B1686" s="3" t="s">
        <v>3377</v>
      </c>
    </row>
    <row r="1687" spans="1:2">
      <c r="A1687" s="3" t="s">
        <v>3374</v>
      </c>
      <c r="B1687" s="3" t="s">
        <v>3378</v>
      </c>
    </row>
    <row r="1688" spans="1:2">
      <c r="A1688" s="3" t="s">
        <v>3374</v>
      </c>
      <c r="B1688" s="3" t="s">
        <v>3379</v>
      </c>
    </row>
    <row r="1689" spans="1:2">
      <c r="A1689" s="3" t="s">
        <v>3374</v>
      </c>
      <c r="B1689" s="3" t="s">
        <v>3380</v>
      </c>
    </row>
    <row r="1690" spans="1:2">
      <c r="A1690" s="3" t="s">
        <v>3374</v>
      </c>
      <c r="B1690" s="3" t="s">
        <v>3381</v>
      </c>
    </row>
    <row r="1691" spans="1:2">
      <c r="A1691" s="3" t="s">
        <v>3374</v>
      </c>
      <c r="B1691" s="3" t="s">
        <v>3382</v>
      </c>
    </row>
    <row r="1692" spans="1:2">
      <c r="A1692" s="3" t="s">
        <v>3374</v>
      </c>
      <c r="B1692" s="3" t="s">
        <v>3383</v>
      </c>
    </row>
    <row r="1693" spans="1:2">
      <c r="A1693" s="3" t="s">
        <v>3374</v>
      </c>
      <c r="B1693" s="3" t="s">
        <v>3384</v>
      </c>
    </row>
    <row r="1694" spans="1:2">
      <c r="A1694" s="3" t="s">
        <v>3374</v>
      </c>
      <c r="B1694" s="3" t="s">
        <v>3385</v>
      </c>
    </row>
    <row r="1695" spans="1:2">
      <c r="A1695" s="3" t="s">
        <v>3374</v>
      </c>
      <c r="B1695" s="3" t="s">
        <v>3386</v>
      </c>
    </row>
    <row r="1696" spans="1:2">
      <c r="A1696" s="3" t="s">
        <v>3374</v>
      </c>
      <c r="B1696" s="3" t="s">
        <v>3387</v>
      </c>
    </row>
    <row r="1697" spans="1:2">
      <c r="A1697" s="3" t="s">
        <v>3374</v>
      </c>
      <c r="B1697" s="3" t="s">
        <v>3388</v>
      </c>
    </row>
    <row r="1698" spans="1:2">
      <c r="A1698" s="3" t="s">
        <v>3374</v>
      </c>
      <c r="B1698" s="3" t="s">
        <v>3389</v>
      </c>
    </row>
    <row r="1699" spans="1:2">
      <c r="A1699" s="3" t="s">
        <v>3374</v>
      </c>
      <c r="B1699" s="3" t="s">
        <v>3390</v>
      </c>
    </row>
    <row r="1700" spans="1:2">
      <c r="A1700" s="3" t="s">
        <v>3391</v>
      </c>
      <c r="B1700" s="3" t="s">
        <v>3392</v>
      </c>
    </row>
    <row r="1701" spans="1:2">
      <c r="A1701" s="3" t="s">
        <v>3391</v>
      </c>
      <c r="B1701" s="3" t="s">
        <v>3393</v>
      </c>
    </row>
    <row r="1702" spans="1:2">
      <c r="A1702" s="3" t="s">
        <v>3391</v>
      </c>
      <c r="B1702" s="3" t="s">
        <v>3394</v>
      </c>
    </row>
    <row r="1703" spans="1:2">
      <c r="A1703" s="3" t="s">
        <v>3391</v>
      </c>
      <c r="B1703" s="3" t="s">
        <v>3395</v>
      </c>
    </row>
    <row r="1704" spans="1:2">
      <c r="A1704" s="3" t="s">
        <v>3396</v>
      </c>
      <c r="B1704" s="3" t="s">
        <v>3397</v>
      </c>
    </row>
    <row r="1705" spans="1:2">
      <c r="A1705" s="3" t="s">
        <v>3396</v>
      </c>
      <c r="B1705" s="3" t="s">
        <v>3398</v>
      </c>
    </row>
    <row r="1706" spans="1:2">
      <c r="A1706" s="3" t="s">
        <v>3396</v>
      </c>
      <c r="B1706" s="3" t="s">
        <v>3399</v>
      </c>
    </row>
    <row r="1707" spans="1:2">
      <c r="A1707" s="3" t="s">
        <v>3400</v>
      </c>
      <c r="B1707" s="3" t="s">
        <v>3401</v>
      </c>
    </row>
    <row r="1708" spans="1:2">
      <c r="A1708" s="3" t="s">
        <v>3400</v>
      </c>
      <c r="B1708" s="3" t="s">
        <v>3402</v>
      </c>
    </row>
    <row r="1709" spans="1:2">
      <c r="A1709" s="3" t="s">
        <v>3400</v>
      </c>
      <c r="B1709" s="3" t="s">
        <v>3403</v>
      </c>
    </row>
    <row r="1710" spans="1:2">
      <c r="A1710" s="3" t="s">
        <v>3400</v>
      </c>
      <c r="B1710" s="3" t="s">
        <v>3404</v>
      </c>
    </row>
    <row r="1711" spans="1:2">
      <c r="A1711" s="3" t="s">
        <v>3405</v>
      </c>
      <c r="B1711" s="3" t="s">
        <v>3406</v>
      </c>
    </row>
    <row r="1712" spans="1:2">
      <c r="A1712" s="3" t="s">
        <v>3405</v>
      </c>
      <c r="B1712" s="3" t="s">
        <v>3407</v>
      </c>
    </row>
    <row r="1713" spans="1:2">
      <c r="A1713" s="3" t="s">
        <v>3405</v>
      </c>
      <c r="B1713" s="3" t="s">
        <v>3408</v>
      </c>
    </row>
    <row r="1714" spans="1:2">
      <c r="A1714" s="3" t="s">
        <v>3405</v>
      </c>
      <c r="B1714" s="3" t="s">
        <v>3409</v>
      </c>
    </row>
    <row r="1715" spans="1:2">
      <c r="A1715" s="3" t="s">
        <v>3410</v>
      </c>
      <c r="B1715" s="3" t="s">
        <v>3411</v>
      </c>
    </row>
    <row r="1716" spans="1:2">
      <c r="A1716" s="3" t="s">
        <v>3410</v>
      </c>
      <c r="B1716" s="3" t="s">
        <v>3412</v>
      </c>
    </row>
    <row r="1717" spans="1:2">
      <c r="A1717" s="3" t="s">
        <v>3410</v>
      </c>
      <c r="B1717" s="3" t="s">
        <v>3413</v>
      </c>
    </row>
    <row r="1718" spans="1:2">
      <c r="A1718" s="3" t="s">
        <v>3410</v>
      </c>
      <c r="B1718" s="3" t="s">
        <v>3414</v>
      </c>
    </row>
    <row r="1719" spans="1:2">
      <c r="A1719" s="3" t="s">
        <v>3410</v>
      </c>
      <c r="B1719" s="3" t="s">
        <v>3415</v>
      </c>
    </row>
    <row r="1720" spans="1:2">
      <c r="A1720" s="3" t="s">
        <v>3410</v>
      </c>
      <c r="B1720" s="3" t="s">
        <v>3416</v>
      </c>
    </row>
    <row r="1721" spans="1:2">
      <c r="A1721" s="3" t="s">
        <v>3417</v>
      </c>
      <c r="B1721" s="3" t="s">
        <v>3418</v>
      </c>
    </row>
    <row r="1722" spans="1:2">
      <c r="A1722" s="3" t="s">
        <v>3417</v>
      </c>
      <c r="B1722" s="3" t="s">
        <v>3419</v>
      </c>
    </row>
    <row r="1723" spans="1:2">
      <c r="A1723" s="3" t="s">
        <v>3420</v>
      </c>
      <c r="B1723" s="3" t="s">
        <v>3421</v>
      </c>
    </row>
    <row r="1724" spans="1:2">
      <c r="A1724" s="3" t="s">
        <v>3420</v>
      </c>
      <c r="B1724" s="3" t="s">
        <v>3422</v>
      </c>
    </row>
    <row r="1725" spans="1:2">
      <c r="A1725" s="3" t="s">
        <v>3420</v>
      </c>
      <c r="B1725" s="3" t="s">
        <v>3423</v>
      </c>
    </row>
    <row r="1726" spans="1:2">
      <c r="A1726" s="3" t="s">
        <v>3420</v>
      </c>
      <c r="B1726" s="3" t="s">
        <v>3424</v>
      </c>
    </row>
    <row r="1727" spans="1:2">
      <c r="A1727" s="3" t="s">
        <v>3425</v>
      </c>
      <c r="B1727" s="3" t="s">
        <v>3426</v>
      </c>
    </row>
    <row r="1728" spans="1:2">
      <c r="A1728" s="3" t="s">
        <v>3425</v>
      </c>
      <c r="B1728" s="3" t="s">
        <v>3427</v>
      </c>
    </row>
    <row r="1729" spans="1:2">
      <c r="A1729" s="3" t="s">
        <v>3428</v>
      </c>
      <c r="B1729" s="3" t="s">
        <v>3429</v>
      </c>
    </row>
    <row r="1730" spans="1:2">
      <c r="A1730" s="3" t="s">
        <v>3428</v>
      </c>
      <c r="B1730" s="3" t="s">
        <v>3430</v>
      </c>
    </row>
    <row r="1731" spans="1:2">
      <c r="A1731" s="3" t="s">
        <v>3428</v>
      </c>
      <c r="B1731" s="3" t="s">
        <v>3431</v>
      </c>
    </row>
    <row r="1732" spans="1:2">
      <c r="A1732" s="3" t="s">
        <v>3428</v>
      </c>
      <c r="B1732" s="3" t="s">
        <v>3432</v>
      </c>
    </row>
    <row r="1733" spans="1:2">
      <c r="A1733" s="3" t="s">
        <v>3433</v>
      </c>
      <c r="B1733" s="3" t="s">
        <v>3434</v>
      </c>
    </row>
    <row r="1734" spans="1:2">
      <c r="A1734" s="3" t="s">
        <v>3433</v>
      </c>
      <c r="B1734" s="3" t="s">
        <v>3435</v>
      </c>
    </row>
    <row r="1735" spans="1:2">
      <c r="A1735" s="3" t="s">
        <v>3436</v>
      </c>
      <c r="B1735" s="3" t="s">
        <v>3437</v>
      </c>
    </row>
    <row r="1736" spans="1:2">
      <c r="A1736" s="3" t="s">
        <v>3436</v>
      </c>
      <c r="B1736" s="3" t="s">
        <v>3438</v>
      </c>
    </row>
    <row r="1737" spans="1:2">
      <c r="A1737" s="3" t="s">
        <v>3439</v>
      </c>
      <c r="B1737" s="3" t="s">
        <v>3440</v>
      </c>
    </row>
    <row r="1738" spans="1:2">
      <c r="A1738" s="3" t="s">
        <v>3439</v>
      </c>
      <c r="B1738" s="3" t="s">
        <v>3441</v>
      </c>
    </row>
    <row r="1739" spans="1:2">
      <c r="A1739" s="3" t="s">
        <v>3439</v>
      </c>
      <c r="B1739" s="3" t="s">
        <v>3442</v>
      </c>
    </row>
    <row r="1740" spans="1:2">
      <c r="A1740" s="3" t="s">
        <v>3439</v>
      </c>
      <c r="B1740" s="3" t="s">
        <v>3443</v>
      </c>
    </row>
    <row r="1741" spans="1:2">
      <c r="A1741" s="3" t="s">
        <v>3444</v>
      </c>
      <c r="B1741" s="3" t="s">
        <v>3445</v>
      </c>
    </row>
    <row r="1742" spans="1:2">
      <c r="A1742" s="3" t="s">
        <v>3444</v>
      </c>
      <c r="B1742" s="3" t="s">
        <v>3446</v>
      </c>
    </row>
    <row r="1743" spans="1:2">
      <c r="A1743" s="3" t="s">
        <v>3444</v>
      </c>
      <c r="B1743" s="3" t="s">
        <v>3447</v>
      </c>
    </row>
    <row r="1744" spans="1:2">
      <c r="A1744" s="3" t="s">
        <v>3444</v>
      </c>
      <c r="B1744" s="3" t="s">
        <v>3448</v>
      </c>
    </row>
    <row r="1745" spans="1:2">
      <c r="A1745" s="3" t="s">
        <v>3449</v>
      </c>
      <c r="B1745" s="3" t="s">
        <v>3450</v>
      </c>
    </row>
    <row r="1746" spans="1:2">
      <c r="A1746" s="3" t="s">
        <v>3449</v>
      </c>
      <c r="B1746" s="3" t="s">
        <v>3451</v>
      </c>
    </row>
    <row r="1747" spans="1:2">
      <c r="A1747" s="3" t="s">
        <v>3449</v>
      </c>
      <c r="B1747" s="3" t="s">
        <v>3452</v>
      </c>
    </row>
    <row r="1748" spans="1:2">
      <c r="A1748" s="3" t="s">
        <v>3449</v>
      </c>
      <c r="B1748" s="3" t="s">
        <v>3453</v>
      </c>
    </row>
    <row r="1749" spans="1:2">
      <c r="A1749" s="3" t="s">
        <v>3449</v>
      </c>
      <c r="B1749" s="3" t="s">
        <v>3454</v>
      </c>
    </row>
    <row r="1750" spans="1:2">
      <c r="A1750" s="3" t="s">
        <v>3449</v>
      </c>
      <c r="B1750" s="3" t="s">
        <v>3455</v>
      </c>
    </row>
    <row r="1751" spans="1:2">
      <c r="A1751" s="3" t="s">
        <v>3449</v>
      </c>
      <c r="B1751" s="3" t="s">
        <v>3456</v>
      </c>
    </row>
    <row r="1752" spans="1:2">
      <c r="A1752" s="3" t="s">
        <v>3457</v>
      </c>
      <c r="B1752" s="3" t="s">
        <v>3458</v>
      </c>
    </row>
    <row r="1753" spans="1:2">
      <c r="A1753" s="3" t="s">
        <v>3457</v>
      </c>
      <c r="B1753" s="3" t="s">
        <v>3459</v>
      </c>
    </row>
    <row r="1754" spans="1:2">
      <c r="A1754" s="3" t="s">
        <v>3457</v>
      </c>
      <c r="B1754" s="3" t="s">
        <v>3460</v>
      </c>
    </row>
    <row r="1755" spans="1:2">
      <c r="A1755" s="3" t="s">
        <v>3457</v>
      </c>
      <c r="B1755" s="3" t="s">
        <v>3461</v>
      </c>
    </row>
    <row r="1756" spans="1:2">
      <c r="A1756" s="3" t="s">
        <v>3462</v>
      </c>
      <c r="B1756" s="3" t="s">
        <v>3463</v>
      </c>
    </row>
    <row r="1757" spans="1:2">
      <c r="A1757" s="3" t="s">
        <v>3462</v>
      </c>
      <c r="B1757" s="3" t="s">
        <v>3464</v>
      </c>
    </row>
    <row r="1758" spans="1:2">
      <c r="A1758" s="3" t="s">
        <v>3465</v>
      </c>
      <c r="B1758" s="3" t="s">
        <v>3466</v>
      </c>
    </row>
    <row r="1759" spans="1:2">
      <c r="A1759" s="3" t="s">
        <v>3465</v>
      </c>
      <c r="B1759" s="3" t="s">
        <v>3467</v>
      </c>
    </row>
    <row r="1760" spans="1:2">
      <c r="A1760" s="3" t="s">
        <v>3465</v>
      </c>
      <c r="B1760" s="3" t="s">
        <v>3468</v>
      </c>
    </row>
    <row r="1761" spans="1:2">
      <c r="A1761" s="3" t="s">
        <v>3465</v>
      </c>
      <c r="B1761" s="3" t="s">
        <v>3469</v>
      </c>
    </row>
    <row r="1762" spans="1:2">
      <c r="A1762" s="3" t="s">
        <v>3470</v>
      </c>
      <c r="B1762" s="3" t="s">
        <v>3471</v>
      </c>
    </row>
    <row r="1763" spans="1:2">
      <c r="A1763" s="3" t="s">
        <v>3470</v>
      </c>
      <c r="B1763" s="3" t="s">
        <v>3472</v>
      </c>
    </row>
    <row r="1764" spans="1:2">
      <c r="A1764" s="3" t="s">
        <v>3470</v>
      </c>
      <c r="B1764" s="3" t="s">
        <v>3473</v>
      </c>
    </row>
    <row r="1765" spans="1:2">
      <c r="A1765" s="3" t="s">
        <v>3470</v>
      </c>
      <c r="B1765" s="3" t="s">
        <v>3474</v>
      </c>
    </row>
    <row r="1766" spans="1:2">
      <c r="A1766" s="3" t="s">
        <v>3470</v>
      </c>
      <c r="B1766" s="3" t="s">
        <v>3475</v>
      </c>
    </row>
    <row r="1767" spans="1:2">
      <c r="A1767" s="3" t="s">
        <v>3470</v>
      </c>
      <c r="B1767" s="3" t="s">
        <v>3476</v>
      </c>
    </row>
    <row r="1768" spans="1:2">
      <c r="A1768" s="3" t="s">
        <v>3470</v>
      </c>
      <c r="B1768" s="3" t="s">
        <v>3477</v>
      </c>
    </row>
    <row r="1769" spans="1:2">
      <c r="A1769" s="3" t="s">
        <v>3470</v>
      </c>
      <c r="B1769" s="3" t="s">
        <v>3478</v>
      </c>
    </row>
    <row r="1770" spans="1:2">
      <c r="A1770" s="3" t="s">
        <v>3479</v>
      </c>
      <c r="B1770" s="3" t="s">
        <v>3480</v>
      </c>
    </row>
    <row r="1771" spans="1:2">
      <c r="A1771" s="3" t="s">
        <v>3479</v>
      </c>
      <c r="B1771" s="3" t="s">
        <v>3481</v>
      </c>
    </row>
    <row r="1772" spans="1:2">
      <c r="A1772" s="3" t="s">
        <v>3479</v>
      </c>
      <c r="B1772" s="3" t="s">
        <v>3482</v>
      </c>
    </row>
    <row r="1773" spans="1:2">
      <c r="A1773" s="3" t="s">
        <v>3479</v>
      </c>
      <c r="B1773" s="3" t="s">
        <v>3483</v>
      </c>
    </row>
    <row r="1774" spans="1:2">
      <c r="A1774" s="3" t="s">
        <v>3479</v>
      </c>
      <c r="B1774" s="3" t="s">
        <v>3484</v>
      </c>
    </row>
    <row r="1775" spans="1:2">
      <c r="A1775" s="3" t="s">
        <v>3479</v>
      </c>
      <c r="B1775" s="3" t="s">
        <v>3485</v>
      </c>
    </row>
    <row r="1776" spans="1:2">
      <c r="A1776" s="3" t="s">
        <v>3479</v>
      </c>
      <c r="B1776" s="3" t="s">
        <v>3486</v>
      </c>
    </row>
    <row r="1777" spans="1:2">
      <c r="A1777" s="3" t="s">
        <v>3479</v>
      </c>
      <c r="B1777" s="3" t="s">
        <v>3487</v>
      </c>
    </row>
    <row r="1778" spans="1:2">
      <c r="A1778" s="3" t="s">
        <v>3488</v>
      </c>
      <c r="B1778" s="3" t="s">
        <v>3489</v>
      </c>
    </row>
    <row r="1779" spans="1:2">
      <c r="A1779" s="3" t="s">
        <v>3488</v>
      </c>
      <c r="B1779" s="3" t="s">
        <v>3490</v>
      </c>
    </row>
    <row r="1780" spans="1:2">
      <c r="A1780" s="3" t="s">
        <v>3488</v>
      </c>
      <c r="B1780" s="3" t="s">
        <v>3491</v>
      </c>
    </row>
    <row r="1781" spans="1:2">
      <c r="A1781" s="3" t="s">
        <v>3488</v>
      </c>
      <c r="B1781" s="3" t="s">
        <v>3492</v>
      </c>
    </row>
    <row r="1782" spans="1:2">
      <c r="A1782" s="3" t="s">
        <v>3493</v>
      </c>
      <c r="B1782" s="3" t="s">
        <v>3494</v>
      </c>
    </row>
    <row r="1783" spans="1:2">
      <c r="A1783" s="3" t="s">
        <v>3493</v>
      </c>
      <c r="B1783" s="3" t="s">
        <v>3495</v>
      </c>
    </row>
    <row r="1784" spans="1:2">
      <c r="A1784" s="3" t="s">
        <v>3493</v>
      </c>
      <c r="B1784" s="3" t="s">
        <v>3496</v>
      </c>
    </row>
    <row r="1785" spans="1:2">
      <c r="A1785" s="3" t="s">
        <v>3493</v>
      </c>
      <c r="B1785" s="3" t="s">
        <v>3497</v>
      </c>
    </row>
    <row r="1786" spans="1:2">
      <c r="A1786" s="3" t="s">
        <v>3493</v>
      </c>
      <c r="B1786" s="3" t="s">
        <v>3498</v>
      </c>
    </row>
    <row r="1787" spans="1:2">
      <c r="A1787" s="3" t="s">
        <v>3493</v>
      </c>
      <c r="B1787" s="3" t="s">
        <v>3499</v>
      </c>
    </row>
    <row r="1788" spans="1:2">
      <c r="A1788" s="3" t="s">
        <v>3493</v>
      </c>
      <c r="B1788" s="3" t="s">
        <v>3500</v>
      </c>
    </row>
    <row r="1789" spans="1:2">
      <c r="A1789" s="3" t="s">
        <v>3493</v>
      </c>
      <c r="B1789" s="3" t="s">
        <v>3501</v>
      </c>
    </row>
    <row r="1790" spans="1:2">
      <c r="A1790" s="3" t="s">
        <v>3493</v>
      </c>
      <c r="B1790" s="3" t="s">
        <v>3502</v>
      </c>
    </row>
    <row r="1791" spans="1:2">
      <c r="A1791" s="3" t="s">
        <v>3493</v>
      </c>
      <c r="B1791" s="3" t="s">
        <v>3503</v>
      </c>
    </row>
    <row r="1792" spans="1:2">
      <c r="A1792" s="3" t="s">
        <v>3493</v>
      </c>
      <c r="B1792" s="3" t="s">
        <v>3504</v>
      </c>
    </row>
    <row r="1793" spans="1:2">
      <c r="A1793" s="3" t="s">
        <v>3493</v>
      </c>
      <c r="B1793" s="3" t="s">
        <v>3505</v>
      </c>
    </row>
    <row r="1794" spans="1:2">
      <c r="A1794" s="3" t="s">
        <v>3493</v>
      </c>
      <c r="B1794" s="3" t="s">
        <v>3506</v>
      </c>
    </row>
    <row r="1795" spans="1:2">
      <c r="A1795" s="3" t="s">
        <v>3493</v>
      </c>
      <c r="B1795" s="3" t="s">
        <v>3507</v>
      </c>
    </row>
    <row r="1796" spans="1:2">
      <c r="A1796" s="3" t="s">
        <v>3493</v>
      </c>
      <c r="B1796" s="3" t="s">
        <v>3508</v>
      </c>
    </row>
    <row r="1797" spans="1:2">
      <c r="A1797" s="3" t="s">
        <v>3493</v>
      </c>
      <c r="B1797" s="3" t="s">
        <v>3509</v>
      </c>
    </row>
    <row r="1798" spans="1:2">
      <c r="A1798" s="3" t="s">
        <v>3510</v>
      </c>
      <c r="B1798" s="3" t="s">
        <v>3511</v>
      </c>
    </row>
    <row r="1799" spans="1:2">
      <c r="A1799" s="3" t="s">
        <v>3510</v>
      </c>
      <c r="B1799" s="3" t="s">
        <v>3512</v>
      </c>
    </row>
    <row r="1800" spans="1:2">
      <c r="A1800" s="3" t="s">
        <v>3510</v>
      </c>
      <c r="B1800" s="3" t="s">
        <v>3513</v>
      </c>
    </row>
    <row r="1801" spans="1:2">
      <c r="A1801" s="3" t="s">
        <v>3510</v>
      </c>
      <c r="B1801" s="3" t="s">
        <v>3514</v>
      </c>
    </row>
    <row r="1802" spans="1:2">
      <c r="A1802" s="3" t="s">
        <v>3510</v>
      </c>
      <c r="B1802" s="3" t="s">
        <v>3515</v>
      </c>
    </row>
    <row r="1803" spans="1:2">
      <c r="A1803" s="3" t="s">
        <v>3510</v>
      </c>
      <c r="B1803" s="3" t="s">
        <v>3516</v>
      </c>
    </row>
    <row r="1804" spans="1:2">
      <c r="A1804" s="3" t="s">
        <v>3510</v>
      </c>
      <c r="B1804" s="3" t="s">
        <v>3517</v>
      </c>
    </row>
    <row r="1805" spans="1:2">
      <c r="A1805" s="3" t="s">
        <v>3510</v>
      </c>
      <c r="B1805" s="3" t="s">
        <v>3518</v>
      </c>
    </row>
    <row r="1806" spans="1:2">
      <c r="A1806" s="3" t="s">
        <v>3510</v>
      </c>
      <c r="B1806" s="3" t="s">
        <v>3519</v>
      </c>
    </row>
    <row r="1807" spans="1:2">
      <c r="A1807" s="3" t="s">
        <v>3510</v>
      </c>
      <c r="B1807" s="3" t="s">
        <v>3520</v>
      </c>
    </row>
    <row r="1808" spans="1:2">
      <c r="A1808" s="3" t="s">
        <v>3521</v>
      </c>
      <c r="B1808" s="3" t="s">
        <v>3522</v>
      </c>
    </row>
    <row r="1809" spans="1:2">
      <c r="A1809" s="3" t="s">
        <v>3521</v>
      </c>
      <c r="B1809" s="3" t="s">
        <v>3523</v>
      </c>
    </row>
    <row r="1810" spans="1:2">
      <c r="A1810" s="3" t="s">
        <v>3521</v>
      </c>
      <c r="B1810" s="3" t="s">
        <v>3524</v>
      </c>
    </row>
    <row r="1811" spans="1:2">
      <c r="A1811" s="3" t="s">
        <v>3521</v>
      </c>
      <c r="B1811" s="3" t="s">
        <v>3525</v>
      </c>
    </row>
    <row r="1812" spans="1:2">
      <c r="A1812" s="3" t="s">
        <v>3521</v>
      </c>
      <c r="B1812" s="3" t="s">
        <v>3526</v>
      </c>
    </row>
    <row r="1813" spans="1:2">
      <c r="A1813" s="3" t="s">
        <v>3521</v>
      </c>
      <c r="B1813" s="3" t="s">
        <v>3527</v>
      </c>
    </row>
    <row r="1814" spans="1:2">
      <c r="A1814" s="3" t="s">
        <v>3521</v>
      </c>
      <c r="B1814" s="3" t="s">
        <v>3528</v>
      </c>
    </row>
    <row r="1815" spans="1:2">
      <c r="A1815" s="3" t="s">
        <v>3529</v>
      </c>
      <c r="B1815" s="3" t="s">
        <v>3530</v>
      </c>
    </row>
    <row r="1816" spans="1:2">
      <c r="A1816" s="3" t="s">
        <v>3529</v>
      </c>
      <c r="B1816" s="3" t="s">
        <v>3531</v>
      </c>
    </row>
    <row r="1817" spans="1:2">
      <c r="A1817" s="3" t="s">
        <v>3529</v>
      </c>
      <c r="B1817" s="3" t="s">
        <v>3532</v>
      </c>
    </row>
    <row r="1818" spans="1:2">
      <c r="A1818" s="3" t="s">
        <v>3529</v>
      </c>
      <c r="B1818" s="3" t="s">
        <v>3533</v>
      </c>
    </row>
    <row r="1819" spans="1:2">
      <c r="A1819" s="3" t="s">
        <v>3529</v>
      </c>
      <c r="B1819" s="3" t="s">
        <v>3534</v>
      </c>
    </row>
    <row r="1820" spans="1:2">
      <c r="A1820" s="3" t="s">
        <v>3529</v>
      </c>
      <c r="B1820" s="3" t="s">
        <v>3535</v>
      </c>
    </row>
    <row r="1821" spans="1:2">
      <c r="A1821" s="3" t="s">
        <v>3529</v>
      </c>
      <c r="B1821" s="3" t="s">
        <v>3536</v>
      </c>
    </row>
    <row r="1822" spans="1:2">
      <c r="A1822" s="3" t="s">
        <v>3529</v>
      </c>
      <c r="B1822" s="3" t="s">
        <v>3537</v>
      </c>
    </row>
    <row r="1823" spans="1:2">
      <c r="A1823" s="3" t="s">
        <v>3538</v>
      </c>
      <c r="B1823" s="3" t="s">
        <v>3539</v>
      </c>
    </row>
    <row r="1824" spans="1:2">
      <c r="A1824" s="3" t="s">
        <v>3538</v>
      </c>
      <c r="B1824" s="3" t="s">
        <v>3540</v>
      </c>
    </row>
    <row r="1825" spans="1:2">
      <c r="A1825" s="3" t="s">
        <v>3538</v>
      </c>
      <c r="B1825" s="3" t="s">
        <v>3541</v>
      </c>
    </row>
    <row r="1826" spans="1:2">
      <c r="A1826" s="3" t="s">
        <v>3538</v>
      </c>
      <c r="B1826" s="3" t="s">
        <v>3542</v>
      </c>
    </row>
    <row r="1827" spans="1:2">
      <c r="A1827" s="3" t="s">
        <v>3538</v>
      </c>
      <c r="B1827" s="3" t="s">
        <v>3543</v>
      </c>
    </row>
    <row r="1828" spans="1:2">
      <c r="A1828" s="3" t="s">
        <v>3538</v>
      </c>
      <c r="B1828" s="3" t="s">
        <v>3544</v>
      </c>
    </row>
    <row r="1829" spans="1:2">
      <c r="A1829" s="3" t="s">
        <v>3538</v>
      </c>
      <c r="B1829" s="3" t="s">
        <v>3545</v>
      </c>
    </row>
    <row r="1830" spans="1:2">
      <c r="A1830" s="3" t="s">
        <v>3538</v>
      </c>
      <c r="B1830" s="3" t="s">
        <v>3546</v>
      </c>
    </row>
    <row r="1831" spans="1:2">
      <c r="A1831" s="3" t="s">
        <v>3538</v>
      </c>
      <c r="B1831" s="3" t="s">
        <v>3547</v>
      </c>
    </row>
    <row r="1832" spans="1:2">
      <c r="A1832" s="3" t="s">
        <v>3538</v>
      </c>
      <c r="B1832" s="3" t="s">
        <v>3548</v>
      </c>
    </row>
    <row r="1833" spans="1:2">
      <c r="A1833" s="3" t="s">
        <v>3538</v>
      </c>
      <c r="B1833" s="3" t="s">
        <v>3549</v>
      </c>
    </row>
    <row r="1834" spans="1:2">
      <c r="A1834" s="3" t="s">
        <v>3538</v>
      </c>
      <c r="B1834" s="3" t="s">
        <v>3550</v>
      </c>
    </row>
    <row r="1835" spans="1:2">
      <c r="A1835" s="3" t="s">
        <v>3551</v>
      </c>
      <c r="B1835" s="3" t="s">
        <v>3552</v>
      </c>
    </row>
    <row r="1836" spans="1:2">
      <c r="A1836" s="3" t="s">
        <v>3551</v>
      </c>
      <c r="B1836" s="3" t="s">
        <v>3553</v>
      </c>
    </row>
    <row r="1837" spans="1:2">
      <c r="A1837" s="3" t="s">
        <v>3551</v>
      </c>
      <c r="B1837" s="3" t="s">
        <v>3554</v>
      </c>
    </row>
    <row r="1838" spans="1:2">
      <c r="A1838" s="3" t="s">
        <v>3551</v>
      </c>
      <c r="B1838" s="3" t="s">
        <v>3555</v>
      </c>
    </row>
    <row r="1839" spans="1:2">
      <c r="A1839" s="3" t="s">
        <v>3551</v>
      </c>
      <c r="B1839" s="3" t="s">
        <v>2338</v>
      </c>
    </row>
    <row r="1840" spans="1:2">
      <c r="A1840" s="3" t="s">
        <v>3551</v>
      </c>
      <c r="B1840" s="3" t="s">
        <v>2339</v>
      </c>
    </row>
    <row r="1841" spans="1:2">
      <c r="A1841" s="3" t="s">
        <v>3556</v>
      </c>
      <c r="B1841" s="3" t="s">
        <v>3557</v>
      </c>
    </row>
    <row r="1842" spans="1:2">
      <c r="A1842" s="3" t="s">
        <v>3556</v>
      </c>
      <c r="B1842" s="3" t="s">
        <v>3558</v>
      </c>
    </row>
    <row r="1843" spans="1:2">
      <c r="A1843" s="3" t="s">
        <v>3556</v>
      </c>
      <c r="B1843" s="3" t="s">
        <v>3559</v>
      </c>
    </row>
    <row r="1844" spans="1:2">
      <c r="A1844" s="3" t="s">
        <v>3556</v>
      </c>
      <c r="B1844" s="3" t="s">
        <v>3560</v>
      </c>
    </row>
    <row r="1845" spans="1:2">
      <c r="A1845" s="3" t="s">
        <v>3556</v>
      </c>
      <c r="B1845" s="3" t="s">
        <v>3561</v>
      </c>
    </row>
    <row r="1846" spans="1:2">
      <c r="A1846" s="3" t="s">
        <v>3556</v>
      </c>
      <c r="B1846" s="3" t="s">
        <v>3562</v>
      </c>
    </row>
    <row r="1847" spans="1:2">
      <c r="A1847" s="3" t="s">
        <v>3556</v>
      </c>
      <c r="B1847" s="3" t="s">
        <v>3563</v>
      </c>
    </row>
    <row r="1848" spans="1:2">
      <c r="A1848" s="3" t="s">
        <v>3556</v>
      </c>
      <c r="B1848" s="3" t="s">
        <v>3564</v>
      </c>
    </row>
    <row r="1849" spans="1:2">
      <c r="A1849" s="3" t="s">
        <v>3556</v>
      </c>
      <c r="B1849" s="3" t="s">
        <v>3565</v>
      </c>
    </row>
    <row r="1850" spans="1:2">
      <c r="A1850" s="3" t="s">
        <v>3556</v>
      </c>
      <c r="B1850" s="3" t="s">
        <v>3566</v>
      </c>
    </row>
    <row r="1851" spans="1:2">
      <c r="A1851" s="3" t="s">
        <v>3556</v>
      </c>
      <c r="B1851" s="3" t="s">
        <v>3567</v>
      </c>
    </row>
    <row r="1852" spans="1:2">
      <c r="A1852" s="3" t="s">
        <v>3568</v>
      </c>
      <c r="B1852" s="3" t="s">
        <v>3569</v>
      </c>
    </row>
    <row r="1853" spans="1:2">
      <c r="A1853" s="3" t="s">
        <v>3568</v>
      </c>
      <c r="B1853" s="3" t="s">
        <v>3570</v>
      </c>
    </row>
    <row r="1854" spans="1:2">
      <c r="A1854" s="3" t="s">
        <v>3568</v>
      </c>
      <c r="B1854" s="3" t="s">
        <v>3571</v>
      </c>
    </row>
    <row r="1855" spans="1:2">
      <c r="A1855" s="3" t="s">
        <v>3572</v>
      </c>
      <c r="B1855" s="3" t="s">
        <v>3573</v>
      </c>
    </row>
    <row r="1856" spans="1:2">
      <c r="A1856" s="3" t="s">
        <v>3572</v>
      </c>
      <c r="B1856" s="3" t="s">
        <v>3574</v>
      </c>
    </row>
    <row r="1857" spans="1:2">
      <c r="A1857" s="3" t="s">
        <v>3572</v>
      </c>
      <c r="B1857" s="3" t="s">
        <v>3575</v>
      </c>
    </row>
    <row r="1858" spans="1:2">
      <c r="A1858" s="3" t="s">
        <v>3572</v>
      </c>
      <c r="B1858" s="3" t="s">
        <v>3576</v>
      </c>
    </row>
    <row r="1859" spans="1:2">
      <c r="A1859" s="3" t="s">
        <v>3577</v>
      </c>
      <c r="B1859" s="3" t="s">
        <v>3578</v>
      </c>
    </row>
    <row r="1860" spans="1:2">
      <c r="A1860" s="3" t="s">
        <v>3577</v>
      </c>
      <c r="B1860" s="3" t="s">
        <v>3579</v>
      </c>
    </row>
    <row r="1861" spans="1:2">
      <c r="A1861" s="3" t="s">
        <v>3577</v>
      </c>
      <c r="B1861" s="3" t="s">
        <v>3580</v>
      </c>
    </row>
    <row r="1862" spans="1:2">
      <c r="A1862" s="3" t="s">
        <v>3577</v>
      </c>
      <c r="B1862" s="3" t="s">
        <v>3581</v>
      </c>
    </row>
    <row r="1863" spans="1:2">
      <c r="A1863" s="3" t="s">
        <v>3577</v>
      </c>
      <c r="B1863" s="3" t="s">
        <v>3582</v>
      </c>
    </row>
    <row r="1864" spans="1:2">
      <c r="A1864" s="3" t="s">
        <v>3577</v>
      </c>
      <c r="B1864" s="3" t="s">
        <v>3583</v>
      </c>
    </row>
    <row r="1865" spans="1:2">
      <c r="A1865" s="3" t="s">
        <v>3577</v>
      </c>
      <c r="B1865" s="3" t="s">
        <v>3584</v>
      </c>
    </row>
    <row r="1866" spans="1:2">
      <c r="A1866" s="3" t="s">
        <v>3577</v>
      </c>
      <c r="B1866" s="3" t="s">
        <v>3585</v>
      </c>
    </row>
    <row r="1867" spans="1:2">
      <c r="A1867" s="3" t="s">
        <v>3577</v>
      </c>
      <c r="B1867" s="3" t="s">
        <v>3586</v>
      </c>
    </row>
    <row r="1868" spans="1:2">
      <c r="A1868" s="3" t="s">
        <v>3577</v>
      </c>
      <c r="B1868" s="3" t="s">
        <v>3587</v>
      </c>
    </row>
    <row r="1869" spans="1:2">
      <c r="A1869" s="3" t="s">
        <v>3577</v>
      </c>
      <c r="B1869" s="3" t="s">
        <v>3588</v>
      </c>
    </row>
    <row r="1870" spans="1:2">
      <c r="A1870" s="3" t="s">
        <v>3577</v>
      </c>
      <c r="B1870" s="3" t="s">
        <v>3589</v>
      </c>
    </row>
    <row r="1871" spans="1:2">
      <c r="A1871" s="3" t="s">
        <v>3577</v>
      </c>
      <c r="B1871" s="3" t="s">
        <v>3590</v>
      </c>
    </row>
    <row r="1872" spans="1:2">
      <c r="A1872" s="3" t="s">
        <v>3577</v>
      </c>
      <c r="B1872" s="3" t="s">
        <v>3591</v>
      </c>
    </row>
    <row r="1873" spans="1:2">
      <c r="A1873" s="3" t="s">
        <v>3577</v>
      </c>
      <c r="B1873" s="3" t="s">
        <v>3592</v>
      </c>
    </row>
    <row r="1874" spans="1:2">
      <c r="A1874" s="3" t="s">
        <v>3577</v>
      </c>
      <c r="B1874" s="3" t="s">
        <v>3593</v>
      </c>
    </row>
    <row r="1875" spans="1:2">
      <c r="A1875" s="3" t="s">
        <v>3594</v>
      </c>
      <c r="B1875" s="3" t="s">
        <v>3595</v>
      </c>
    </row>
    <row r="1876" spans="1:2">
      <c r="A1876" s="3" t="s">
        <v>3594</v>
      </c>
      <c r="B1876" s="3" t="s">
        <v>3596</v>
      </c>
    </row>
    <row r="1877" spans="1:2">
      <c r="A1877" s="3" t="s">
        <v>3594</v>
      </c>
      <c r="B1877" s="3" t="s">
        <v>3597</v>
      </c>
    </row>
    <row r="1878" spans="1:2">
      <c r="A1878" s="3" t="s">
        <v>3594</v>
      </c>
      <c r="B1878" s="3" t="s">
        <v>3598</v>
      </c>
    </row>
    <row r="1879" spans="1:2">
      <c r="A1879" s="3" t="s">
        <v>3599</v>
      </c>
      <c r="B1879" s="3" t="s">
        <v>3600</v>
      </c>
    </row>
    <row r="1880" spans="1:2">
      <c r="A1880" s="3" t="s">
        <v>3599</v>
      </c>
      <c r="B1880" s="3" t="s">
        <v>3601</v>
      </c>
    </row>
    <row r="1881" spans="1:2">
      <c r="A1881" s="3" t="s">
        <v>3599</v>
      </c>
      <c r="B1881" s="3" t="s">
        <v>3602</v>
      </c>
    </row>
    <row r="1882" spans="1:2">
      <c r="A1882" s="3" t="s">
        <v>3599</v>
      </c>
      <c r="B1882" s="3" t="s">
        <v>3603</v>
      </c>
    </row>
    <row r="1883" spans="1:2">
      <c r="A1883" s="3" t="s">
        <v>3599</v>
      </c>
      <c r="B1883" s="3" t="s">
        <v>3604</v>
      </c>
    </row>
    <row r="1884" spans="1:2">
      <c r="A1884" s="3" t="s">
        <v>3599</v>
      </c>
      <c r="B1884" s="3" t="s">
        <v>3605</v>
      </c>
    </row>
    <row r="1885" spans="1:2">
      <c r="A1885" s="3" t="s">
        <v>3599</v>
      </c>
      <c r="B1885" s="3" t="s">
        <v>3606</v>
      </c>
    </row>
    <row r="1886" spans="1:2">
      <c r="A1886" s="3" t="s">
        <v>3599</v>
      </c>
      <c r="B1886" s="3" t="s">
        <v>3607</v>
      </c>
    </row>
    <row r="1887" spans="1:2">
      <c r="A1887" s="3" t="s">
        <v>3599</v>
      </c>
      <c r="B1887" s="3" t="s">
        <v>3608</v>
      </c>
    </row>
    <row r="1888" spans="1:2">
      <c r="A1888" s="3" t="s">
        <v>3599</v>
      </c>
      <c r="B1888" s="3" t="s">
        <v>3609</v>
      </c>
    </row>
    <row r="1889" spans="1:2">
      <c r="A1889" s="3" t="s">
        <v>3610</v>
      </c>
      <c r="B1889" s="3" t="s">
        <v>3611</v>
      </c>
    </row>
    <row r="1890" spans="1:2">
      <c r="A1890" s="3" t="s">
        <v>3610</v>
      </c>
      <c r="B1890" s="3" t="s">
        <v>3612</v>
      </c>
    </row>
    <row r="1891" spans="1:2">
      <c r="A1891" s="3" t="s">
        <v>3610</v>
      </c>
      <c r="B1891" s="3" t="s">
        <v>3613</v>
      </c>
    </row>
    <row r="1892" spans="1:2">
      <c r="A1892" s="3" t="s">
        <v>3610</v>
      </c>
      <c r="B1892" s="3" t="s">
        <v>3614</v>
      </c>
    </row>
    <row r="1893" spans="1:2">
      <c r="A1893" s="3" t="s">
        <v>3610</v>
      </c>
      <c r="B1893" s="3" t="s">
        <v>3615</v>
      </c>
    </row>
    <row r="1894" spans="1:2">
      <c r="A1894" s="3" t="s">
        <v>3610</v>
      </c>
      <c r="B1894" s="3" t="s">
        <v>3616</v>
      </c>
    </row>
    <row r="1895" spans="1:2">
      <c r="A1895" s="3" t="s">
        <v>3610</v>
      </c>
      <c r="B1895" s="3" t="s">
        <v>3617</v>
      </c>
    </row>
    <row r="1896" spans="1:2">
      <c r="A1896" s="3" t="s">
        <v>3610</v>
      </c>
      <c r="B1896" s="3" t="s">
        <v>3618</v>
      </c>
    </row>
    <row r="1897" spans="1:2">
      <c r="A1897" s="3" t="s">
        <v>3610</v>
      </c>
      <c r="B1897" s="3" t="s">
        <v>3619</v>
      </c>
    </row>
    <row r="1898" spans="1:2">
      <c r="A1898" s="3" t="s">
        <v>3610</v>
      </c>
      <c r="B1898" s="3" t="s">
        <v>3620</v>
      </c>
    </row>
    <row r="1899" spans="1:2">
      <c r="A1899" s="3" t="s">
        <v>3610</v>
      </c>
      <c r="B1899" s="3" t="s">
        <v>3621</v>
      </c>
    </row>
    <row r="1900" spans="1:2">
      <c r="A1900" s="3" t="s">
        <v>3610</v>
      </c>
      <c r="B1900" s="3" t="s">
        <v>3622</v>
      </c>
    </row>
    <row r="1901" spans="1:2">
      <c r="A1901" s="3" t="s">
        <v>3610</v>
      </c>
      <c r="B1901" s="3" t="s">
        <v>3623</v>
      </c>
    </row>
    <row r="1902" spans="1:2">
      <c r="A1902" s="3" t="s">
        <v>3610</v>
      </c>
      <c r="B1902" s="3" t="s">
        <v>3624</v>
      </c>
    </row>
    <row r="1903" spans="1:2">
      <c r="A1903" s="3" t="s">
        <v>3610</v>
      </c>
      <c r="B1903" s="3" t="s">
        <v>3625</v>
      </c>
    </row>
    <row r="1904" spans="1:2">
      <c r="A1904" s="3" t="s">
        <v>3610</v>
      </c>
      <c r="B1904" s="3" t="s">
        <v>3626</v>
      </c>
    </row>
    <row r="1905" spans="1:2">
      <c r="A1905" s="3" t="s">
        <v>3627</v>
      </c>
      <c r="B1905" s="3" t="s">
        <v>3628</v>
      </c>
    </row>
    <row r="1906" spans="1:2">
      <c r="A1906" s="3" t="s">
        <v>3627</v>
      </c>
      <c r="B1906" s="3" t="s">
        <v>3629</v>
      </c>
    </row>
    <row r="1907" spans="1:2">
      <c r="A1907" s="3" t="s">
        <v>3627</v>
      </c>
      <c r="B1907" s="3" t="s">
        <v>3630</v>
      </c>
    </row>
    <row r="1908" spans="1:2">
      <c r="A1908" s="3" t="s">
        <v>3627</v>
      </c>
      <c r="B1908" s="3" t="s">
        <v>3631</v>
      </c>
    </row>
    <row r="1909" spans="1:2">
      <c r="A1909" s="3" t="s">
        <v>3627</v>
      </c>
      <c r="B1909" s="3" t="s">
        <v>3632</v>
      </c>
    </row>
    <row r="1910" spans="1:2">
      <c r="A1910" s="3" t="s">
        <v>3627</v>
      </c>
      <c r="B1910" s="3" t="s">
        <v>3633</v>
      </c>
    </row>
    <row r="1911" spans="1:2">
      <c r="A1911" s="3" t="s">
        <v>3627</v>
      </c>
      <c r="B1911" s="3" t="s">
        <v>3634</v>
      </c>
    </row>
    <row r="1912" spans="1:2">
      <c r="A1912" s="3" t="s">
        <v>3627</v>
      </c>
      <c r="B1912" s="3" t="s">
        <v>3635</v>
      </c>
    </row>
    <row r="1913" spans="1:2">
      <c r="A1913" s="3" t="s">
        <v>3627</v>
      </c>
      <c r="B1913" s="3" t="s">
        <v>3636</v>
      </c>
    </row>
    <row r="1914" spans="1:2">
      <c r="A1914" s="3" t="s">
        <v>3627</v>
      </c>
      <c r="B1914" s="3" t="s">
        <v>3637</v>
      </c>
    </row>
    <row r="1915" spans="1:2">
      <c r="A1915" s="3" t="s">
        <v>3627</v>
      </c>
      <c r="B1915" s="3" t="s">
        <v>3638</v>
      </c>
    </row>
    <row r="1916" spans="1:2">
      <c r="A1916" s="3" t="s">
        <v>3627</v>
      </c>
      <c r="B1916" s="3" t="s">
        <v>3639</v>
      </c>
    </row>
    <row r="1917" spans="1:2">
      <c r="A1917" s="3" t="s">
        <v>3640</v>
      </c>
      <c r="B1917" s="3" t="s">
        <v>3641</v>
      </c>
    </row>
    <row r="1918" spans="1:2">
      <c r="A1918" s="3" t="s">
        <v>3640</v>
      </c>
      <c r="B1918" s="3" t="s">
        <v>3642</v>
      </c>
    </row>
    <row r="1919" spans="1:2">
      <c r="A1919" s="3" t="s">
        <v>3640</v>
      </c>
      <c r="B1919" s="3" t="s">
        <v>3643</v>
      </c>
    </row>
    <row r="1920" spans="1:2">
      <c r="A1920" s="3" t="s">
        <v>3640</v>
      </c>
      <c r="B1920" s="3" t="s">
        <v>3644</v>
      </c>
    </row>
    <row r="1921" spans="1:2">
      <c r="A1921" s="3" t="s">
        <v>3640</v>
      </c>
      <c r="B1921" s="3" t="s">
        <v>3645</v>
      </c>
    </row>
    <row r="1922" spans="1:2">
      <c r="A1922" s="3" t="s">
        <v>3640</v>
      </c>
      <c r="B1922" s="3" t="s">
        <v>3646</v>
      </c>
    </row>
    <row r="1923" spans="1:2">
      <c r="A1923" s="3" t="s">
        <v>3640</v>
      </c>
      <c r="B1923" s="3" t="s">
        <v>3647</v>
      </c>
    </row>
    <row r="1924" spans="1:2">
      <c r="A1924" s="3" t="s">
        <v>3640</v>
      </c>
      <c r="B1924" s="3" t="s">
        <v>3648</v>
      </c>
    </row>
    <row r="1925" spans="1:2">
      <c r="A1925" s="3" t="s">
        <v>3640</v>
      </c>
      <c r="B1925" s="3" t="s">
        <v>3649</v>
      </c>
    </row>
    <row r="1926" spans="1:2">
      <c r="A1926" s="3" t="s">
        <v>3640</v>
      </c>
      <c r="B1926" s="3" t="s">
        <v>3650</v>
      </c>
    </row>
    <row r="1927" spans="1:2">
      <c r="A1927" s="3" t="s">
        <v>3640</v>
      </c>
      <c r="B1927" s="3" t="s">
        <v>3651</v>
      </c>
    </row>
    <row r="1928" spans="1:2">
      <c r="A1928" s="3" t="s">
        <v>3640</v>
      </c>
      <c r="B1928" s="3" t="s">
        <v>3652</v>
      </c>
    </row>
    <row r="1929" spans="1:2">
      <c r="A1929" s="3" t="s">
        <v>3640</v>
      </c>
      <c r="B1929" s="3" t="s">
        <v>3653</v>
      </c>
    </row>
    <row r="1930" spans="1:2">
      <c r="A1930" s="3" t="s">
        <v>3640</v>
      </c>
      <c r="B1930" s="3" t="s">
        <v>3654</v>
      </c>
    </row>
    <row r="1931" spans="1:2">
      <c r="A1931" s="3" t="s">
        <v>3640</v>
      </c>
      <c r="B1931" s="3" t="s">
        <v>3655</v>
      </c>
    </row>
    <row r="1932" spans="1:2">
      <c r="A1932" s="3" t="s">
        <v>3640</v>
      </c>
      <c r="B1932" s="3" t="s">
        <v>3656</v>
      </c>
    </row>
    <row r="1933" spans="1:2">
      <c r="A1933" s="3" t="s">
        <v>3657</v>
      </c>
      <c r="B1933" s="3" t="s">
        <v>3658</v>
      </c>
    </row>
    <row r="1934" spans="1:2">
      <c r="A1934" s="3" t="s">
        <v>3657</v>
      </c>
      <c r="B1934" s="3" t="s">
        <v>3659</v>
      </c>
    </row>
    <row r="1935" spans="1:2">
      <c r="A1935" s="3" t="s">
        <v>3657</v>
      </c>
      <c r="B1935" s="3" t="s">
        <v>3660</v>
      </c>
    </row>
    <row r="1936" spans="1:2">
      <c r="A1936" s="3" t="s">
        <v>3657</v>
      </c>
      <c r="B1936" s="3" t="s">
        <v>3661</v>
      </c>
    </row>
    <row r="1937" spans="1:2">
      <c r="A1937" s="3" t="s">
        <v>3662</v>
      </c>
      <c r="B1937" s="3" t="s">
        <v>3663</v>
      </c>
    </row>
    <row r="1938" spans="1:2">
      <c r="A1938" s="3" t="s">
        <v>3662</v>
      </c>
      <c r="B1938" s="3" t="s">
        <v>3664</v>
      </c>
    </row>
    <row r="1939" spans="1:2">
      <c r="A1939" s="3" t="s">
        <v>3662</v>
      </c>
      <c r="B1939" s="3" t="s">
        <v>3665</v>
      </c>
    </row>
    <row r="1940" spans="1:2">
      <c r="A1940" s="3" t="s">
        <v>3662</v>
      </c>
      <c r="B1940" s="3" t="s">
        <v>3666</v>
      </c>
    </row>
    <row r="1941" spans="1:2">
      <c r="A1941" s="3" t="s">
        <v>3667</v>
      </c>
      <c r="B1941" s="3" t="s">
        <v>3668</v>
      </c>
    </row>
    <row r="1942" spans="1:2">
      <c r="A1942" s="3" t="s">
        <v>3667</v>
      </c>
      <c r="B1942" s="3" t="s">
        <v>3669</v>
      </c>
    </row>
    <row r="1943" spans="1:2">
      <c r="A1943" s="3" t="s">
        <v>3670</v>
      </c>
      <c r="B1943" s="3" t="s">
        <v>3671</v>
      </c>
    </row>
    <row r="1944" spans="1:2">
      <c r="A1944" s="3" t="s">
        <v>3670</v>
      </c>
      <c r="B1944" s="3" t="s">
        <v>3672</v>
      </c>
    </row>
    <row r="1945" spans="1:2">
      <c r="A1945" s="3" t="s">
        <v>3670</v>
      </c>
      <c r="B1945" s="3" t="s">
        <v>3673</v>
      </c>
    </row>
    <row r="1946" spans="1:2">
      <c r="A1946" s="3" t="s">
        <v>3670</v>
      </c>
      <c r="B1946" s="3" t="s">
        <v>3674</v>
      </c>
    </row>
    <row r="1947" spans="1:2">
      <c r="A1947" s="3" t="s">
        <v>3670</v>
      </c>
      <c r="B1947" s="3" t="s">
        <v>3675</v>
      </c>
    </row>
    <row r="1948" spans="1:2">
      <c r="A1948" s="3" t="s">
        <v>3670</v>
      </c>
      <c r="B1948" s="3" t="s">
        <v>3676</v>
      </c>
    </row>
    <row r="1949" spans="1:2">
      <c r="A1949" s="3" t="s">
        <v>3670</v>
      </c>
      <c r="B1949" s="3" t="s">
        <v>3677</v>
      </c>
    </row>
    <row r="1950" spans="1:2">
      <c r="A1950" s="3" t="s">
        <v>3670</v>
      </c>
      <c r="B1950" s="3" t="s">
        <v>3678</v>
      </c>
    </row>
    <row r="1951" spans="1:2">
      <c r="A1951" s="3" t="s">
        <v>3679</v>
      </c>
      <c r="B1951" s="3" t="s">
        <v>3680</v>
      </c>
    </row>
    <row r="1952" spans="1:2">
      <c r="A1952" s="3" t="s">
        <v>3679</v>
      </c>
      <c r="B1952" s="3" t="s">
        <v>3681</v>
      </c>
    </row>
    <row r="1953" spans="1:2">
      <c r="A1953" s="3" t="s">
        <v>3679</v>
      </c>
      <c r="B1953" s="3" t="s">
        <v>3682</v>
      </c>
    </row>
    <row r="1954" spans="1:2">
      <c r="A1954" s="3" t="s">
        <v>3679</v>
      </c>
      <c r="B1954" s="3" t="s">
        <v>3683</v>
      </c>
    </row>
    <row r="1955" spans="1:2">
      <c r="A1955" s="3" t="s">
        <v>3679</v>
      </c>
      <c r="B1955" s="3" t="s">
        <v>3684</v>
      </c>
    </row>
    <row r="1956" spans="1:2">
      <c r="A1956" s="3" t="s">
        <v>3679</v>
      </c>
      <c r="B1956" s="3" t="s">
        <v>3685</v>
      </c>
    </row>
    <row r="1957" spans="1:2">
      <c r="A1957" s="3" t="s">
        <v>3679</v>
      </c>
      <c r="B1957" s="3" t="s">
        <v>3686</v>
      </c>
    </row>
    <row r="1958" spans="1:2">
      <c r="A1958" s="3" t="s">
        <v>3679</v>
      </c>
      <c r="B1958" s="3" t="s">
        <v>3687</v>
      </c>
    </row>
    <row r="1959" spans="1:2">
      <c r="A1959" s="3" t="s">
        <v>3688</v>
      </c>
      <c r="B1959" s="3" t="s">
        <v>3689</v>
      </c>
    </row>
    <row r="1960" spans="1:2">
      <c r="A1960" s="3" t="s">
        <v>3688</v>
      </c>
      <c r="B1960" s="3" t="s">
        <v>3690</v>
      </c>
    </row>
    <row r="1961" spans="1:2">
      <c r="A1961" s="3" t="s">
        <v>3688</v>
      </c>
      <c r="B1961" s="3" t="s">
        <v>3691</v>
      </c>
    </row>
    <row r="1962" spans="1:2">
      <c r="A1962" s="3" t="s">
        <v>3688</v>
      </c>
      <c r="B1962" s="3" t="s">
        <v>3692</v>
      </c>
    </row>
    <row r="1963" spans="1:2">
      <c r="A1963" s="3" t="s">
        <v>3688</v>
      </c>
      <c r="B1963" s="3" t="s">
        <v>3693</v>
      </c>
    </row>
    <row r="1964" spans="1:2">
      <c r="A1964" s="3" t="s">
        <v>3688</v>
      </c>
      <c r="B1964" s="3" t="s">
        <v>3694</v>
      </c>
    </row>
    <row r="1965" spans="1:2">
      <c r="A1965" s="3" t="s">
        <v>3688</v>
      </c>
      <c r="B1965" s="3" t="s">
        <v>3695</v>
      </c>
    </row>
    <row r="1966" spans="1:2">
      <c r="A1966" s="3" t="s">
        <v>3688</v>
      </c>
      <c r="B1966" s="3" t="s">
        <v>3696</v>
      </c>
    </row>
    <row r="1967" spans="1:2">
      <c r="A1967" s="3" t="s">
        <v>3697</v>
      </c>
      <c r="B1967" s="3" t="s">
        <v>3698</v>
      </c>
    </row>
    <row r="1968" spans="1:2">
      <c r="A1968" s="3" t="s">
        <v>3697</v>
      </c>
      <c r="B1968" s="3" t="s">
        <v>3699</v>
      </c>
    </row>
    <row r="1969" spans="1:2">
      <c r="A1969" s="3" t="s">
        <v>3697</v>
      </c>
      <c r="B1969" s="3" t="s">
        <v>3700</v>
      </c>
    </row>
    <row r="1970" spans="1:2">
      <c r="A1970" s="3" t="s">
        <v>3697</v>
      </c>
      <c r="B1970" s="3" t="s">
        <v>3701</v>
      </c>
    </row>
    <row r="1971" spans="1:2">
      <c r="A1971" s="3" t="s">
        <v>3697</v>
      </c>
      <c r="B1971" s="3" t="s">
        <v>3702</v>
      </c>
    </row>
    <row r="1972" spans="1:2">
      <c r="A1972" s="3" t="s">
        <v>3697</v>
      </c>
      <c r="B1972" s="3" t="s">
        <v>3703</v>
      </c>
    </row>
    <row r="1973" spans="1:2">
      <c r="A1973" s="3" t="s">
        <v>3697</v>
      </c>
      <c r="B1973" s="3" t="s">
        <v>3704</v>
      </c>
    </row>
    <row r="1974" spans="1:2">
      <c r="A1974" s="3" t="s">
        <v>3697</v>
      </c>
      <c r="B1974" s="3" t="s">
        <v>3705</v>
      </c>
    </row>
    <row r="1975" spans="1:2">
      <c r="A1975" s="3" t="s">
        <v>3697</v>
      </c>
      <c r="B1975" s="3" t="s">
        <v>3706</v>
      </c>
    </row>
    <row r="1976" spans="1:2">
      <c r="A1976" s="3" t="s">
        <v>3697</v>
      </c>
      <c r="B1976" s="3" t="s">
        <v>3707</v>
      </c>
    </row>
    <row r="1977" spans="1:2">
      <c r="A1977" s="3" t="s">
        <v>3697</v>
      </c>
      <c r="B1977" s="3" t="s">
        <v>3708</v>
      </c>
    </row>
    <row r="1978" spans="1:2">
      <c r="A1978" s="3" t="s">
        <v>3697</v>
      </c>
      <c r="B1978" s="3" t="s">
        <v>3709</v>
      </c>
    </row>
    <row r="1979" spans="1:2">
      <c r="A1979" s="3" t="s">
        <v>3697</v>
      </c>
      <c r="B1979" s="3" t="s">
        <v>3710</v>
      </c>
    </row>
    <row r="1980" spans="1:2">
      <c r="A1980" s="3" t="s">
        <v>3697</v>
      </c>
      <c r="B1980" s="3" t="s">
        <v>3711</v>
      </c>
    </row>
    <row r="1981" spans="1:2">
      <c r="A1981" s="3" t="s">
        <v>3697</v>
      </c>
      <c r="B1981" s="3" t="s">
        <v>3712</v>
      </c>
    </row>
    <row r="1982" spans="1:2">
      <c r="A1982" s="3" t="s">
        <v>3697</v>
      </c>
      <c r="B1982" s="3" t="s">
        <v>3713</v>
      </c>
    </row>
    <row r="1983" spans="1:2">
      <c r="A1983" s="3" t="s">
        <v>3714</v>
      </c>
      <c r="B1983" s="3" t="s">
        <v>3715</v>
      </c>
    </row>
    <row r="1984" spans="1:2">
      <c r="A1984" s="3" t="s">
        <v>3714</v>
      </c>
      <c r="B1984" s="3" t="s">
        <v>3716</v>
      </c>
    </row>
    <row r="1985" spans="1:2">
      <c r="A1985" s="3" t="s">
        <v>3714</v>
      </c>
      <c r="B1985" s="3" t="s">
        <v>3717</v>
      </c>
    </row>
    <row r="1986" spans="1:2">
      <c r="A1986" s="3" t="s">
        <v>3714</v>
      </c>
      <c r="B1986" s="3" t="s">
        <v>3718</v>
      </c>
    </row>
    <row r="1987" spans="1:2">
      <c r="A1987" s="3" t="s">
        <v>3714</v>
      </c>
      <c r="B1987" s="3" t="s">
        <v>3719</v>
      </c>
    </row>
    <row r="1988" spans="1:2">
      <c r="A1988" s="3" t="s">
        <v>3714</v>
      </c>
      <c r="B1988" s="3" t="s">
        <v>3720</v>
      </c>
    </row>
    <row r="1989" spans="1:2">
      <c r="A1989" s="3" t="s">
        <v>3714</v>
      </c>
      <c r="B1989" s="3" t="s">
        <v>3721</v>
      </c>
    </row>
    <row r="1990" spans="1:2">
      <c r="A1990" s="3" t="s">
        <v>3714</v>
      </c>
      <c r="B1990" s="3" t="s">
        <v>3722</v>
      </c>
    </row>
    <row r="1991" spans="1:2">
      <c r="A1991" s="3" t="s">
        <v>3723</v>
      </c>
      <c r="B1991" s="3" t="s">
        <v>3724</v>
      </c>
    </row>
    <row r="1992" spans="1:2">
      <c r="A1992" s="3" t="s">
        <v>3723</v>
      </c>
      <c r="B1992" s="3" t="s">
        <v>3725</v>
      </c>
    </row>
    <row r="1993" spans="1:2">
      <c r="A1993" s="3" t="s">
        <v>3723</v>
      </c>
      <c r="B1993" s="3" t="s">
        <v>3726</v>
      </c>
    </row>
    <row r="1994" spans="1:2">
      <c r="A1994" s="3" t="s">
        <v>3723</v>
      </c>
      <c r="B1994" s="3" t="s">
        <v>3727</v>
      </c>
    </row>
    <row r="1995" spans="1:2">
      <c r="A1995" s="3" t="s">
        <v>3728</v>
      </c>
      <c r="B1995" s="3" t="s">
        <v>3729</v>
      </c>
    </row>
    <row r="1996" spans="1:2">
      <c r="A1996" s="3" t="s">
        <v>3728</v>
      </c>
      <c r="B1996" s="3" t="s">
        <v>3730</v>
      </c>
    </row>
    <row r="1997" spans="1:2">
      <c r="A1997" s="3" t="s">
        <v>3728</v>
      </c>
      <c r="B1997" s="3" t="s">
        <v>3731</v>
      </c>
    </row>
    <row r="1998" spans="1:2">
      <c r="A1998" s="3" t="s">
        <v>3728</v>
      </c>
      <c r="B1998" s="3" t="s">
        <v>3732</v>
      </c>
    </row>
    <row r="1999" spans="1:2">
      <c r="A1999" s="3" t="s">
        <v>3733</v>
      </c>
      <c r="B1999" s="3" t="s">
        <v>3734</v>
      </c>
    </row>
    <row r="2000" spans="1:2">
      <c r="A2000" s="3" t="s">
        <v>3733</v>
      </c>
      <c r="B2000" s="3" t="s">
        <v>3735</v>
      </c>
    </row>
    <row r="2001" spans="1:2">
      <c r="A2001" s="3" t="s">
        <v>3733</v>
      </c>
      <c r="B2001" s="3" t="s">
        <v>3736</v>
      </c>
    </row>
    <row r="2002" spans="1:2">
      <c r="A2002" s="3" t="s">
        <v>3733</v>
      </c>
      <c r="B2002" s="3" t="s">
        <v>3737</v>
      </c>
    </row>
    <row r="2003" spans="1:2">
      <c r="A2003" s="3" t="s">
        <v>3733</v>
      </c>
      <c r="B2003" s="3" t="s">
        <v>3738</v>
      </c>
    </row>
    <row r="2004" spans="1:2">
      <c r="A2004" s="3" t="s">
        <v>3733</v>
      </c>
      <c r="B2004" s="3" t="s">
        <v>3739</v>
      </c>
    </row>
    <row r="2005" spans="1:2">
      <c r="A2005" s="3" t="s">
        <v>3733</v>
      </c>
      <c r="B2005" s="3" t="s">
        <v>3740</v>
      </c>
    </row>
    <row r="2006" spans="1:2">
      <c r="A2006" s="3" t="s">
        <v>3733</v>
      </c>
      <c r="B2006" s="3" t="s">
        <v>3741</v>
      </c>
    </row>
    <row r="2007" spans="1:2">
      <c r="A2007" s="3" t="s">
        <v>3742</v>
      </c>
      <c r="B2007" s="3" t="s">
        <v>3743</v>
      </c>
    </row>
    <row r="2008" spans="1:2">
      <c r="A2008" s="3" t="s">
        <v>3742</v>
      </c>
      <c r="B2008" s="3" t="s">
        <v>3744</v>
      </c>
    </row>
    <row r="2009" spans="1:2">
      <c r="A2009" s="3" t="s">
        <v>3742</v>
      </c>
      <c r="B2009" s="3" t="s">
        <v>3745</v>
      </c>
    </row>
    <row r="2010" spans="1:2">
      <c r="A2010" s="3" t="s">
        <v>3742</v>
      </c>
      <c r="B2010" s="3" t="s">
        <v>3746</v>
      </c>
    </row>
    <row r="2011" spans="1:2">
      <c r="A2011" s="3" t="s">
        <v>3747</v>
      </c>
      <c r="B2011" s="3" t="s">
        <v>3748</v>
      </c>
    </row>
    <row r="2012" spans="1:2">
      <c r="A2012" s="3" t="s">
        <v>3747</v>
      </c>
      <c r="B2012" s="3" t="s">
        <v>3749</v>
      </c>
    </row>
    <row r="2013" spans="1:2">
      <c r="A2013" s="3" t="s">
        <v>3747</v>
      </c>
      <c r="B2013" s="3" t="s">
        <v>3750</v>
      </c>
    </row>
    <row r="2014" spans="1:2">
      <c r="A2014" s="3" t="s">
        <v>3747</v>
      </c>
      <c r="B2014" s="3" t="s">
        <v>3751</v>
      </c>
    </row>
    <row r="2015" spans="1:2">
      <c r="A2015" s="3" t="s">
        <v>3747</v>
      </c>
      <c r="B2015" s="3" t="s">
        <v>3752</v>
      </c>
    </row>
    <row r="2016" spans="1:2">
      <c r="A2016" s="3" t="s">
        <v>3753</v>
      </c>
      <c r="B2016" s="3" t="s">
        <v>3754</v>
      </c>
    </row>
    <row r="2017" spans="1:2">
      <c r="A2017" s="3" t="s">
        <v>3753</v>
      </c>
      <c r="B2017" s="3" t="s">
        <v>3755</v>
      </c>
    </row>
    <row r="2018" spans="1:2">
      <c r="A2018" s="3" t="s">
        <v>3753</v>
      </c>
      <c r="B2018" s="3" t="s">
        <v>3756</v>
      </c>
    </row>
    <row r="2019" spans="1:2">
      <c r="A2019" s="3" t="s">
        <v>3753</v>
      </c>
      <c r="B2019" s="3" t="s">
        <v>3757</v>
      </c>
    </row>
    <row r="2020" spans="1:2">
      <c r="A2020" s="3" t="s">
        <v>3753</v>
      </c>
      <c r="B2020" s="3" t="s">
        <v>3758</v>
      </c>
    </row>
    <row r="2021" spans="1:2">
      <c r="A2021" s="3" t="s">
        <v>3753</v>
      </c>
      <c r="B2021" s="3" t="s">
        <v>3759</v>
      </c>
    </row>
    <row r="2022" spans="1:2">
      <c r="A2022" s="3" t="s">
        <v>3753</v>
      </c>
      <c r="B2022" s="3" t="s">
        <v>3760</v>
      </c>
    </row>
    <row r="2023" spans="1:2">
      <c r="A2023" s="3" t="s">
        <v>3753</v>
      </c>
      <c r="B2023" s="3" t="s">
        <v>3761</v>
      </c>
    </row>
    <row r="2024" spans="1:2">
      <c r="A2024" s="3" t="s">
        <v>3753</v>
      </c>
      <c r="B2024" s="3" t="s">
        <v>3762</v>
      </c>
    </row>
    <row r="2025" spans="1:2">
      <c r="A2025" s="3" t="s">
        <v>3763</v>
      </c>
      <c r="B2025" s="3" t="s">
        <v>3764</v>
      </c>
    </row>
    <row r="2026" spans="1:2">
      <c r="A2026" s="3" t="s">
        <v>3763</v>
      </c>
      <c r="B2026" s="3" t="s">
        <v>3765</v>
      </c>
    </row>
    <row r="2027" spans="1:2">
      <c r="A2027" s="3" t="s">
        <v>3763</v>
      </c>
      <c r="B2027" s="3" t="s">
        <v>3766</v>
      </c>
    </row>
    <row r="2028" spans="1:2">
      <c r="A2028" s="3" t="s">
        <v>3767</v>
      </c>
      <c r="B2028" s="3" t="s">
        <v>3768</v>
      </c>
    </row>
    <row r="2029" spans="1:2">
      <c r="A2029" s="3" t="s">
        <v>3767</v>
      </c>
      <c r="B2029" s="3" t="s">
        <v>3769</v>
      </c>
    </row>
    <row r="2030" spans="1:2">
      <c r="A2030" s="3" t="s">
        <v>3767</v>
      </c>
      <c r="B2030" s="3" t="s">
        <v>3770</v>
      </c>
    </row>
    <row r="2031" spans="1:2">
      <c r="A2031" s="3" t="s">
        <v>3767</v>
      </c>
      <c r="B2031" s="3" t="s">
        <v>3771</v>
      </c>
    </row>
    <row r="2032" spans="1:2">
      <c r="A2032" s="3" t="s">
        <v>3767</v>
      </c>
      <c r="B2032" s="3" t="s">
        <v>3772</v>
      </c>
    </row>
    <row r="2033" spans="1:2">
      <c r="A2033" s="3" t="s">
        <v>3767</v>
      </c>
      <c r="B2033" s="3" t="s">
        <v>3773</v>
      </c>
    </row>
    <row r="2034" spans="1:2">
      <c r="A2034" s="3" t="s">
        <v>3767</v>
      </c>
      <c r="B2034" s="3" t="s">
        <v>3774</v>
      </c>
    </row>
    <row r="2035" spans="1:2">
      <c r="A2035" s="3" t="s">
        <v>3767</v>
      </c>
      <c r="B2035" s="3" t="s">
        <v>3775</v>
      </c>
    </row>
    <row r="2036" spans="1:2">
      <c r="A2036" s="3" t="s">
        <v>3767</v>
      </c>
      <c r="B2036" s="3" t="s">
        <v>3776</v>
      </c>
    </row>
    <row r="2037" spans="1:2">
      <c r="A2037" s="3" t="s">
        <v>3767</v>
      </c>
      <c r="B2037" s="3" t="s">
        <v>3777</v>
      </c>
    </row>
    <row r="2038" spans="1:2">
      <c r="A2038" s="3" t="s">
        <v>3767</v>
      </c>
      <c r="B2038" s="3" t="s">
        <v>3778</v>
      </c>
    </row>
    <row r="2039" spans="1:2">
      <c r="A2039" s="3" t="s">
        <v>3767</v>
      </c>
      <c r="B2039" s="3" t="s">
        <v>3779</v>
      </c>
    </row>
    <row r="2040" spans="1:2">
      <c r="A2040" s="3" t="s">
        <v>3767</v>
      </c>
      <c r="B2040" s="3" t="s">
        <v>3780</v>
      </c>
    </row>
    <row r="2041" spans="1:2">
      <c r="A2041" s="3" t="s">
        <v>3781</v>
      </c>
      <c r="B2041" s="3" t="s">
        <v>3782</v>
      </c>
    </row>
    <row r="2042" spans="1:2">
      <c r="A2042" s="3" t="s">
        <v>3781</v>
      </c>
      <c r="B2042" s="3" t="s">
        <v>3783</v>
      </c>
    </row>
    <row r="2043" spans="1:2">
      <c r="A2043" s="3" t="s">
        <v>3781</v>
      </c>
      <c r="B2043" s="3" t="s">
        <v>3784</v>
      </c>
    </row>
    <row r="2044" spans="1:2">
      <c r="A2044" s="3" t="s">
        <v>3781</v>
      </c>
      <c r="B2044" s="3" t="s">
        <v>3785</v>
      </c>
    </row>
    <row r="2045" spans="1:2">
      <c r="A2045" s="3" t="s">
        <v>3786</v>
      </c>
      <c r="B2045" s="3" t="s">
        <v>3787</v>
      </c>
    </row>
    <row r="2046" spans="1:2">
      <c r="A2046" s="3" t="s">
        <v>3786</v>
      </c>
      <c r="B2046" s="3" t="s">
        <v>3788</v>
      </c>
    </row>
    <row r="2047" spans="1:2">
      <c r="A2047" s="3" t="s">
        <v>3786</v>
      </c>
      <c r="B2047" s="3" t="s">
        <v>3789</v>
      </c>
    </row>
    <row r="2048" spans="1:2">
      <c r="A2048" s="3" t="s">
        <v>3786</v>
      </c>
      <c r="B2048" s="3" t="s">
        <v>3790</v>
      </c>
    </row>
    <row r="2049" spans="1:2">
      <c r="A2049" s="3" t="s">
        <v>3786</v>
      </c>
      <c r="B2049" s="3" t="s">
        <v>3791</v>
      </c>
    </row>
    <row r="2050" spans="1:2">
      <c r="A2050" s="3" t="s">
        <v>3792</v>
      </c>
      <c r="B2050" s="3" t="s">
        <v>3793</v>
      </c>
    </row>
    <row r="2051" spans="1:2">
      <c r="A2051" s="3" t="s">
        <v>3792</v>
      </c>
      <c r="B2051" s="3" t="s">
        <v>3794</v>
      </c>
    </row>
    <row r="2052" spans="1:2">
      <c r="A2052" s="3" t="s">
        <v>3792</v>
      </c>
      <c r="B2052" s="3" t="s">
        <v>3795</v>
      </c>
    </row>
    <row r="2053" spans="1:2">
      <c r="A2053" s="3" t="s">
        <v>3792</v>
      </c>
      <c r="B2053" s="3" t="s">
        <v>3796</v>
      </c>
    </row>
    <row r="2054" spans="1:2">
      <c r="A2054" s="3" t="s">
        <v>3797</v>
      </c>
      <c r="B2054" s="3" t="s">
        <v>3798</v>
      </c>
    </row>
    <row r="2055" spans="1:2">
      <c r="A2055" s="3" t="s">
        <v>3797</v>
      </c>
      <c r="B2055" s="3" t="s">
        <v>3799</v>
      </c>
    </row>
    <row r="2056" spans="1:2">
      <c r="A2056" s="3" t="s">
        <v>3797</v>
      </c>
      <c r="B2056" s="3" t="s">
        <v>3800</v>
      </c>
    </row>
    <row r="2057" spans="1:2">
      <c r="A2057" s="3" t="s">
        <v>3797</v>
      </c>
      <c r="B2057" s="3" t="s">
        <v>3801</v>
      </c>
    </row>
    <row r="2058" spans="1:2">
      <c r="A2058" s="3" t="s">
        <v>3802</v>
      </c>
      <c r="B2058" s="3" t="s">
        <v>3803</v>
      </c>
    </row>
    <row r="2059" spans="1:2">
      <c r="A2059" s="3" t="s">
        <v>3802</v>
      </c>
      <c r="B2059" s="3" t="s">
        <v>3804</v>
      </c>
    </row>
    <row r="2060" spans="1:2">
      <c r="A2060" s="3" t="s">
        <v>3802</v>
      </c>
      <c r="B2060" s="3" t="s">
        <v>3805</v>
      </c>
    </row>
    <row r="2061" spans="1:2">
      <c r="A2061" s="3" t="s">
        <v>3802</v>
      </c>
      <c r="B2061" s="3" t="s">
        <v>3806</v>
      </c>
    </row>
    <row r="2062" spans="1:2">
      <c r="A2062" s="3" t="s">
        <v>3802</v>
      </c>
      <c r="B2062" s="3" t="s">
        <v>3807</v>
      </c>
    </row>
    <row r="2063" spans="1:2">
      <c r="A2063" s="3" t="s">
        <v>3802</v>
      </c>
      <c r="B2063" s="3" t="s">
        <v>3808</v>
      </c>
    </row>
    <row r="2064" spans="1:2">
      <c r="A2064" s="3" t="s">
        <v>3802</v>
      </c>
      <c r="B2064" s="3" t="s">
        <v>3809</v>
      </c>
    </row>
    <row r="2065" spans="1:2">
      <c r="A2065" s="3" t="s">
        <v>3802</v>
      </c>
      <c r="B2065" s="3" t="s">
        <v>3810</v>
      </c>
    </row>
    <row r="2066" spans="1:2">
      <c r="A2066" s="3" t="s">
        <v>3802</v>
      </c>
      <c r="B2066" s="3" t="s">
        <v>3811</v>
      </c>
    </row>
    <row r="2067" spans="1:2">
      <c r="A2067" s="3" t="s">
        <v>3802</v>
      </c>
      <c r="B2067" s="3" t="s">
        <v>3812</v>
      </c>
    </row>
    <row r="2068" spans="1:2">
      <c r="A2068" s="3" t="s">
        <v>3802</v>
      </c>
      <c r="B2068" s="3" t="s">
        <v>3813</v>
      </c>
    </row>
    <row r="2069" spans="1:2">
      <c r="A2069" s="3" t="s">
        <v>3814</v>
      </c>
      <c r="B2069" s="3" t="s">
        <v>3815</v>
      </c>
    </row>
    <row r="2070" spans="1:2">
      <c r="A2070" s="3" t="s">
        <v>3814</v>
      </c>
      <c r="B2070" s="3" t="s">
        <v>3816</v>
      </c>
    </row>
    <row r="2071" spans="1:2">
      <c r="A2071" s="3" t="s">
        <v>3814</v>
      </c>
      <c r="B2071" s="3" t="s">
        <v>3817</v>
      </c>
    </row>
    <row r="2072" spans="1:2">
      <c r="A2072" s="3" t="s">
        <v>3814</v>
      </c>
      <c r="B2072" s="3" t="s">
        <v>3818</v>
      </c>
    </row>
    <row r="2073" spans="1:2">
      <c r="A2073" s="3" t="s">
        <v>3814</v>
      </c>
      <c r="B2073" s="3" t="s">
        <v>3819</v>
      </c>
    </row>
    <row r="2074" spans="1:2">
      <c r="A2074" s="3" t="s">
        <v>3814</v>
      </c>
      <c r="B2074" s="3" t="s">
        <v>3820</v>
      </c>
    </row>
    <row r="2075" spans="1:2">
      <c r="A2075" s="3" t="s">
        <v>3814</v>
      </c>
      <c r="B2075" s="3" t="s">
        <v>3821</v>
      </c>
    </row>
    <row r="2076" spans="1:2">
      <c r="A2076" s="3" t="s">
        <v>3814</v>
      </c>
      <c r="B2076" s="3" t="s">
        <v>3822</v>
      </c>
    </row>
    <row r="2077" spans="1:2">
      <c r="A2077" s="3" t="s">
        <v>3814</v>
      </c>
      <c r="B2077" s="3" t="s">
        <v>3823</v>
      </c>
    </row>
    <row r="2078" spans="1:2">
      <c r="A2078" s="3" t="s">
        <v>3814</v>
      </c>
      <c r="B2078" s="3" t="s">
        <v>3824</v>
      </c>
    </row>
    <row r="2079" spans="1:2">
      <c r="A2079" s="3" t="s">
        <v>3814</v>
      </c>
      <c r="B2079" s="3" t="s">
        <v>3825</v>
      </c>
    </row>
    <row r="2080" spans="1:2">
      <c r="A2080" s="3" t="s">
        <v>3814</v>
      </c>
      <c r="B2080" s="3" t="s">
        <v>3826</v>
      </c>
    </row>
    <row r="2081" spans="1:2">
      <c r="A2081" s="3" t="s">
        <v>3814</v>
      </c>
      <c r="B2081" s="3" t="s">
        <v>3827</v>
      </c>
    </row>
    <row r="2082" spans="1:2">
      <c r="A2082" s="3" t="s">
        <v>3828</v>
      </c>
      <c r="B2082" s="3" t="s">
        <v>3829</v>
      </c>
    </row>
    <row r="2083" spans="1:2">
      <c r="A2083" s="3" t="s">
        <v>3828</v>
      </c>
      <c r="B2083" s="3" t="s">
        <v>3830</v>
      </c>
    </row>
    <row r="2084" spans="1:2">
      <c r="A2084" s="3" t="s">
        <v>3828</v>
      </c>
      <c r="B2084" s="3" t="s">
        <v>3831</v>
      </c>
    </row>
    <row r="2085" spans="1:2">
      <c r="A2085" s="3" t="s">
        <v>3828</v>
      </c>
      <c r="B2085" s="3" t="s">
        <v>3832</v>
      </c>
    </row>
    <row r="2086" spans="1:2">
      <c r="A2086" s="3" t="s">
        <v>3833</v>
      </c>
      <c r="B2086" s="3" t="s">
        <v>3834</v>
      </c>
    </row>
    <row r="2087" spans="1:2">
      <c r="A2087" s="3" t="s">
        <v>3833</v>
      </c>
      <c r="B2087" s="3" t="s">
        <v>3835</v>
      </c>
    </row>
    <row r="2088" spans="1:2">
      <c r="A2088" s="3" t="s">
        <v>3833</v>
      </c>
      <c r="B2088" s="3" t="s">
        <v>3836</v>
      </c>
    </row>
    <row r="2089" spans="1:2">
      <c r="A2089" s="3" t="s">
        <v>3833</v>
      </c>
      <c r="B2089" s="3" t="s">
        <v>3837</v>
      </c>
    </row>
    <row r="2090" spans="1:2">
      <c r="A2090" s="3" t="s">
        <v>3838</v>
      </c>
      <c r="B2090" s="3" t="s">
        <v>3839</v>
      </c>
    </row>
    <row r="2091" spans="1:2">
      <c r="A2091" s="3" t="s">
        <v>3838</v>
      </c>
      <c r="B2091" s="3" t="s">
        <v>3840</v>
      </c>
    </row>
    <row r="2092" spans="1:2">
      <c r="A2092" s="3" t="s">
        <v>3838</v>
      </c>
      <c r="B2092" s="3" t="s">
        <v>3841</v>
      </c>
    </row>
    <row r="2093" spans="1:2">
      <c r="A2093" s="3" t="s">
        <v>3838</v>
      </c>
      <c r="B2093" s="3" t="s">
        <v>3842</v>
      </c>
    </row>
    <row r="2094" spans="1:2">
      <c r="A2094" s="3" t="s">
        <v>3838</v>
      </c>
      <c r="B2094" s="3" t="s">
        <v>3843</v>
      </c>
    </row>
    <row r="2095" spans="1:2">
      <c r="A2095" s="3" t="s">
        <v>3838</v>
      </c>
      <c r="B2095" s="3" t="s">
        <v>3844</v>
      </c>
    </row>
    <row r="2096" spans="1:2">
      <c r="A2096" s="3" t="s">
        <v>3838</v>
      </c>
      <c r="B2096" s="3" t="s">
        <v>3845</v>
      </c>
    </row>
    <row r="2097" spans="1:2">
      <c r="A2097" s="3" t="s">
        <v>3838</v>
      </c>
      <c r="B2097" s="3" t="s">
        <v>3846</v>
      </c>
    </row>
    <row r="2098" spans="1:2">
      <c r="A2098" s="3" t="s">
        <v>3847</v>
      </c>
      <c r="B2098" s="3" t="s">
        <v>3848</v>
      </c>
    </row>
    <row r="2099" spans="1:2">
      <c r="A2099" s="3" t="s">
        <v>3847</v>
      </c>
      <c r="B2099" s="3" t="s">
        <v>3849</v>
      </c>
    </row>
    <row r="2100" spans="1:2">
      <c r="A2100" s="3" t="s">
        <v>3847</v>
      </c>
      <c r="B2100" s="3" t="s">
        <v>3850</v>
      </c>
    </row>
    <row r="2101" spans="1:2">
      <c r="A2101" s="3" t="s">
        <v>3847</v>
      </c>
      <c r="B2101" s="3" t="s">
        <v>3851</v>
      </c>
    </row>
    <row r="2102" spans="1:2">
      <c r="A2102" s="3" t="s">
        <v>3852</v>
      </c>
      <c r="B2102" s="3" t="s">
        <v>3853</v>
      </c>
    </row>
    <row r="2103" spans="1:2">
      <c r="A2103" s="3" t="s">
        <v>3852</v>
      </c>
      <c r="B2103" s="3" t="s">
        <v>3854</v>
      </c>
    </row>
    <row r="2104" spans="1:2">
      <c r="A2104" s="3" t="s">
        <v>3852</v>
      </c>
      <c r="B2104" s="3" t="s">
        <v>3855</v>
      </c>
    </row>
    <row r="2105" spans="1:2">
      <c r="A2105" s="3" t="s">
        <v>3852</v>
      </c>
      <c r="B2105" s="3" t="s">
        <v>3856</v>
      </c>
    </row>
    <row r="2106" spans="1:2">
      <c r="A2106" s="3" t="s">
        <v>3852</v>
      </c>
      <c r="B2106" s="3" t="s">
        <v>3857</v>
      </c>
    </row>
    <row r="2107" spans="1:2">
      <c r="A2107" s="3" t="s">
        <v>3852</v>
      </c>
      <c r="B2107" s="3" t="s">
        <v>3858</v>
      </c>
    </row>
    <row r="2108" spans="1:2">
      <c r="A2108" s="3" t="s">
        <v>3852</v>
      </c>
      <c r="B2108" s="3" t="s">
        <v>3859</v>
      </c>
    </row>
    <row r="2109" spans="1:2">
      <c r="A2109" s="3" t="s">
        <v>3852</v>
      </c>
      <c r="B2109" s="3" t="s">
        <v>3860</v>
      </c>
    </row>
    <row r="2110" spans="1:2">
      <c r="A2110" s="3" t="s">
        <v>3852</v>
      </c>
      <c r="B2110" s="3" t="s">
        <v>3861</v>
      </c>
    </row>
    <row r="2111" spans="1:2">
      <c r="A2111" s="3" t="s">
        <v>3852</v>
      </c>
      <c r="B2111" s="3" t="s">
        <v>3862</v>
      </c>
    </row>
    <row r="2112" spans="1:2">
      <c r="A2112" s="3" t="s">
        <v>3852</v>
      </c>
      <c r="B2112" s="3" t="s">
        <v>3863</v>
      </c>
    </row>
    <row r="2113" spans="1:2">
      <c r="A2113" s="3" t="s">
        <v>3852</v>
      </c>
      <c r="B2113" s="3" t="s">
        <v>3864</v>
      </c>
    </row>
    <row r="2114" spans="1:2">
      <c r="A2114" s="3" t="s">
        <v>3852</v>
      </c>
      <c r="B2114" s="3" t="s">
        <v>3865</v>
      </c>
    </row>
    <row r="2115" spans="1:2">
      <c r="A2115" s="3" t="s">
        <v>3852</v>
      </c>
      <c r="B2115" s="3" t="s">
        <v>3866</v>
      </c>
    </row>
    <row r="2116" spans="1:2">
      <c r="A2116" s="3" t="s">
        <v>3852</v>
      </c>
      <c r="B2116" s="3" t="s">
        <v>3867</v>
      </c>
    </row>
    <row r="2117" spans="1:2">
      <c r="A2117" s="3" t="s">
        <v>3852</v>
      </c>
      <c r="B2117" s="3" t="s">
        <v>3868</v>
      </c>
    </row>
    <row r="2118" spans="1:2">
      <c r="A2118" s="3" t="s">
        <v>3869</v>
      </c>
      <c r="B2118" s="3" t="s">
        <v>3870</v>
      </c>
    </row>
    <row r="2119" spans="1:2">
      <c r="A2119" s="3" t="s">
        <v>3869</v>
      </c>
      <c r="B2119" s="3" t="s">
        <v>3871</v>
      </c>
    </row>
    <row r="2120" spans="1:2">
      <c r="A2120" s="3" t="s">
        <v>3869</v>
      </c>
      <c r="B2120" s="3" t="s">
        <v>3872</v>
      </c>
    </row>
    <row r="2121" spans="1:2">
      <c r="A2121" s="3" t="s">
        <v>3869</v>
      </c>
      <c r="B2121" s="3" t="s">
        <v>3873</v>
      </c>
    </row>
    <row r="2122" spans="1:2">
      <c r="A2122" s="3" t="s">
        <v>3869</v>
      </c>
      <c r="B2122" s="3" t="s">
        <v>3874</v>
      </c>
    </row>
    <row r="2123" spans="1:2">
      <c r="A2123" s="3" t="s">
        <v>3869</v>
      </c>
      <c r="B2123" s="3" t="s">
        <v>3875</v>
      </c>
    </row>
    <row r="2124" spans="1:2">
      <c r="A2124" s="3" t="s">
        <v>3869</v>
      </c>
      <c r="B2124" s="3" t="s">
        <v>3876</v>
      </c>
    </row>
    <row r="2125" spans="1:2">
      <c r="A2125" s="3" t="s">
        <v>3869</v>
      </c>
      <c r="B2125" s="3" t="s">
        <v>3877</v>
      </c>
    </row>
    <row r="2126" spans="1:2">
      <c r="A2126" s="3" t="s">
        <v>3878</v>
      </c>
      <c r="B2126" s="3" t="s">
        <v>3879</v>
      </c>
    </row>
    <row r="2127" spans="1:2">
      <c r="A2127" s="3" t="s">
        <v>3878</v>
      </c>
      <c r="B2127" s="3" t="s">
        <v>3880</v>
      </c>
    </row>
    <row r="2128" spans="1:2">
      <c r="A2128" s="3" t="s">
        <v>3878</v>
      </c>
      <c r="B2128" s="3" t="s">
        <v>3881</v>
      </c>
    </row>
    <row r="2129" spans="1:2">
      <c r="A2129" s="3" t="s">
        <v>3878</v>
      </c>
      <c r="B2129" s="3" t="s">
        <v>3882</v>
      </c>
    </row>
    <row r="2130" spans="1:2">
      <c r="A2130" s="3" t="s">
        <v>3883</v>
      </c>
      <c r="B2130" s="3" t="s">
        <v>3884</v>
      </c>
    </row>
    <row r="2131" spans="1:2">
      <c r="A2131" s="3" t="s">
        <v>3883</v>
      </c>
      <c r="B2131" s="3" t="s">
        <v>3885</v>
      </c>
    </row>
    <row r="2132" spans="1:2">
      <c r="A2132" s="3" t="s">
        <v>3883</v>
      </c>
      <c r="B2132" s="3" t="s">
        <v>3886</v>
      </c>
    </row>
    <row r="2133" spans="1:2">
      <c r="A2133" s="3" t="s">
        <v>3883</v>
      </c>
      <c r="B2133" s="3" t="s">
        <v>3887</v>
      </c>
    </row>
    <row r="2134" spans="1:2">
      <c r="A2134" s="3" t="s">
        <v>3883</v>
      </c>
      <c r="B2134" s="3" t="s">
        <v>3888</v>
      </c>
    </row>
    <row r="2135" spans="1:2">
      <c r="A2135" s="3" t="s">
        <v>3883</v>
      </c>
      <c r="B2135" s="3" t="s">
        <v>3889</v>
      </c>
    </row>
    <row r="2136" spans="1:2">
      <c r="A2136" s="3" t="s">
        <v>3883</v>
      </c>
      <c r="B2136" s="3" t="s">
        <v>3890</v>
      </c>
    </row>
    <row r="2137" spans="1:2">
      <c r="A2137" s="3" t="s">
        <v>3883</v>
      </c>
      <c r="B2137" s="3" t="s">
        <v>3891</v>
      </c>
    </row>
    <row r="2138" spans="1:2">
      <c r="A2138" s="3" t="s">
        <v>3892</v>
      </c>
      <c r="B2138" s="3" t="s">
        <v>3893</v>
      </c>
    </row>
    <row r="2139" spans="1:2">
      <c r="A2139" s="3" t="s">
        <v>3892</v>
      </c>
      <c r="B2139" s="3" t="s">
        <v>3894</v>
      </c>
    </row>
    <row r="2140" spans="1:2">
      <c r="A2140" s="3" t="s">
        <v>3892</v>
      </c>
      <c r="B2140" s="3" t="s">
        <v>3895</v>
      </c>
    </row>
    <row r="2141" spans="1:2">
      <c r="A2141" s="3" t="s">
        <v>3892</v>
      </c>
      <c r="B2141" s="3" t="s">
        <v>3896</v>
      </c>
    </row>
    <row r="2142" spans="1:2">
      <c r="A2142" s="3" t="s">
        <v>3897</v>
      </c>
      <c r="B2142" s="3" t="s">
        <v>3898</v>
      </c>
    </row>
    <row r="2143" spans="1:2">
      <c r="A2143" s="3" t="s">
        <v>3897</v>
      </c>
      <c r="B2143" s="3" t="s">
        <v>3899</v>
      </c>
    </row>
    <row r="2144" spans="1:2">
      <c r="A2144" s="3" t="s">
        <v>3897</v>
      </c>
      <c r="B2144" s="3" t="s">
        <v>3900</v>
      </c>
    </row>
    <row r="2145" spans="1:2">
      <c r="A2145" s="3" t="s">
        <v>3897</v>
      </c>
      <c r="B2145" s="3" t="s">
        <v>3901</v>
      </c>
    </row>
    <row r="2146" spans="1:2">
      <c r="A2146" s="3" t="s">
        <v>3897</v>
      </c>
      <c r="B2146" s="3" t="s">
        <v>3902</v>
      </c>
    </row>
    <row r="2147" spans="1:2">
      <c r="A2147" s="3" t="s">
        <v>3897</v>
      </c>
      <c r="B2147" s="3" t="s">
        <v>3903</v>
      </c>
    </row>
    <row r="2148" spans="1:2">
      <c r="A2148" s="3" t="s">
        <v>3897</v>
      </c>
      <c r="B2148" s="3" t="s">
        <v>3904</v>
      </c>
    </row>
    <row r="2149" spans="1:2">
      <c r="A2149" s="3" t="s">
        <v>3897</v>
      </c>
      <c r="B2149" s="3" t="s">
        <v>3905</v>
      </c>
    </row>
    <row r="2150" spans="1:2">
      <c r="A2150" s="3" t="s">
        <v>3897</v>
      </c>
      <c r="B2150" s="3" t="s">
        <v>3906</v>
      </c>
    </row>
    <row r="2151" spans="1:2">
      <c r="A2151" s="3" t="s">
        <v>3897</v>
      </c>
      <c r="B2151" s="3" t="s">
        <v>3907</v>
      </c>
    </row>
    <row r="2152" spans="1:2">
      <c r="A2152" s="3" t="s">
        <v>3897</v>
      </c>
      <c r="B2152" s="3" t="s">
        <v>3908</v>
      </c>
    </row>
    <row r="2153" spans="1:2">
      <c r="A2153" s="3" t="s">
        <v>3897</v>
      </c>
      <c r="B2153" s="3" t="s">
        <v>3909</v>
      </c>
    </row>
    <row r="2154" spans="1:2">
      <c r="A2154" s="3" t="s">
        <v>3897</v>
      </c>
      <c r="B2154" s="3" t="s">
        <v>3910</v>
      </c>
    </row>
    <row r="2155" spans="1:2">
      <c r="A2155" s="3" t="s">
        <v>3897</v>
      </c>
      <c r="B2155" s="3" t="s">
        <v>3911</v>
      </c>
    </row>
    <row r="2156" spans="1:2">
      <c r="A2156" s="3" t="s">
        <v>3897</v>
      </c>
      <c r="B2156" s="3" t="s">
        <v>3912</v>
      </c>
    </row>
    <row r="2157" spans="1:2">
      <c r="A2157" s="3" t="s">
        <v>3897</v>
      </c>
      <c r="B2157" s="3" t="s">
        <v>3913</v>
      </c>
    </row>
    <row r="2158" spans="1:2">
      <c r="A2158" s="3" t="s">
        <v>3914</v>
      </c>
      <c r="B2158" s="3" t="s">
        <v>3915</v>
      </c>
    </row>
    <row r="2159" spans="1:2">
      <c r="A2159" s="3" t="s">
        <v>3914</v>
      </c>
      <c r="B2159" s="3" t="s">
        <v>3916</v>
      </c>
    </row>
    <row r="2160" spans="1:2">
      <c r="A2160" s="3" t="s">
        <v>3914</v>
      </c>
      <c r="B2160" s="3" t="s">
        <v>3917</v>
      </c>
    </row>
    <row r="2161" spans="1:2">
      <c r="A2161" s="3" t="s">
        <v>3914</v>
      </c>
      <c r="B2161" s="3" t="s">
        <v>3918</v>
      </c>
    </row>
    <row r="2162" spans="1:2">
      <c r="A2162" s="3" t="s">
        <v>3914</v>
      </c>
      <c r="B2162" s="3" t="s">
        <v>3919</v>
      </c>
    </row>
    <row r="2163" spans="1:2">
      <c r="A2163" s="3" t="s">
        <v>3914</v>
      </c>
      <c r="B2163" s="3" t="s">
        <v>3920</v>
      </c>
    </row>
    <row r="2164" spans="1:2">
      <c r="A2164" s="3" t="s">
        <v>3921</v>
      </c>
      <c r="B2164" s="3" t="s">
        <v>3922</v>
      </c>
    </row>
    <row r="2165" spans="1:2">
      <c r="A2165" s="3" t="s">
        <v>3921</v>
      </c>
      <c r="B2165" s="3" t="s">
        <v>3923</v>
      </c>
    </row>
    <row r="2166" spans="1:2">
      <c r="A2166" s="3" t="s">
        <v>3921</v>
      </c>
      <c r="B2166" s="3" t="s">
        <v>3924</v>
      </c>
    </row>
    <row r="2167" spans="1:2">
      <c r="A2167" s="3" t="s">
        <v>3921</v>
      </c>
      <c r="B2167" s="3" t="s">
        <v>3925</v>
      </c>
    </row>
    <row r="2168" spans="1:2">
      <c r="A2168" s="3" t="s">
        <v>3921</v>
      </c>
      <c r="B2168" s="3" t="s">
        <v>3926</v>
      </c>
    </row>
    <row r="2169" spans="1:2">
      <c r="A2169" s="3" t="s">
        <v>3927</v>
      </c>
      <c r="B2169" s="3" t="s">
        <v>3928</v>
      </c>
    </row>
    <row r="2170" spans="1:2">
      <c r="A2170" s="3" t="s">
        <v>3927</v>
      </c>
      <c r="B2170" s="3" t="s">
        <v>3929</v>
      </c>
    </row>
    <row r="2171" spans="1:2">
      <c r="A2171" s="3" t="s">
        <v>3927</v>
      </c>
      <c r="B2171" s="3" t="s">
        <v>3930</v>
      </c>
    </row>
    <row r="2172" spans="1:2">
      <c r="A2172" s="3" t="s">
        <v>3927</v>
      </c>
      <c r="B2172" s="3" t="s">
        <v>3931</v>
      </c>
    </row>
    <row r="2173" spans="1:2">
      <c r="A2173" s="3" t="s">
        <v>3932</v>
      </c>
      <c r="B2173" s="3" t="s">
        <v>3933</v>
      </c>
    </row>
    <row r="2174" spans="1:2">
      <c r="A2174" s="3" t="s">
        <v>3932</v>
      </c>
      <c r="B2174" s="3" t="s">
        <v>3934</v>
      </c>
    </row>
    <row r="2175" spans="1:2">
      <c r="A2175" s="3" t="s">
        <v>3932</v>
      </c>
      <c r="B2175" s="3" t="s">
        <v>3935</v>
      </c>
    </row>
    <row r="2176" spans="1:2">
      <c r="A2176" s="3" t="s">
        <v>3932</v>
      </c>
      <c r="B2176" s="3" t="s">
        <v>3936</v>
      </c>
    </row>
    <row r="2177" spans="1:2">
      <c r="A2177" s="3" t="s">
        <v>3932</v>
      </c>
      <c r="B2177" s="3" t="s">
        <v>3937</v>
      </c>
    </row>
    <row r="2178" spans="1:2">
      <c r="A2178" s="3" t="s">
        <v>3932</v>
      </c>
      <c r="B2178" s="3" t="s">
        <v>3938</v>
      </c>
    </row>
    <row r="2179" spans="1:2">
      <c r="A2179" s="3" t="s">
        <v>3932</v>
      </c>
      <c r="B2179" s="3" t="s">
        <v>3939</v>
      </c>
    </row>
    <row r="2180" spans="1:2">
      <c r="A2180" s="3" t="s">
        <v>3932</v>
      </c>
      <c r="B2180" s="3" t="s">
        <v>3940</v>
      </c>
    </row>
    <row r="2181" spans="1:2">
      <c r="A2181" s="3" t="s">
        <v>3941</v>
      </c>
      <c r="B2181" s="3" t="s">
        <v>3942</v>
      </c>
    </row>
    <row r="2182" spans="1:2">
      <c r="A2182" s="3" t="s">
        <v>3941</v>
      </c>
      <c r="B2182" s="3" t="s">
        <v>3943</v>
      </c>
    </row>
    <row r="2183" spans="1:2">
      <c r="A2183" s="3" t="s">
        <v>3941</v>
      </c>
      <c r="B2183" s="3" t="s">
        <v>3944</v>
      </c>
    </row>
    <row r="2184" spans="1:2">
      <c r="A2184" s="3" t="s">
        <v>3941</v>
      </c>
      <c r="B2184" s="3" t="s">
        <v>3945</v>
      </c>
    </row>
    <row r="2185" spans="1:2">
      <c r="A2185" s="3" t="s">
        <v>3946</v>
      </c>
      <c r="B2185" s="3" t="s">
        <v>3947</v>
      </c>
    </row>
    <row r="2186" spans="1:2">
      <c r="A2186" s="3" t="s">
        <v>3946</v>
      </c>
      <c r="B2186" s="3" t="s">
        <v>3948</v>
      </c>
    </row>
    <row r="2187" spans="1:2">
      <c r="A2187" s="3" t="s">
        <v>3946</v>
      </c>
      <c r="B2187" s="3" t="s">
        <v>3949</v>
      </c>
    </row>
    <row r="2188" spans="1:2">
      <c r="A2188" s="3" t="s">
        <v>3946</v>
      </c>
      <c r="B2188" s="3" t="s">
        <v>3950</v>
      </c>
    </row>
    <row r="2189" spans="1:2">
      <c r="A2189" s="3" t="s">
        <v>3946</v>
      </c>
      <c r="B2189" s="3" t="s">
        <v>3951</v>
      </c>
    </row>
    <row r="2190" spans="1:2">
      <c r="A2190" s="3" t="s">
        <v>3952</v>
      </c>
      <c r="B2190" s="3" t="s">
        <v>3953</v>
      </c>
    </row>
    <row r="2191" spans="1:2">
      <c r="A2191" s="3" t="s">
        <v>3952</v>
      </c>
      <c r="B2191" s="3" t="s">
        <v>3954</v>
      </c>
    </row>
    <row r="2192" spans="1:2">
      <c r="A2192" s="3" t="s">
        <v>3952</v>
      </c>
      <c r="B2192" s="3" t="s">
        <v>3955</v>
      </c>
    </row>
    <row r="2193" spans="1:2">
      <c r="A2193" s="3" t="s">
        <v>3952</v>
      </c>
      <c r="B2193" s="3" t="s">
        <v>3956</v>
      </c>
    </row>
    <row r="2194" spans="1:2">
      <c r="A2194" s="3" t="s">
        <v>3952</v>
      </c>
      <c r="B2194" s="3" t="s">
        <v>3957</v>
      </c>
    </row>
    <row r="2195" spans="1:2">
      <c r="A2195" s="3" t="s">
        <v>3958</v>
      </c>
      <c r="B2195" s="3" t="s">
        <v>3959</v>
      </c>
    </row>
    <row r="2196" spans="1:2">
      <c r="A2196" s="3" t="s">
        <v>3958</v>
      </c>
      <c r="B2196" s="3" t="s">
        <v>3960</v>
      </c>
    </row>
    <row r="2197" spans="1:2">
      <c r="A2197" s="3" t="s">
        <v>3958</v>
      </c>
      <c r="B2197" s="3" t="s">
        <v>3961</v>
      </c>
    </row>
    <row r="2198" spans="1:2">
      <c r="A2198" s="3" t="s">
        <v>3962</v>
      </c>
      <c r="B2198" s="3" t="s">
        <v>3963</v>
      </c>
    </row>
    <row r="2199" spans="1:2">
      <c r="A2199" s="3" t="s">
        <v>3962</v>
      </c>
      <c r="B2199" s="3" t="s">
        <v>3964</v>
      </c>
    </row>
    <row r="2200" spans="1:2">
      <c r="A2200" s="3" t="s">
        <v>3962</v>
      </c>
      <c r="B2200" s="3" t="s">
        <v>3965</v>
      </c>
    </row>
    <row r="2201" spans="1:2">
      <c r="A2201" s="3" t="s">
        <v>3962</v>
      </c>
      <c r="B2201" s="3" t="s">
        <v>3966</v>
      </c>
    </row>
    <row r="2202" spans="1:2">
      <c r="A2202" s="3" t="s">
        <v>3962</v>
      </c>
      <c r="B2202" s="3" t="s">
        <v>3967</v>
      </c>
    </row>
    <row r="2203" spans="1:2">
      <c r="A2203" s="3" t="s">
        <v>3968</v>
      </c>
      <c r="B2203" s="3" t="s">
        <v>3969</v>
      </c>
    </row>
    <row r="2204" spans="1:2">
      <c r="A2204" s="3" t="s">
        <v>3968</v>
      </c>
      <c r="B2204" s="3" t="s">
        <v>3970</v>
      </c>
    </row>
    <row r="2205" spans="1:2">
      <c r="A2205" s="3" t="s">
        <v>3968</v>
      </c>
      <c r="B2205" s="3" t="s">
        <v>3971</v>
      </c>
    </row>
    <row r="2206" spans="1:2">
      <c r="A2206" s="3" t="s">
        <v>3972</v>
      </c>
      <c r="B2206" s="3" t="s">
        <v>3973</v>
      </c>
    </row>
    <row r="2207" spans="1:2">
      <c r="A2207" s="3" t="s">
        <v>3972</v>
      </c>
      <c r="B2207" s="3" t="s">
        <v>3974</v>
      </c>
    </row>
    <row r="2208" spans="1:2">
      <c r="A2208" s="3" t="s">
        <v>3972</v>
      </c>
      <c r="B2208" s="3" t="s">
        <v>3975</v>
      </c>
    </row>
    <row r="2209" spans="1:2">
      <c r="A2209" s="3" t="s">
        <v>3972</v>
      </c>
      <c r="B2209" s="3" t="s">
        <v>3976</v>
      </c>
    </row>
    <row r="2210" spans="1:2">
      <c r="A2210" s="3" t="s">
        <v>3972</v>
      </c>
      <c r="B2210" s="3" t="s">
        <v>3977</v>
      </c>
    </row>
    <row r="2211" spans="1:2">
      <c r="A2211" s="3" t="s">
        <v>3978</v>
      </c>
      <c r="B2211" s="3" t="s">
        <v>3979</v>
      </c>
    </row>
    <row r="2212" spans="1:2">
      <c r="A2212" s="3" t="s">
        <v>3978</v>
      </c>
      <c r="B2212" s="3" t="s">
        <v>3980</v>
      </c>
    </row>
    <row r="2213" spans="1:2">
      <c r="A2213" s="3" t="s">
        <v>3978</v>
      </c>
      <c r="B2213" s="3" t="s">
        <v>3981</v>
      </c>
    </row>
    <row r="2214" spans="1:2">
      <c r="A2214" s="3" t="s">
        <v>3978</v>
      </c>
      <c r="B2214" s="3" t="s">
        <v>3982</v>
      </c>
    </row>
    <row r="2215" spans="1:2">
      <c r="A2215" s="3" t="s">
        <v>3983</v>
      </c>
      <c r="B2215" s="3" t="s">
        <v>3984</v>
      </c>
    </row>
    <row r="2216" spans="1:2">
      <c r="A2216" s="3" t="s">
        <v>3983</v>
      </c>
      <c r="B2216" s="3" t="s">
        <v>3985</v>
      </c>
    </row>
    <row r="2217" spans="1:2">
      <c r="A2217" s="3" t="s">
        <v>3983</v>
      </c>
      <c r="B2217" s="3" t="s">
        <v>3986</v>
      </c>
    </row>
    <row r="2218" spans="1:2">
      <c r="A2218" s="3" t="s">
        <v>3983</v>
      </c>
      <c r="B2218" s="3" t="s">
        <v>3987</v>
      </c>
    </row>
    <row r="2219" spans="1:2">
      <c r="A2219" s="3" t="s">
        <v>3988</v>
      </c>
      <c r="B2219" s="3" t="s">
        <v>3989</v>
      </c>
    </row>
    <row r="2220" spans="1:2">
      <c r="A2220" s="3" t="s">
        <v>3988</v>
      </c>
      <c r="B2220" s="3" t="s">
        <v>3990</v>
      </c>
    </row>
    <row r="2221" spans="1:2">
      <c r="A2221" s="3" t="s">
        <v>3988</v>
      </c>
      <c r="B2221" s="3" t="s">
        <v>3991</v>
      </c>
    </row>
    <row r="2222" spans="1:2">
      <c r="A2222" s="3" t="s">
        <v>3988</v>
      </c>
      <c r="B2222" s="3" t="s">
        <v>3992</v>
      </c>
    </row>
    <row r="2223" spans="1:2">
      <c r="A2223" s="3" t="s">
        <v>3988</v>
      </c>
      <c r="B2223" s="3" t="s">
        <v>3993</v>
      </c>
    </row>
    <row r="2224" spans="1:2">
      <c r="A2224" s="3" t="s">
        <v>3988</v>
      </c>
      <c r="B2224" s="3" t="s">
        <v>3994</v>
      </c>
    </row>
    <row r="2225" spans="1:2">
      <c r="A2225" s="3" t="s">
        <v>3988</v>
      </c>
      <c r="B2225" s="3" t="s">
        <v>3995</v>
      </c>
    </row>
    <row r="2226" spans="1:2">
      <c r="A2226" s="3" t="s">
        <v>3988</v>
      </c>
      <c r="B2226" s="3" t="s">
        <v>3996</v>
      </c>
    </row>
    <row r="2227" spans="1:2">
      <c r="A2227" s="3" t="s">
        <v>3997</v>
      </c>
      <c r="B2227" s="3" t="s">
        <v>3998</v>
      </c>
    </row>
    <row r="2228" spans="1:2">
      <c r="A2228" s="3" t="s">
        <v>3997</v>
      </c>
      <c r="B2228" s="3" t="s">
        <v>3999</v>
      </c>
    </row>
    <row r="2229" spans="1:2">
      <c r="A2229" s="3" t="s">
        <v>3997</v>
      </c>
      <c r="B2229" s="3" t="s">
        <v>4000</v>
      </c>
    </row>
    <row r="2230" spans="1:2">
      <c r="A2230" s="3" t="s">
        <v>3997</v>
      </c>
      <c r="B2230" s="3" t="s">
        <v>4001</v>
      </c>
    </row>
    <row r="2231" spans="1:2">
      <c r="A2231" s="3" t="s">
        <v>3997</v>
      </c>
      <c r="B2231" s="3" t="s">
        <v>4002</v>
      </c>
    </row>
    <row r="2232" spans="1:2">
      <c r="A2232" s="3" t="s">
        <v>3997</v>
      </c>
      <c r="B2232" s="3" t="s">
        <v>4003</v>
      </c>
    </row>
    <row r="2233" spans="1:2">
      <c r="A2233" s="3" t="s">
        <v>3997</v>
      </c>
      <c r="B2233" s="3" t="s">
        <v>4004</v>
      </c>
    </row>
    <row r="2234" spans="1:2">
      <c r="A2234" s="3" t="s">
        <v>3997</v>
      </c>
      <c r="B2234" s="3" t="s">
        <v>4005</v>
      </c>
    </row>
    <row r="2235" spans="1:2">
      <c r="A2235" s="3" t="s">
        <v>3997</v>
      </c>
      <c r="B2235" s="3" t="s">
        <v>4006</v>
      </c>
    </row>
    <row r="2236" spans="1:2">
      <c r="A2236" s="3" t="s">
        <v>3997</v>
      </c>
      <c r="B2236" s="3" t="s">
        <v>4007</v>
      </c>
    </row>
    <row r="2237" spans="1:2">
      <c r="A2237" s="3" t="s">
        <v>3997</v>
      </c>
      <c r="B2237" s="3" t="s">
        <v>4008</v>
      </c>
    </row>
    <row r="2238" spans="1:2">
      <c r="A2238" s="3" t="s">
        <v>3997</v>
      </c>
      <c r="B2238" s="3" t="s">
        <v>4009</v>
      </c>
    </row>
    <row r="2239" spans="1:2">
      <c r="A2239" s="3" t="s">
        <v>3997</v>
      </c>
      <c r="B2239" s="3" t="s">
        <v>4010</v>
      </c>
    </row>
    <row r="2240" spans="1:2">
      <c r="A2240" s="3" t="s">
        <v>3997</v>
      </c>
      <c r="B2240" s="3" t="s">
        <v>4011</v>
      </c>
    </row>
    <row r="2241" spans="1:2">
      <c r="A2241" s="3" t="s">
        <v>3997</v>
      </c>
      <c r="B2241" s="3" t="s">
        <v>4012</v>
      </c>
    </row>
    <row r="2242" spans="1:2">
      <c r="A2242" s="3" t="s">
        <v>3997</v>
      </c>
      <c r="B2242" s="3" t="s">
        <v>4013</v>
      </c>
    </row>
    <row r="2243" spans="1:2">
      <c r="A2243" s="3" t="s">
        <v>4014</v>
      </c>
      <c r="B2243" s="3" t="s">
        <v>4015</v>
      </c>
    </row>
    <row r="2244" spans="1:2">
      <c r="A2244" s="3" t="s">
        <v>4014</v>
      </c>
      <c r="B2244" s="3" t="s">
        <v>4016</v>
      </c>
    </row>
    <row r="2245" spans="1:2">
      <c r="A2245" s="3" t="s">
        <v>4014</v>
      </c>
      <c r="B2245" s="3" t="s">
        <v>4017</v>
      </c>
    </row>
    <row r="2246" spans="1:2">
      <c r="A2246" s="3" t="s">
        <v>4014</v>
      </c>
      <c r="B2246" s="3" t="s">
        <v>4018</v>
      </c>
    </row>
    <row r="2247" spans="1:2">
      <c r="A2247" s="3" t="s">
        <v>4014</v>
      </c>
      <c r="B2247" s="3" t="s">
        <v>4019</v>
      </c>
    </row>
    <row r="2248" spans="1:2">
      <c r="A2248" s="3" t="s">
        <v>4014</v>
      </c>
      <c r="B2248" s="3" t="s">
        <v>4020</v>
      </c>
    </row>
    <row r="2249" spans="1:2">
      <c r="A2249" s="3" t="s">
        <v>4014</v>
      </c>
      <c r="B2249" s="3" t="s">
        <v>4021</v>
      </c>
    </row>
    <row r="2250" spans="1:2">
      <c r="A2250" s="3" t="s">
        <v>4014</v>
      </c>
      <c r="B2250" s="3" t="s">
        <v>4022</v>
      </c>
    </row>
    <row r="2251" spans="1:2">
      <c r="A2251" s="3" t="s">
        <v>4023</v>
      </c>
      <c r="B2251" s="3" t="s">
        <v>4024</v>
      </c>
    </row>
    <row r="2252" spans="1:2">
      <c r="A2252" s="3" t="s">
        <v>4023</v>
      </c>
      <c r="B2252" s="3" t="s">
        <v>4025</v>
      </c>
    </row>
    <row r="2253" spans="1:2">
      <c r="A2253" s="3" t="s">
        <v>4023</v>
      </c>
      <c r="B2253" s="3" t="s">
        <v>4026</v>
      </c>
    </row>
    <row r="2254" spans="1:2">
      <c r="A2254" s="3" t="s">
        <v>4027</v>
      </c>
      <c r="B2254" s="3" t="s">
        <v>4028</v>
      </c>
    </row>
    <row r="2255" spans="1:2">
      <c r="A2255" s="3" t="s">
        <v>4027</v>
      </c>
      <c r="B2255" s="3" t="s">
        <v>4029</v>
      </c>
    </row>
    <row r="2256" spans="1:2">
      <c r="A2256" s="3" t="s">
        <v>4027</v>
      </c>
      <c r="B2256" s="3" t="s">
        <v>4030</v>
      </c>
    </row>
    <row r="2257" spans="1:2">
      <c r="A2257" s="3" t="s">
        <v>4027</v>
      </c>
      <c r="B2257" s="3" t="s">
        <v>4031</v>
      </c>
    </row>
    <row r="2258" spans="1:2">
      <c r="A2258" s="3" t="s">
        <v>4032</v>
      </c>
      <c r="B2258" s="3" t="s">
        <v>4033</v>
      </c>
    </row>
    <row r="2259" spans="1:2">
      <c r="A2259" s="3" t="s">
        <v>4032</v>
      </c>
      <c r="B2259" s="3" t="s">
        <v>4034</v>
      </c>
    </row>
    <row r="2260" spans="1:2">
      <c r="A2260" s="3" t="s">
        <v>4032</v>
      </c>
      <c r="B2260" s="3" t="s">
        <v>4035</v>
      </c>
    </row>
    <row r="2261" spans="1:2">
      <c r="A2261" s="3" t="s">
        <v>4032</v>
      </c>
      <c r="B2261" s="3" t="s">
        <v>4036</v>
      </c>
    </row>
    <row r="2262" spans="1:2">
      <c r="A2262" s="3" t="s">
        <v>4032</v>
      </c>
      <c r="B2262" s="3" t="s">
        <v>4037</v>
      </c>
    </row>
    <row r="2263" spans="1:2">
      <c r="A2263" s="3" t="s">
        <v>4032</v>
      </c>
      <c r="B2263" s="3" t="s">
        <v>4038</v>
      </c>
    </row>
    <row r="2264" spans="1:2">
      <c r="A2264" s="3" t="s">
        <v>4032</v>
      </c>
      <c r="B2264" s="3" t="s">
        <v>4039</v>
      </c>
    </row>
    <row r="2265" spans="1:2">
      <c r="A2265" s="3" t="s">
        <v>4032</v>
      </c>
      <c r="B2265" s="3" t="s">
        <v>4040</v>
      </c>
    </row>
    <row r="2266" spans="1:2">
      <c r="A2266" s="3" t="s">
        <v>4032</v>
      </c>
      <c r="B2266" s="3" t="s">
        <v>4041</v>
      </c>
    </row>
    <row r="2267" spans="1:2">
      <c r="A2267" s="3" t="s">
        <v>4032</v>
      </c>
      <c r="B2267" s="3" t="s">
        <v>4042</v>
      </c>
    </row>
    <row r="2268" spans="1:2">
      <c r="A2268" s="3" t="s">
        <v>4032</v>
      </c>
      <c r="B2268" s="3" t="s">
        <v>4043</v>
      </c>
    </row>
    <row r="2269" spans="1:2">
      <c r="A2269" s="3" t="s">
        <v>4032</v>
      </c>
      <c r="B2269" s="3" t="s">
        <v>4044</v>
      </c>
    </row>
    <row r="2270" spans="1:2">
      <c r="A2270" s="3" t="s">
        <v>4032</v>
      </c>
      <c r="B2270" s="3" t="s">
        <v>4045</v>
      </c>
    </row>
    <row r="2271" spans="1:2">
      <c r="A2271" s="3" t="s">
        <v>4032</v>
      </c>
      <c r="B2271" s="3" t="s">
        <v>4046</v>
      </c>
    </row>
    <row r="2272" spans="1:2">
      <c r="A2272" s="3" t="s">
        <v>4032</v>
      </c>
      <c r="B2272" s="3" t="s">
        <v>4047</v>
      </c>
    </row>
    <row r="2273" spans="1:2">
      <c r="A2273" s="3" t="s">
        <v>4032</v>
      </c>
      <c r="B2273" s="3" t="s">
        <v>4048</v>
      </c>
    </row>
    <row r="2274" spans="1:2">
      <c r="A2274" s="3" t="s">
        <v>4049</v>
      </c>
      <c r="B2274" s="3" t="s">
        <v>4050</v>
      </c>
    </row>
    <row r="2275" spans="1:2">
      <c r="A2275" s="3" t="s">
        <v>4049</v>
      </c>
      <c r="B2275" s="3" t="s">
        <v>4051</v>
      </c>
    </row>
    <row r="2276" spans="1:2">
      <c r="A2276" s="3" t="s">
        <v>4049</v>
      </c>
      <c r="B2276" s="3" t="s">
        <v>4052</v>
      </c>
    </row>
    <row r="2277" spans="1:2">
      <c r="A2277" s="3" t="s">
        <v>4053</v>
      </c>
      <c r="B2277" s="3" t="s">
        <v>4054</v>
      </c>
    </row>
    <row r="2278" spans="1:2">
      <c r="A2278" s="3" t="s">
        <v>4053</v>
      </c>
      <c r="B2278" s="3" t="s">
        <v>4055</v>
      </c>
    </row>
    <row r="2279" spans="1:2">
      <c r="A2279" s="3" t="s">
        <v>4053</v>
      </c>
      <c r="B2279" s="3" t="s">
        <v>4056</v>
      </c>
    </row>
    <row r="2280" spans="1:2">
      <c r="A2280" s="3" t="s">
        <v>4057</v>
      </c>
      <c r="B2280" s="3" t="s">
        <v>4058</v>
      </c>
    </row>
    <row r="2281" spans="1:2">
      <c r="A2281" s="3" t="s">
        <v>4057</v>
      </c>
      <c r="B2281" s="3" t="s">
        <v>4059</v>
      </c>
    </row>
    <row r="2282" spans="1:2">
      <c r="A2282" s="3" t="s">
        <v>4057</v>
      </c>
      <c r="B2282" s="3" t="s">
        <v>4060</v>
      </c>
    </row>
    <row r="2283" spans="1:2">
      <c r="A2283" s="3" t="s">
        <v>4057</v>
      </c>
      <c r="B2283" s="3" t="s">
        <v>4061</v>
      </c>
    </row>
    <row r="2284" spans="1:2">
      <c r="A2284" s="3" t="s">
        <v>4057</v>
      </c>
      <c r="B2284" s="3" t="s">
        <v>4062</v>
      </c>
    </row>
    <row r="2285" spans="1:2">
      <c r="A2285" s="3" t="s">
        <v>4057</v>
      </c>
      <c r="B2285" s="3" t="s">
        <v>4063</v>
      </c>
    </row>
    <row r="2286" spans="1:2">
      <c r="A2286" s="3" t="s">
        <v>4057</v>
      </c>
      <c r="B2286" s="3" t="s">
        <v>4064</v>
      </c>
    </row>
    <row r="2287" spans="1:2">
      <c r="A2287" s="3" t="s">
        <v>4057</v>
      </c>
      <c r="B2287" s="3" t="s">
        <v>4065</v>
      </c>
    </row>
    <row r="2288" spans="1:2">
      <c r="A2288" s="3" t="s">
        <v>4066</v>
      </c>
      <c r="B2288" s="3" t="s">
        <v>4067</v>
      </c>
    </row>
    <row r="2289" spans="1:2">
      <c r="A2289" s="3" t="s">
        <v>4066</v>
      </c>
      <c r="B2289" s="3" t="s">
        <v>4068</v>
      </c>
    </row>
    <row r="2290" spans="1:2">
      <c r="A2290" s="3" t="s">
        <v>4069</v>
      </c>
      <c r="B2290" s="3" t="s">
        <v>4070</v>
      </c>
    </row>
    <row r="2291" spans="1:2">
      <c r="A2291" s="3" t="s">
        <v>4069</v>
      </c>
      <c r="B2291" s="3" t="s">
        <v>4071</v>
      </c>
    </row>
    <row r="2292" spans="1:2">
      <c r="A2292" s="3" t="s">
        <v>4072</v>
      </c>
      <c r="B2292" s="3" t="s">
        <v>3552</v>
      </c>
    </row>
    <row r="2293" spans="1:2">
      <c r="A2293" s="3" t="s">
        <v>4072</v>
      </c>
      <c r="B2293" s="3" t="s">
        <v>4073</v>
      </c>
    </row>
    <row r="2294" spans="1:2">
      <c r="A2294" s="3" t="s">
        <v>4074</v>
      </c>
      <c r="B2294" s="3" t="s">
        <v>3552</v>
      </c>
    </row>
    <row r="2295" spans="1:2">
      <c r="A2295" s="3" t="s">
        <v>4074</v>
      </c>
      <c r="B2295" s="3" t="s">
        <v>4075</v>
      </c>
    </row>
    <row r="2296" spans="1:2">
      <c r="A2296" s="3" t="s">
        <v>4074</v>
      </c>
      <c r="B2296" s="3" t="s">
        <v>4076</v>
      </c>
    </row>
    <row r="2297" spans="1:2">
      <c r="A2297" s="3" t="s">
        <v>4077</v>
      </c>
      <c r="B2297" s="3" t="s">
        <v>4078</v>
      </c>
    </row>
    <row r="2298" spans="1:2">
      <c r="A2298" s="3" t="s">
        <v>4077</v>
      </c>
      <c r="B2298" s="3" t="s">
        <v>4079</v>
      </c>
    </row>
    <row r="2299" spans="1:2">
      <c r="A2299" s="3" t="s">
        <v>4080</v>
      </c>
      <c r="B2299" s="3" t="s">
        <v>4081</v>
      </c>
    </row>
    <row r="2300" spans="1:2">
      <c r="A2300" s="3" t="s">
        <v>4080</v>
      </c>
      <c r="B2300" s="3" t="s">
        <v>4082</v>
      </c>
    </row>
    <row r="2301" spans="1:2">
      <c r="A2301" s="3" t="s">
        <v>4083</v>
      </c>
      <c r="B2301" s="3" t="s">
        <v>4084</v>
      </c>
    </row>
    <row r="2302" spans="1:2">
      <c r="A2302" s="3" t="s">
        <v>4083</v>
      </c>
      <c r="B2302" s="3" t="s">
        <v>4085</v>
      </c>
    </row>
    <row r="2303" spans="1:2">
      <c r="A2303" s="3" t="s">
        <v>4086</v>
      </c>
      <c r="B2303" s="3" t="s">
        <v>4087</v>
      </c>
    </row>
    <row r="2304" spans="1:2">
      <c r="A2304" s="3" t="s">
        <v>4086</v>
      </c>
      <c r="B2304" s="3" t="s">
        <v>4088</v>
      </c>
    </row>
    <row r="2305" spans="1:2">
      <c r="A2305" s="3" t="s">
        <v>4089</v>
      </c>
      <c r="B2305" s="3" t="s">
        <v>4090</v>
      </c>
    </row>
    <row r="2306" spans="1:2">
      <c r="A2306" s="3" t="s">
        <v>4089</v>
      </c>
      <c r="B2306" s="3" t="s">
        <v>4091</v>
      </c>
    </row>
    <row r="2307" spans="1:2">
      <c r="A2307" s="3" t="s">
        <v>4092</v>
      </c>
      <c r="B2307" s="3" t="s">
        <v>4093</v>
      </c>
    </row>
    <row r="2308" spans="1:2">
      <c r="A2308" s="3" t="s">
        <v>4092</v>
      </c>
      <c r="B2308" s="3" t="s">
        <v>4094</v>
      </c>
    </row>
    <row r="2309" spans="1:2">
      <c r="A2309" s="3" t="s">
        <v>4095</v>
      </c>
      <c r="B2309" s="3" t="s">
        <v>4096</v>
      </c>
    </row>
    <row r="2310" spans="1:2">
      <c r="A2310" s="3" t="s">
        <v>4095</v>
      </c>
      <c r="B2310" s="3" t="s">
        <v>4097</v>
      </c>
    </row>
    <row r="2311" spans="1:2">
      <c r="A2311" s="3" t="s">
        <v>4098</v>
      </c>
      <c r="B2311" s="3" t="s">
        <v>4099</v>
      </c>
    </row>
    <row r="2312" spans="1:2">
      <c r="A2312" s="3" t="s">
        <v>4098</v>
      </c>
      <c r="B2312" s="3" t="s">
        <v>4100</v>
      </c>
    </row>
    <row r="2313" spans="1:2">
      <c r="A2313" s="3" t="s">
        <v>4101</v>
      </c>
      <c r="B2313" s="3" t="s">
        <v>4102</v>
      </c>
    </row>
    <row r="2314" spans="1:2">
      <c r="A2314" s="3" t="s">
        <v>4101</v>
      </c>
      <c r="B2314" s="3" t="s">
        <v>4103</v>
      </c>
    </row>
    <row r="2315" spans="1:2">
      <c r="A2315" s="3" t="s">
        <v>4101</v>
      </c>
      <c r="B2315" s="3" t="s">
        <v>4104</v>
      </c>
    </row>
    <row r="2316" spans="1:2">
      <c r="A2316" s="3" t="s">
        <v>4101</v>
      </c>
      <c r="B2316" s="3" t="s">
        <v>4105</v>
      </c>
    </row>
    <row r="2317" spans="1:2">
      <c r="A2317" s="3" t="s">
        <v>4106</v>
      </c>
      <c r="B2317" s="3" t="s">
        <v>4107</v>
      </c>
    </row>
    <row r="2318" spans="1:2">
      <c r="A2318" s="3" t="s">
        <v>4106</v>
      </c>
      <c r="B2318" s="3" t="s">
        <v>4108</v>
      </c>
    </row>
    <row r="2319" spans="1:2">
      <c r="A2319" s="3" t="s">
        <v>4109</v>
      </c>
      <c r="B2319" s="3" t="s">
        <v>4110</v>
      </c>
    </row>
    <row r="2320" spans="1:2">
      <c r="A2320" s="3" t="s">
        <v>4109</v>
      </c>
      <c r="B2320" s="3" t="s">
        <v>4111</v>
      </c>
    </row>
    <row r="2321" spans="1:2">
      <c r="A2321" s="3" t="s">
        <v>4109</v>
      </c>
      <c r="B2321" s="3" t="s">
        <v>4112</v>
      </c>
    </row>
    <row r="2322" spans="1:2">
      <c r="A2322" s="3" t="s">
        <v>4109</v>
      </c>
      <c r="B2322" s="3" t="s">
        <v>4113</v>
      </c>
    </row>
    <row r="2323" spans="1:2">
      <c r="A2323" s="3" t="s">
        <v>4114</v>
      </c>
      <c r="B2323" s="3" t="s">
        <v>4115</v>
      </c>
    </row>
    <row r="2324" spans="1:2">
      <c r="A2324" s="3" t="s">
        <v>4114</v>
      </c>
      <c r="B2324" s="3" t="s">
        <v>4116</v>
      </c>
    </row>
    <row r="2325" spans="1:2">
      <c r="A2325" s="3" t="s">
        <v>4114</v>
      </c>
      <c r="B2325" s="3" t="s">
        <v>4117</v>
      </c>
    </row>
    <row r="2326" spans="1:2">
      <c r="A2326" s="3" t="s">
        <v>4118</v>
      </c>
      <c r="B2326" s="3" t="s">
        <v>4119</v>
      </c>
    </row>
    <row r="2327" spans="1:2">
      <c r="A2327" s="3" t="s">
        <v>4118</v>
      </c>
      <c r="B2327" s="3" t="s">
        <v>4120</v>
      </c>
    </row>
    <row r="2328" spans="1:2">
      <c r="A2328" s="3" t="s">
        <v>4118</v>
      </c>
      <c r="B2328" s="3" t="s">
        <v>4121</v>
      </c>
    </row>
    <row r="2329" spans="1:2">
      <c r="A2329" s="3" t="s">
        <v>4118</v>
      </c>
      <c r="B2329" s="3" t="s">
        <v>4122</v>
      </c>
    </row>
    <row r="2330" spans="1:2">
      <c r="A2330" s="3" t="s">
        <v>4118</v>
      </c>
      <c r="B2330" s="3" t="s">
        <v>4123</v>
      </c>
    </row>
    <row r="2331" spans="1:2">
      <c r="A2331" s="3" t="s">
        <v>4124</v>
      </c>
      <c r="B2331" s="3" t="s">
        <v>4125</v>
      </c>
    </row>
    <row r="2332" spans="1:2">
      <c r="A2332" s="3" t="s">
        <v>4124</v>
      </c>
      <c r="B2332" s="3" t="s">
        <v>4126</v>
      </c>
    </row>
    <row r="2333" spans="1:2">
      <c r="A2333" s="3" t="s">
        <v>4124</v>
      </c>
      <c r="B2333" s="3" t="s">
        <v>4127</v>
      </c>
    </row>
    <row r="2334" spans="1:2">
      <c r="A2334" s="3" t="s">
        <v>4124</v>
      </c>
      <c r="B2334" s="3" t="s">
        <v>4128</v>
      </c>
    </row>
    <row r="2335" spans="1:2">
      <c r="A2335" s="3" t="s">
        <v>4129</v>
      </c>
      <c r="B2335" s="3" t="s">
        <v>4130</v>
      </c>
    </row>
    <row r="2336" spans="1:2">
      <c r="A2336" s="3" t="s">
        <v>4129</v>
      </c>
      <c r="B2336" s="3" t="s">
        <v>4131</v>
      </c>
    </row>
    <row r="2337" spans="1:2">
      <c r="A2337" s="3" t="s">
        <v>4129</v>
      </c>
      <c r="B2337" s="3" t="s">
        <v>4132</v>
      </c>
    </row>
    <row r="2338" spans="1:2">
      <c r="A2338" s="3" t="s">
        <v>4129</v>
      </c>
      <c r="B2338" s="3" t="s">
        <v>4133</v>
      </c>
    </row>
    <row r="2339" spans="1:2">
      <c r="A2339" s="3" t="s">
        <v>4129</v>
      </c>
      <c r="B2339" s="3" t="s">
        <v>4134</v>
      </c>
    </row>
    <row r="2340" spans="1:2">
      <c r="A2340" s="3" t="s">
        <v>4129</v>
      </c>
      <c r="B2340" s="3" t="s">
        <v>4135</v>
      </c>
    </row>
    <row r="2341" spans="1:2">
      <c r="A2341" s="3" t="s">
        <v>4129</v>
      </c>
      <c r="B2341" s="3" t="s">
        <v>4136</v>
      </c>
    </row>
    <row r="2342" spans="1:2">
      <c r="A2342" s="3" t="s">
        <v>4129</v>
      </c>
      <c r="B2342" s="3" t="s">
        <v>4137</v>
      </c>
    </row>
    <row r="2343" spans="1:2">
      <c r="A2343" s="3" t="s">
        <v>4129</v>
      </c>
      <c r="B2343" s="3" t="s">
        <v>4138</v>
      </c>
    </row>
    <row r="2344" spans="1:2">
      <c r="A2344" s="3" t="s">
        <v>4129</v>
      </c>
      <c r="B2344" s="3" t="s">
        <v>4139</v>
      </c>
    </row>
    <row r="2345" spans="1:2">
      <c r="A2345" s="3" t="s">
        <v>4129</v>
      </c>
      <c r="B2345" s="3" t="s">
        <v>4140</v>
      </c>
    </row>
    <row r="2346" spans="1:2">
      <c r="A2346" s="3" t="s">
        <v>4129</v>
      </c>
      <c r="B2346" s="3" t="s">
        <v>4141</v>
      </c>
    </row>
    <row r="2347" spans="1:2">
      <c r="A2347" s="3" t="s">
        <v>4129</v>
      </c>
      <c r="B2347" s="3" t="s">
        <v>4142</v>
      </c>
    </row>
    <row r="2348" spans="1:2">
      <c r="A2348" s="3" t="s">
        <v>4129</v>
      </c>
      <c r="B2348" s="3" t="s">
        <v>4143</v>
      </c>
    </row>
    <row r="2349" spans="1:2">
      <c r="A2349" s="3" t="s">
        <v>4129</v>
      </c>
      <c r="B2349" s="3" t="s">
        <v>4144</v>
      </c>
    </row>
    <row r="2350" spans="1:2">
      <c r="A2350" s="3" t="s">
        <v>4129</v>
      </c>
      <c r="B2350" s="3" t="s">
        <v>4145</v>
      </c>
    </row>
    <row r="2351" spans="1:2">
      <c r="A2351" s="3" t="s">
        <v>4146</v>
      </c>
      <c r="B2351" s="3" t="s">
        <v>4147</v>
      </c>
    </row>
    <row r="2352" spans="1:2">
      <c r="A2352" s="3" t="s">
        <v>4146</v>
      </c>
      <c r="B2352" s="3" t="s">
        <v>4148</v>
      </c>
    </row>
    <row r="2353" spans="1:2">
      <c r="A2353" s="3" t="s">
        <v>4146</v>
      </c>
      <c r="B2353" s="3" t="s">
        <v>4149</v>
      </c>
    </row>
    <row r="2354" spans="1:2">
      <c r="A2354" s="3" t="s">
        <v>4146</v>
      </c>
      <c r="B2354" s="3" t="s">
        <v>4150</v>
      </c>
    </row>
    <row r="2355" spans="1:2">
      <c r="A2355" s="3" t="s">
        <v>4151</v>
      </c>
      <c r="B2355" s="3" t="s">
        <v>4152</v>
      </c>
    </row>
    <row r="2356" spans="1:2">
      <c r="A2356" s="3" t="s">
        <v>4151</v>
      </c>
      <c r="B2356" s="3" t="s">
        <v>4153</v>
      </c>
    </row>
    <row r="2357" spans="1:2">
      <c r="A2357" s="3" t="s">
        <v>4151</v>
      </c>
      <c r="B2357" s="3" t="s">
        <v>4154</v>
      </c>
    </row>
    <row r="2358" spans="1:2">
      <c r="A2358" s="3" t="s">
        <v>4155</v>
      </c>
      <c r="B2358" s="3" t="s">
        <v>4156</v>
      </c>
    </row>
    <row r="2359" spans="1:2">
      <c r="A2359" s="3" t="s">
        <v>4155</v>
      </c>
      <c r="B2359" s="3" t="s">
        <v>4157</v>
      </c>
    </row>
    <row r="2360" spans="1:2">
      <c r="A2360" s="3" t="s">
        <v>4155</v>
      </c>
      <c r="B2360" s="3" t="s">
        <v>4158</v>
      </c>
    </row>
    <row r="2361" spans="1:2">
      <c r="A2361" s="3" t="s">
        <v>4155</v>
      </c>
      <c r="B2361" s="3" t="s">
        <v>4159</v>
      </c>
    </row>
    <row r="2362" spans="1:2">
      <c r="A2362" s="3" t="s">
        <v>4160</v>
      </c>
      <c r="B2362" s="3" t="s">
        <v>4161</v>
      </c>
    </row>
    <row r="2363" spans="1:2">
      <c r="A2363" s="3" t="s">
        <v>4160</v>
      </c>
      <c r="B2363" s="3" t="s">
        <v>4162</v>
      </c>
    </row>
    <row r="2364" spans="1:2">
      <c r="A2364" s="3" t="s">
        <v>4160</v>
      </c>
      <c r="B2364" s="3" t="s">
        <v>4163</v>
      </c>
    </row>
    <row r="2365" spans="1:2">
      <c r="A2365" s="3" t="s">
        <v>4160</v>
      </c>
      <c r="B2365" s="3" t="s">
        <v>4164</v>
      </c>
    </row>
    <row r="2366" spans="1:2">
      <c r="A2366" s="3" t="s">
        <v>4165</v>
      </c>
      <c r="B2366" s="3" t="s">
        <v>4166</v>
      </c>
    </row>
    <row r="2367" spans="1:2">
      <c r="A2367" s="3" t="s">
        <v>4165</v>
      </c>
      <c r="B2367" s="3" t="s">
        <v>4167</v>
      </c>
    </row>
    <row r="2368" spans="1:2">
      <c r="A2368" s="3" t="s">
        <v>4168</v>
      </c>
      <c r="B2368" s="3" t="s">
        <v>4169</v>
      </c>
    </row>
    <row r="2369" spans="1:2">
      <c r="A2369" s="3" t="s">
        <v>4168</v>
      </c>
      <c r="B2369" s="3" t="s">
        <v>4170</v>
      </c>
    </row>
    <row r="2370" spans="1:2">
      <c r="A2370" s="3" t="s">
        <v>4171</v>
      </c>
      <c r="B2370" s="3" t="s">
        <v>4172</v>
      </c>
    </row>
    <row r="2371" spans="1:2">
      <c r="A2371" s="3" t="s">
        <v>4171</v>
      </c>
      <c r="B2371" s="3" t="s">
        <v>4173</v>
      </c>
    </row>
    <row r="2372" spans="1:2">
      <c r="A2372" s="3" t="s">
        <v>4171</v>
      </c>
      <c r="B2372" s="3" t="s">
        <v>4174</v>
      </c>
    </row>
    <row r="2373" spans="1:2">
      <c r="A2373" s="3" t="s">
        <v>4171</v>
      </c>
      <c r="B2373" s="3" t="s">
        <v>4175</v>
      </c>
    </row>
    <row r="2374" spans="1:2">
      <c r="A2374" s="3" t="s">
        <v>4171</v>
      </c>
      <c r="B2374" s="3" t="s">
        <v>4176</v>
      </c>
    </row>
    <row r="2375" spans="1:2">
      <c r="A2375" s="3" t="s">
        <v>4171</v>
      </c>
      <c r="B2375" s="3" t="s">
        <v>4177</v>
      </c>
    </row>
    <row r="2376" spans="1:2">
      <c r="A2376" s="3" t="s">
        <v>4178</v>
      </c>
      <c r="B2376" s="3" t="s">
        <v>4179</v>
      </c>
    </row>
    <row r="2377" spans="1:2">
      <c r="A2377" s="3" t="s">
        <v>4178</v>
      </c>
      <c r="B2377" s="3" t="s">
        <v>4180</v>
      </c>
    </row>
    <row r="2378" spans="1:2">
      <c r="A2378" s="3" t="s">
        <v>4178</v>
      </c>
      <c r="B2378" s="3" t="s">
        <v>4181</v>
      </c>
    </row>
    <row r="2379" spans="1:2">
      <c r="A2379" s="3" t="s">
        <v>4178</v>
      </c>
      <c r="B2379" s="3" t="s">
        <v>4182</v>
      </c>
    </row>
    <row r="2380" spans="1:2">
      <c r="A2380" s="3" t="s">
        <v>4178</v>
      </c>
      <c r="B2380" s="3" t="s">
        <v>4183</v>
      </c>
    </row>
    <row r="2381" spans="1:2">
      <c r="A2381" s="3" t="s">
        <v>4178</v>
      </c>
      <c r="B2381" s="3" t="s">
        <v>4184</v>
      </c>
    </row>
    <row r="2382" spans="1:2">
      <c r="A2382" s="3" t="s">
        <v>4178</v>
      </c>
      <c r="B2382" s="3" t="s">
        <v>4185</v>
      </c>
    </row>
    <row r="2383" spans="1:2">
      <c r="A2383" s="3" t="s">
        <v>4178</v>
      </c>
      <c r="B2383" s="3" t="s">
        <v>4186</v>
      </c>
    </row>
    <row r="2384" spans="1:2">
      <c r="A2384" s="3" t="s">
        <v>4178</v>
      </c>
      <c r="B2384" s="3" t="s">
        <v>4187</v>
      </c>
    </row>
    <row r="2385" spans="1:2">
      <c r="A2385" s="3" t="s">
        <v>4178</v>
      </c>
      <c r="B2385" s="3" t="s">
        <v>4188</v>
      </c>
    </row>
    <row r="2386" spans="1:2">
      <c r="A2386" s="3" t="s">
        <v>4178</v>
      </c>
      <c r="B2386" s="3" t="s">
        <v>4189</v>
      </c>
    </row>
    <row r="2387" spans="1:2">
      <c r="A2387" s="3" t="s">
        <v>4178</v>
      </c>
      <c r="B2387" s="3" t="s">
        <v>4190</v>
      </c>
    </row>
    <row r="2388" spans="1:2">
      <c r="A2388" s="3" t="s">
        <v>4178</v>
      </c>
      <c r="B2388" s="3" t="s">
        <v>4191</v>
      </c>
    </row>
    <row r="2389" spans="1:2">
      <c r="A2389" s="3" t="s">
        <v>4178</v>
      </c>
      <c r="B2389" s="3" t="s">
        <v>4192</v>
      </c>
    </row>
    <row r="2390" spans="1:2">
      <c r="A2390" s="3" t="s">
        <v>4193</v>
      </c>
      <c r="B2390" s="3" t="s">
        <v>4194</v>
      </c>
    </row>
    <row r="2391" spans="1:2">
      <c r="A2391" s="3" t="s">
        <v>4193</v>
      </c>
      <c r="B2391" s="3" t="s">
        <v>4195</v>
      </c>
    </row>
    <row r="2392" spans="1:2">
      <c r="A2392" s="3" t="s">
        <v>4193</v>
      </c>
      <c r="B2392" s="3" t="s">
        <v>4196</v>
      </c>
    </row>
    <row r="2393" spans="1:2">
      <c r="A2393" s="3" t="s">
        <v>4193</v>
      </c>
      <c r="B2393" s="3" t="s">
        <v>4197</v>
      </c>
    </row>
    <row r="2394" spans="1:2">
      <c r="A2394" s="3" t="s">
        <v>4193</v>
      </c>
      <c r="B2394" s="3" t="s">
        <v>4198</v>
      </c>
    </row>
    <row r="2395" spans="1:2">
      <c r="A2395" s="3" t="s">
        <v>4193</v>
      </c>
      <c r="B2395" s="3" t="s">
        <v>4199</v>
      </c>
    </row>
    <row r="2396" spans="1:2">
      <c r="A2396" s="3" t="s">
        <v>4193</v>
      </c>
      <c r="B2396" s="3" t="s">
        <v>4200</v>
      </c>
    </row>
    <row r="2397" spans="1:2">
      <c r="A2397" s="3" t="s">
        <v>4193</v>
      </c>
      <c r="B2397" s="3" t="s">
        <v>4201</v>
      </c>
    </row>
    <row r="2398" spans="1:2">
      <c r="A2398" s="3" t="s">
        <v>4193</v>
      </c>
      <c r="B2398" s="3" t="s">
        <v>4202</v>
      </c>
    </row>
    <row r="2399" spans="1:2">
      <c r="A2399" s="3" t="s">
        <v>4193</v>
      </c>
      <c r="B2399" s="3" t="s">
        <v>4203</v>
      </c>
    </row>
    <row r="2400" spans="1:2">
      <c r="A2400" s="3" t="s">
        <v>4193</v>
      </c>
      <c r="B2400" s="3" t="s">
        <v>4204</v>
      </c>
    </row>
    <row r="2401" spans="1:2">
      <c r="A2401" s="3" t="s">
        <v>4193</v>
      </c>
      <c r="B2401" s="3" t="s">
        <v>4205</v>
      </c>
    </row>
    <row r="2402" spans="1:2">
      <c r="A2402" s="3" t="s">
        <v>4193</v>
      </c>
      <c r="B2402" s="3" t="s">
        <v>4206</v>
      </c>
    </row>
    <row r="2403" spans="1:2">
      <c r="A2403" s="3" t="s">
        <v>4193</v>
      </c>
      <c r="B2403" s="3" t="s">
        <v>4207</v>
      </c>
    </row>
    <row r="2404" spans="1:2">
      <c r="A2404" s="3" t="s">
        <v>4208</v>
      </c>
      <c r="B2404" s="3" t="s">
        <v>4209</v>
      </c>
    </row>
    <row r="2405" spans="1:2">
      <c r="A2405" s="3" t="s">
        <v>4208</v>
      </c>
      <c r="B2405" s="3" t="s">
        <v>4210</v>
      </c>
    </row>
    <row r="2406" spans="1:2">
      <c r="A2406" s="3" t="s">
        <v>4211</v>
      </c>
      <c r="B2406" s="3" t="s">
        <v>4212</v>
      </c>
    </row>
    <row r="2407" spans="1:2">
      <c r="A2407" s="3" t="s">
        <v>4211</v>
      </c>
      <c r="B2407" s="3" t="s">
        <v>4213</v>
      </c>
    </row>
    <row r="2408" spans="1:2">
      <c r="A2408" s="3" t="s">
        <v>4214</v>
      </c>
      <c r="B2408" s="3" t="s">
        <v>4215</v>
      </c>
    </row>
    <row r="2409" spans="1:2">
      <c r="A2409" s="3" t="s">
        <v>4214</v>
      </c>
      <c r="B2409" s="3" t="s">
        <v>4216</v>
      </c>
    </row>
    <row r="2410" spans="1:2">
      <c r="A2410" s="3" t="s">
        <v>4214</v>
      </c>
      <c r="B2410" s="3" t="s">
        <v>4217</v>
      </c>
    </row>
    <row r="2411" spans="1:2">
      <c r="A2411" s="3" t="s">
        <v>4214</v>
      </c>
      <c r="B2411" s="3" t="s">
        <v>4218</v>
      </c>
    </row>
    <row r="2412" spans="1:2">
      <c r="A2412" s="3" t="s">
        <v>4219</v>
      </c>
      <c r="B2412" s="3" t="s">
        <v>4220</v>
      </c>
    </row>
    <row r="2413" spans="1:2">
      <c r="A2413" s="3" t="s">
        <v>4219</v>
      </c>
      <c r="B2413" s="3" t="s">
        <v>4221</v>
      </c>
    </row>
    <row r="2414" spans="1:2">
      <c r="A2414" s="3" t="s">
        <v>4219</v>
      </c>
      <c r="B2414" s="3" t="s">
        <v>4222</v>
      </c>
    </row>
    <row r="2415" spans="1:2">
      <c r="A2415" s="3" t="s">
        <v>4219</v>
      </c>
      <c r="B2415" s="3" t="s">
        <v>4223</v>
      </c>
    </row>
    <row r="2416" spans="1:2">
      <c r="A2416" s="3" t="s">
        <v>4224</v>
      </c>
      <c r="B2416" s="3" t="s">
        <v>4225</v>
      </c>
    </row>
    <row r="2417" spans="1:2">
      <c r="A2417" s="3" t="s">
        <v>4224</v>
      </c>
      <c r="B2417" s="3" t="s">
        <v>4226</v>
      </c>
    </row>
    <row r="2418" spans="1:2">
      <c r="A2418" s="3" t="s">
        <v>4224</v>
      </c>
      <c r="B2418" s="3" t="s">
        <v>4227</v>
      </c>
    </row>
    <row r="2419" spans="1:2">
      <c r="A2419" s="3" t="s">
        <v>4228</v>
      </c>
      <c r="B2419" s="3" t="s">
        <v>4229</v>
      </c>
    </row>
    <row r="2420" spans="1:2">
      <c r="A2420" s="3" t="s">
        <v>4228</v>
      </c>
      <c r="B2420" s="3" t="s">
        <v>4230</v>
      </c>
    </row>
    <row r="2421" spans="1:2">
      <c r="A2421" s="3" t="s">
        <v>4228</v>
      </c>
      <c r="B2421" s="3" t="s">
        <v>4231</v>
      </c>
    </row>
    <row r="2422" spans="1:2">
      <c r="A2422" s="3" t="s">
        <v>4228</v>
      </c>
      <c r="B2422" s="3" t="s">
        <v>4232</v>
      </c>
    </row>
    <row r="2423" spans="1:2">
      <c r="A2423" s="29" t="s">
        <v>4233</v>
      </c>
      <c r="B2423" s="29" t="s">
        <v>4234</v>
      </c>
    </row>
    <row r="2424" spans="1:2">
      <c r="A2424" s="29" t="s">
        <v>4233</v>
      </c>
      <c r="B2424" s="29" t="s">
        <v>4235</v>
      </c>
    </row>
    <row r="2425" spans="1:2">
      <c r="A2425" s="29" t="s">
        <v>4233</v>
      </c>
      <c r="B2425" s="29" t="s">
        <v>4236</v>
      </c>
    </row>
    <row r="2426" spans="1:2">
      <c r="A2426" s="3" t="s">
        <v>4237</v>
      </c>
      <c r="B2426" s="3" t="s">
        <v>4238</v>
      </c>
    </row>
    <row r="2427" spans="1:2">
      <c r="A2427" s="3" t="s">
        <v>4237</v>
      </c>
      <c r="B2427" s="3" t="s">
        <v>4239</v>
      </c>
    </row>
    <row r="2428" spans="1:2">
      <c r="A2428" s="3" t="s">
        <v>4237</v>
      </c>
      <c r="B2428" s="3" t="s">
        <v>4240</v>
      </c>
    </row>
    <row r="2429" spans="1:2">
      <c r="A2429" s="3" t="s">
        <v>4237</v>
      </c>
      <c r="B2429" s="3" t="s">
        <v>4241</v>
      </c>
    </row>
    <row r="2430" spans="1:2">
      <c r="A2430" s="3" t="s">
        <v>4237</v>
      </c>
      <c r="B2430" s="3" t="s">
        <v>4242</v>
      </c>
    </row>
    <row r="2431" spans="1:2">
      <c r="A2431" s="3" t="s">
        <v>4237</v>
      </c>
      <c r="B2431" s="3" t="s">
        <v>4243</v>
      </c>
    </row>
    <row r="2432" spans="1:2">
      <c r="A2432" s="3" t="s">
        <v>4244</v>
      </c>
      <c r="B2432" s="3" t="s">
        <v>4245</v>
      </c>
    </row>
    <row r="2433" spans="1:2">
      <c r="A2433" s="3" t="s">
        <v>4244</v>
      </c>
      <c r="B2433" s="3" t="s">
        <v>4246</v>
      </c>
    </row>
    <row r="2434" spans="1:2">
      <c r="A2434" s="3" t="s">
        <v>4247</v>
      </c>
      <c r="B2434" s="3" t="s">
        <v>4248</v>
      </c>
    </row>
    <row r="2435" spans="1:2">
      <c r="A2435" s="3" t="s">
        <v>4247</v>
      </c>
      <c r="B2435" s="3" t="s">
        <v>4249</v>
      </c>
    </row>
    <row r="2436" spans="1:2">
      <c r="A2436" s="3" t="s">
        <v>4247</v>
      </c>
      <c r="B2436" s="3" t="s">
        <v>4250</v>
      </c>
    </row>
    <row r="2437" spans="1:2">
      <c r="A2437" s="3" t="s">
        <v>4247</v>
      </c>
      <c r="B2437" s="3" t="s">
        <v>4251</v>
      </c>
    </row>
    <row r="2438" spans="1:2">
      <c r="A2438" s="3" t="s">
        <v>4252</v>
      </c>
      <c r="B2438" s="3" t="s">
        <v>4253</v>
      </c>
    </row>
    <row r="2439" spans="1:2">
      <c r="A2439" s="3" t="s">
        <v>4252</v>
      </c>
      <c r="B2439" s="3" t="s">
        <v>4254</v>
      </c>
    </row>
    <row r="2440" spans="1:2">
      <c r="A2440" s="3" t="s">
        <v>4252</v>
      </c>
      <c r="B2440" s="3" t="s">
        <v>4255</v>
      </c>
    </row>
    <row r="2441" spans="1:2">
      <c r="A2441" s="3" t="s">
        <v>4252</v>
      </c>
      <c r="B2441" s="3" t="s">
        <v>4256</v>
      </c>
    </row>
    <row r="2442" spans="1:2">
      <c r="A2442" s="3" t="s">
        <v>4252</v>
      </c>
      <c r="B2442" s="3" t="s">
        <v>4257</v>
      </c>
    </row>
    <row r="2443" spans="1:2">
      <c r="A2443" s="3" t="s">
        <v>4252</v>
      </c>
      <c r="B2443" s="3" t="s">
        <v>4258</v>
      </c>
    </row>
    <row r="2444" spans="1:2">
      <c r="A2444" s="3" t="s">
        <v>4252</v>
      </c>
      <c r="B2444" s="3" t="s">
        <v>4259</v>
      </c>
    </row>
    <row r="2445" spans="1:2">
      <c r="A2445" s="3" t="s">
        <v>4252</v>
      </c>
      <c r="B2445" s="3" t="s">
        <v>4260</v>
      </c>
    </row>
    <row r="2446" spans="1:2">
      <c r="A2446" s="3" t="s">
        <v>4261</v>
      </c>
      <c r="B2446" s="3" t="s">
        <v>4262</v>
      </c>
    </row>
    <row r="2447" spans="1:2">
      <c r="A2447" s="3" t="s">
        <v>4261</v>
      </c>
      <c r="B2447" s="3" t="s">
        <v>4263</v>
      </c>
    </row>
    <row r="2448" spans="1:2">
      <c r="A2448" s="3" t="s">
        <v>4261</v>
      </c>
      <c r="B2448" s="3" t="s">
        <v>4264</v>
      </c>
    </row>
    <row r="2449" spans="1:2">
      <c r="A2449" s="3" t="s">
        <v>4261</v>
      </c>
      <c r="B2449" s="3" t="s">
        <v>4265</v>
      </c>
    </row>
    <row r="2450" spans="1:2">
      <c r="A2450" s="3" t="s">
        <v>4266</v>
      </c>
      <c r="B2450" s="3" t="s">
        <v>4267</v>
      </c>
    </row>
    <row r="2451" spans="1:2">
      <c r="A2451" s="3" t="s">
        <v>4266</v>
      </c>
      <c r="B2451" s="3" t="s">
        <v>4268</v>
      </c>
    </row>
    <row r="2452" spans="1:2">
      <c r="A2452" s="3" t="s">
        <v>4266</v>
      </c>
      <c r="B2452" s="3" t="s">
        <v>4269</v>
      </c>
    </row>
    <row r="2453" spans="1:2">
      <c r="A2453" s="3" t="s">
        <v>4266</v>
      </c>
      <c r="B2453" s="3" t="s">
        <v>4270</v>
      </c>
    </row>
    <row r="2454" spans="1:2">
      <c r="A2454" s="3" t="s">
        <v>4266</v>
      </c>
      <c r="B2454" s="3" t="s">
        <v>4271</v>
      </c>
    </row>
    <row r="2455" spans="1:2">
      <c r="A2455" s="3" t="s">
        <v>4272</v>
      </c>
      <c r="B2455" s="3" t="s">
        <v>4273</v>
      </c>
    </row>
    <row r="2456" spans="1:2">
      <c r="A2456" s="3" t="s">
        <v>4272</v>
      </c>
      <c r="B2456" s="3" t="s">
        <v>4274</v>
      </c>
    </row>
    <row r="2457" spans="1:2">
      <c r="A2457" s="3" t="s">
        <v>4272</v>
      </c>
      <c r="B2457" s="3" t="s">
        <v>4275</v>
      </c>
    </row>
    <row r="2458" spans="1:2">
      <c r="A2458" s="3" t="s">
        <v>4272</v>
      </c>
      <c r="B2458" s="3" t="s">
        <v>4276</v>
      </c>
    </row>
    <row r="2459" spans="1:2">
      <c r="A2459" s="3" t="s">
        <v>4272</v>
      </c>
      <c r="B2459" s="3" t="s">
        <v>4277</v>
      </c>
    </row>
    <row r="2460" spans="1:2">
      <c r="A2460" s="3" t="s">
        <v>4272</v>
      </c>
      <c r="B2460" s="3" t="s">
        <v>4278</v>
      </c>
    </row>
    <row r="2461" spans="1:2">
      <c r="A2461" s="3" t="s">
        <v>4272</v>
      </c>
      <c r="B2461" s="3" t="s">
        <v>4279</v>
      </c>
    </row>
    <row r="2462" spans="1:2">
      <c r="A2462" s="3" t="s">
        <v>4272</v>
      </c>
      <c r="B2462" s="3" t="s">
        <v>4280</v>
      </c>
    </row>
    <row r="2463" spans="1:2">
      <c r="A2463" s="3" t="s">
        <v>4281</v>
      </c>
      <c r="B2463" s="3" t="s">
        <v>4282</v>
      </c>
    </row>
    <row r="2464" spans="1:2">
      <c r="A2464" s="3" t="s">
        <v>4281</v>
      </c>
      <c r="B2464" s="3" t="s">
        <v>4283</v>
      </c>
    </row>
    <row r="2465" spans="1:2">
      <c r="A2465" s="3" t="s">
        <v>4284</v>
      </c>
      <c r="B2465" s="3" t="s">
        <v>4285</v>
      </c>
    </row>
    <row r="2466" spans="1:2">
      <c r="A2466" s="3" t="s">
        <v>4284</v>
      </c>
      <c r="B2466" s="3" t="s">
        <v>4286</v>
      </c>
    </row>
    <row r="2467" spans="1:2">
      <c r="A2467" s="3" t="s">
        <v>4284</v>
      </c>
      <c r="B2467" s="3" t="s">
        <v>4287</v>
      </c>
    </row>
    <row r="2468" spans="1:2">
      <c r="A2468" s="3" t="s">
        <v>4284</v>
      </c>
      <c r="B2468" s="3" t="s">
        <v>4288</v>
      </c>
    </row>
    <row r="2469" spans="1:2">
      <c r="A2469" s="3" t="s">
        <v>4289</v>
      </c>
      <c r="B2469" s="3" t="s">
        <v>1696</v>
      </c>
    </row>
    <row r="2470" spans="1:2">
      <c r="A2470" s="3" t="s">
        <v>4289</v>
      </c>
      <c r="B2470" s="3" t="s">
        <v>1697</v>
      </c>
    </row>
    <row r="2471" spans="1:2">
      <c r="A2471" s="3" t="s">
        <v>4289</v>
      </c>
      <c r="B2471" s="3" t="s">
        <v>1698</v>
      </c>
    </row>
    <row r="2472" spans="1:2">
      <c r="A2472" s="3" t="s">
        <v>4289</v>
      </c>
      <c r="B2472" s="3" t="s">
        <v>1699</v>
      </c>
    </row>
    <row r="2473" spans="1:2">
      <c r="A2473" s="3" t="s">
        <v>4289</v>
      </c>
      <c r="B2473" s="3" t="s">
        <v>4290</v>
      </c>
    </row>
    <row r="2474" spans="1:2">
      <c r="A2474" s="3" t="s">
        <v>4291</v>
      </c>
      <c r="B2474" s="3" t="s">
        <v>4292</v>
      </c>
    </row>
    <row r="2475" spans="1:2">
      <c r="A2475" s="3" t="s">
        <v>4291</v>
      </c>
      <c r="B2475" s="3" t="s">
        <v>4293</v>
      </c>
    </row>
    <row r="2476" spans="1:2">
      <c r="A2476" s="3" t="s">
        <v>4294</v>
      </c>
      <c r="B2476" s="3" t="s">
        <v>4295</v>
      </c>
    </row>
    <row r="2477" spans="1:2">
      <c r="A2477" s="3" t="s">
        <v>4294</v>
      </c>
      <c r="B2477" s="3" t="s">
        <v>4296</v>
      </c>
    </row>
    <row r="2478" spans="1:2">
      <c r="A2478" s="3" t="s">
        <v>4294</v>
      </c>
      <c r="B2478" s="3" t="s">
        <v>4297</v>
      </c>
    </row>
    <row r="2479" spans="1:2">
      <c r="A2479" s="3" t="s">
        <v>4294</v>
      </c>
      <c r="B2479" s="3" t="s">
        <v>4298</v>
      </c>
    </row>
    <row r="2480" spans="1:2">
      <c r="A2480" s="3" t="s">
        <v>4299</v>
      </c>
      <c r="B2480" s="3" t="s">
        <v>4300</v>
      </c>
    </row>
    <row r="2481" spans="1:2">
      <c r="A2481" s="3" t="s">
        <v>4299</v>
      </c>
      <c r="B2481" s="3" t="s">
        <v>4301</v>
      </c>
    </row>
    <row r="2482" spans="1:2">
      <c r="A2482" s="3" t="s">
        <v>4299</v>
      </c>
      <c r="B2482" s="3" t="s">
        <v>4302</v>
      </c>
    </row>
    <row r="2483" spans="1:2">
      <c r="A2483" s="3" t="s">
        <v>4299</v>
      </c>
      <c r="B2483" s="3" t="s">
        <v>4303</v>
      </c>
    </row>
    <row r="2484" spans="1:2">
      <c r="A2484" s="3" t="s">
        <v>4304</v>
      </c>
      <c r="B2484" s="3" t="s">
        <v>4305</v>
      </c>
    </row>
    <row r="2485" spans="1:2">
      <c r="A2485" s="3" t="s">
        <v>4304</v>
      </c>
      <c r="B2485" s="3" t="s">
        <v>4306</v>
      </c>
    </row>
    <row r="2486" spans="1:2">
      <c r="A2486" s="3" t="s">
        <v>4304</v>
      </c>
      <c r="B2486" s="3" t="s">
        <v>4307</v>
      </c>
    </row>
    <row r="2487" spans="1:2">
      <c r="A2487" s="3" t="s">
        <v>4308</v>
      </c>
      <c r="B2487" s="3" t="s">
        <v>4309</v>
      </c>
    </row>
    <row r="2488" spans="1:2">
      <c r="A2488" s="3" t="s">
        <v>4308</v>
      </c>
      <c r="B2488" s="3" t="s">
        <v>4310</v>
      </c>
    </row>
    <row r="2489" spans="1:2">
      <c r="A2489" s="3" t="s">
        <v>4308</v>
      </c>
      <c r="B2489" s="3" t="s">
        <v>4311</v>
      </c>
    </row>
    <row r="2490" spans="1:2">
      <c r="A2490" s="3" t="s">
        <v>4308</v>
      </c>
      <c r="B2490" s="3" t="s">
        <v>4312</v>
      </c>
    </row>
    <row r="2491" spans="1:2">
      <c r="A2491" s="3" t="s">
        <v>4308</v>
      </c>
      <c r="B2491" s="3" t="s">
        <v>4313</v>
      </c>
    </row>
    <row r="2492" spans="1:2">
      <c r="A2492" s="3" t="s">
        <v>4308</v>
      </c>
      <c r="B2492" s="3" t="s">
        <v>4314</v>
      </c>
    </row>
    <row r="2493" spans="1:2">
      <c r="A2493" s="3" t="s">
        <v>4308</v>
      </c>
      <c r="B2493" s="3" t="s">
        <v>4315</v>
      </c>
    </row>
    <row r="2494" spans="1:2">
      <c r="A2494" s="3" t="s">
        <v>4308</v>
      </c>
      <c r="B2494" s="3" t="s">
        <v>4316</v>
      </c>
    </row>
    <row r="2495" spans="1:2">
      <c r="A2495" s="3" t="s">
        <v>4308</v>
      </c>
      <c r="B2495" s="3" t="s">
        <v>4317</v>
      </c>
    </row>
    <row r="2496" spans="1:2">
      <c r="A2496" s="3" t="s">
        <v>4308</v>
      </c>
      <c r="B2496" s="3" t="s">
        <v>4318</v>
      </c>
    </row>
    <row r="2497" spans="1:2">
      <c r="A2497" s="3" t="s">
        <v>4308</v>
      </c>
      <c r="B2497" s="3" t="s">
        <v>4319</v>
      </c>
    </row>
    <row r="2498" spans="1:2">
      <c r="A2498" s="3" t="s">
        <v>4308</v>
      </c>
      <c r="B2498" s="3" t="s">
        <v>4320</v>
      </c>
    </row>
    <row r="2499" spans="1:2">
      <c r="A2499" s="3" t="s">
        <v>4308</v>
      </c>
      <c r="B2499" s="3" t="s">
        <v>4321</v>
      </c>
    </row>
    <row r="2500" spans="1:2">
      <c r="A2500" s="3" t="s">
        <v>4308</v>
      </c>
      <c r="B2500" s="3" t="s">
        <v>4322</v>
      </c>
    </row>
    <row r="2501" spans="1:2">
      <c r="A2501" s="3" t="s">
        <v>4323</v>
      </c>
      <c r="B2501" s="3" t="s">
        <v>4324</v>
      </c>
    </row>
    <row r="2502" spans="1:2">
      <c r="A2502" s="3" t="s">
        <v>4323</v>
      </c>
      <c r="B2502" s="3" t="s">
        <v>4325</v>
      </c>
    </row>
    <row r="2503" spans="1:2">
      <c r="A2503" s="3" t="s">
        <v>4323</v>
      </c>
      <c r="B2503" s="3" t="s">
        <v>4326</v>
      </c>
    </row>
    <row r="2504" spans="1:2">
      <c r="A2504" s="3" t="s">
        <v>4323</v>
      </c>
      <c r="B2504" s="3" t="s">
        <v>4327</v>
      </c>
    </row>
    <row r="2505" spans="1:2">
      <c r="A2505" s="3" t="s">
        <v>4323</v>
      </c>
      <c r="B2505" s="3" t="s">
        <v>4328</v>
      </c>
    </row>
    <row r="2506" spans="1:2">
      <c r="A2506" s="3" t="s">
        <v>4323</v>
      </c>
      <c r="B2506" s="3" t="s">
        <v>4329</v>
      </c>
    </row>
    <row r="2507" spans="1:2">
      <c r="A2507" s="3" t="s">
        <v>4323</v>
      </c>
      <c r="B2507" s="3" t="s">
        <v>4330</v>
      </c>
    </row>
    <row r="2508" spans="1:2">
      <c r="A2508" s="3" t="s">
        <v>4323</v>
      </c>
      <c r="B2508" s="3" t="s">
        <v>4331</v>
      </c>
    </row>
    <row r="2509" spans="1:2">
      <c r="A2509" s="3" t="s">
        <v>4323</v>
      </c>
      <c r="B2509" s="3" t="s">
        <v>4332</v>
      </c>
    </row>
    <row r="2510" spans="1:2">
      <c r="A2510" s="3" t="s">
        <v>4323</v>
      </c>
      <c r="B2510" s="3" t="s">
        <v>4333</v>
      </c>
    </row>
    <row r="2511" spans="1:2">
      <c r="A2511" s="3" t="s">
        <v>4323</v>
      </c>
      <c r="B2511" s="3" t="s">
        <v>4334</v>
      </c>
    </row>
    <row r="2512" spans="1:2">
      <c r="A2512" s="3" t="s">
        <v>4323</v>
      </c>
      <c r="B2512" s="3" t="s">
        <v>4335</v>
      </c>
    </row>
    <row r="2513" spans="1:2">
      <c r="A2513" s="3" t="s">
        <v>4323</v>
      </c>
      <c r="B2513" s="3" t="s">
        <v>4336</v>
      </c>
    </row>
    <row r="2514" spans="1:2">
      <c r="A2514" s="3" t="s">
        <v>4323</v>
      </c>
      <c r="B2514" s="3" t="s">
        <v>4337</v>
      </c>
    </row>
    <row r="2515" spans="1:2">
      <c r="A2515" s="3" t="s">
        <v>4323</v>
      </c>
      <c r="B2515" s="3" t="s">
        <v>4338</v>
      </c>
    </row>
    <row r="2516" spans="1:2">
      <c r="A2516" s="3" t="s">
        <v>4323</v>
      </c>
      <c r="B2516" s="3" t="s">
        <v>4339</v>
      </c>
    </row>
    <row r="2517" spans="1:2">
      <c r="A2517" s="3" t="s">
        <v>4340</v>
      </c>
      <c r="B2517" s="3" t="s">
        <v>4341</v>
      </c>
    </row>
    <row r="2518" spans="1:2">
      <c r="A2518" s="3" t="s">
        <v>4340</v>
      </c>
      <c r="B2518" s="3" t="s">
        <v>4342</v>
      </c>
    </row>
    <row r="2519" spans="1:2">
      <c r="A2519" s="3" t="s">
        <v>4340</v>
      </c>
      <c r="B2519" s="3" t="s">
        <v>4343</v>
      </c>
    </row>
    <row r="2520" spans="1:2">
      <c r="A2520" s="3" t="s">
        <v>4340</v>
      </c>
      <c r="B2520" s="3" t="s">
        <v>4344</v>
      </c>
    </row>
    <row r="2521" spans="1:2">
      <c r="A2521" s="3" t="s">
        <v>4345</v>
      </c>
      <c r="B2521" s="3" t="s">
        <v>4346</v>
      </c>
    </row>
    <row r="2522" spans="1:2">
      <c r="A2522" s="3" t="s">
        <v>4345</v>
      </c>
      <c r="B2522" s="3" t="s">
        <v>4347</v>
      </c>
    </row>
    <row r="2523" spans="1:2">
      <c r="A2523" s="3" t="s">
        <v>4345</v>
      </c>
      <c r="B2523" s="3" t="s">
        <v>4348</v>
      </c>
    </row>
    <row r="2524" spans="1:2">
      <c r="A2524" s="3" t="s">
        <v>4345</v>
      </c>
      <c r="B2524" s="3" t="s">
        <v>4349</v>
      </c>
    </row>
    <row r="2525" spans="1:2">
      <c r="A2525" s="3" t="s">
        <v>4345</v>
      </c>
      <c r="B2525" s="3" t="s">
        <v>4350</v>
      </c>
    </row>
    <row r="2526" spans="1:2">
      <c r="A2526" s="3" t="s">
        <v>4345</v>
      </c>
      <c r="B2526" s="3" t="s">
        <v>4351</v>
      </c>
    </row>
    <row r="2527" spans="1:2">
      <c r="A2527" s="3" t="s">
        <v>4345</v>
      </c>
      <c r="B2527" s="3" t="s">
        <v>4352</v>
      </c>
    </row>
    <row r="2528" spans="1:2">
      <c r="A2528" s="3" t="s">
        <v>4345</v>
      </c>
      <c r="B2528" s="3" t="s">
        <v>4353</v>
      </c>
    </row>
    <row r="2529" spans="1:2">
      <c r="A2529" s="3" t="s">
        <v>4345</v>
      </c>
      <c r="B2529" s="3" t="s">
        <v>4354</v>
      </c>
    </row>
    <row r="2530" spans="1:2">
      <c r="A2530" s="3" t="s">
        <v>4345</v>
      </c>
      <c r="B2530" s="3" t="s">
        <v>4355</v>
      </c>
    </row>
    <row r="2531" spans="1:2">
      <c r="A2531" s="3" t="s">
        <v>4345</v>
      </c>
      <c r="B2531" s="3" t="s">
        <v>4356</v>
      </c>
    </row>
    <row r="2532" spans="1:2">
      <c r="A2532" s="3" t="s">
        <v>4345</v>
      </c>
      <c r="B2532" s="3" t="s">
        <v>4357</v>
      </c>
    </row>
    <row r="2533" spans="1:2">
      <c r="A2533" s="3" t="s">
        <v>4345</v>
      </c>
      <c r="B2533" s="3" t="s">
        <v>4358</v>
      </c>
    </row>
    <row r="2534" spans="1:2">
      <c r="A2534" s="3" t="s">
        <v>4345</v>
      </c>
      <c r="B2534" s="3" t="s">
        <v>4359</v>
      </c>
    </row>
    <row r="2535" spans="1:2">
      <c r="A2535" s="3" t="s">
        <v>4345</v>
      </c>
      <c r="B2535" s="3" t="s">
        <v>4360</v>
      </c>
    </row>
    <row r="2536" spans="1:2">
      <c r="A2536" s="3" t="s">
        <v>4345</v>
      </c>
      <c r="B2536" s="3" t="s">
        <v>4361</v>
      </c>
    </row>
    <row r="2537" spans="1:2">
      <c r="A2537" s="3" t="s">
        <v>4345</v>
      </c>
      <c r="B2537" s="3" t="s">
        <v>4362</v>
      </c>
    </row>
    <row r="2538" spans="1:2">
      <c r="A2538" s="3" t="s">
        <v>4345</v>
      </c>
      <c r="B2538" s="3" t="s">
        <v>4363</v>
      </c>
    </row>
    <row r="2539" spans="1:2">
      <c r="A2539" s="3" t="s">
        <v>4345</v>
      </c>
      <c r="B2539" s="3" t="s">
        <v>4364</v>
      </c>
    </row>
    <row r="2540" spans="1:2">
      <c r="A2540" s="3" t="s">
        <v>4345</v>
      </c>
      <c r="B2540" s="3" t="s">
        <v>4365</v>
      </c>
    </row>
    <row r="2541" spans="1:2">
      <c r="A2541" s="3" t="s">
        <v>4345</v>
      </c>
      <c r="B2541" s="3" t="s">
        <v>4366</v>
      </c>
    </row>
    <row r="2542" spans="1:2">
      <c r="A2542" s="3" t="s">
        <v>4345</v>
      </c>
      <c r="B2542" s="3" t="s">
        <v>4367</v>
      </c>
    </row>
    <row r="2543" spans="1:2">
      <c r="A2543" s="3" t="s">
        <v>4345</v>
      </c>
      <c r="B2543" s="3" t="s">
        <v>4368</v>
      </c>
    </row>
    <row r="2544" spans="1:2">
      <c r="A2544" s="3" t="s">
        <v>4345</v>
      </c>
      <c r="B2544" s="3" t="s">
        <v>4369</v>
      </c>
    </row>
    <row r="2545" spans="1:2">
      <c r="A2545" s="3" t="s">
        <v>4345</v>
      </c>
      <c r="B2545" s="3" t="s">
        <v>4370</v>
      </c>
    </row>
    <row r="2546" spans="1:2">
      <c r="A2546" s="3" t="s">
        <v>4345</v>
      </c>
      <c r="B2546" s="3" t="s">
        <v>4371</v>
      </c>
    </row>
    <row r="2547" spans="1:2">
      <c r="A2547" s="3" t="s">
        <v>4345</v>
      </c>
      <c r="B2547" s="3" t="s">
        <v>4372</v>
      </c>
    </row>
    <row r="2548" spans="1:2">
      <c r="A2548" s="3" t="s">
        <v>4345</v>
      </c>
      <c r="B2548" s="3" t="s">
        <v>4373</v>
      </c>
    </row>
    <row r="2549" spans="1:2">
      <c r="A2549" s="3" t="s">
        <v>4345</v>
      </c>
      <c r="B2549" s="3" t="s">
        <v>4374</v>
      </c>
    </row>
    <row r="2550" spans="1:2">
      <c r="A2550" s="3" t="s">
        <v>4345</v>
      </c>
      <c r="B2550" s="3" t="s">
        <v>4375</v>
      </c>
    </row>
    <row r="2551" spans="1:2">
      <c r="A2551" s="3" t="s">
        <v>4345</v>
      </c>
      <c r="B2551" s="3" t="s">
        <v>4376</v>
      </c>
    </row>
    <row r="2552" spans="1:2">
      <c r="A2552" s="3" t="s">
        <v>4345</v>
      </c>
      <c r="B2552" s="3" t="s">
        <v>4377</v>
      </c>
    </row>
    <row r="2553" spans="1:2">
      <c r="A2553" s="3" t="s">
        <v>4378</v>
      </c>
      <c r="B2553" s="3" t="s">
        <v>4379</v>
      </c>
    </row>
    <row r="2554" spans="1:2">
      <c r="A2554" s="3" t="s">
        <v>4378</v>
      </c>
      <c r="B2554" s="3" t="s">
        <v>4380</v>
      </c>
    </row>
    <row r="2555" spans="1:2">
      <c r="A2555" s="3" t="s">
        <v>4378</v>
      </c>
      <c r="B2555" s="3" t="s">
        <v>4381</v>
      </c>
    </row>
    <row r="2556" spans="1:2">
      <c r="A2556" s="3" t="s">
        <v>4378</v>
      </c>
      <c r="B2556" s="3" t="s">
        <v>4382</v>
      </c>
    </row>
    <row r="2557" spans="1:2">
      <c r="A2557" s="3" t="s">
        <v>4378</v>
      </c>
      <c r="B2557" s="3" t="s">
        <v>4383</v>
      </c>
    </row>
    <row r="2558" spans="1:2">
      <c r="A2558" s="3" t="s">
        <v>4378</v>
      </c>
      <c r="B2558" s="3" t="s">
        <v>4384</v>
      </c>
    </row>
    <row r="2559" spans="1:2">
      <c r="A2559" s="3" t="s">
        <v>4378</v>
      </c>
      <c r="B2559" s="3" t="s">
        <v>4385</v>
      </c>
    </row>
    <row r="2560" spans="1:2">
      <c r="A2560" s="3" t="s">
        <v>4386</v>
      </c>
      <c r="B2560" s="3" t="s">
        <v>4387</v>
      </c>
    </row>
    <row r="2561" spans="1:2">
      <c r="A2561" s="3" t="s">
        <v>4386</v>
      </c>
      <c r="B2561" s="3" t="s">
        <v>4388</v>
      </c>
    </row>
    <row r="2562" spans="1:2">
      <c r="A2562" s="3" t="s">
        <v>4386</v>
      </c>
      <c r="B2562" s="3" t="s">
        <v>4389</v>
      </c>
    </row>
    <row r="2563" spans="1:2">
      <c r="A2563" s="3" t="s">
        <v>4390</v>
      </c>
      <c r="B2563" s="3" t="s">
        <v>4391</v>
      </c>
    </row>
    <row r="2564" spans="1:2">
      <c r="A2564" s="3" t="s">
        <v>4390</v>
      </c>
      <c r="B2564" s="3" t="s">
        <v>4392</v>
      </c>
    </row>
    <row r="2565" spans="1:2">
      <c r="A2565" s="3" t="s">
        <v>4390</v>
      </c>
      <c r="B2565" s="3" t="s">
        <v>4393</v>
      </c>
    </row>
    <row r="2566" spans="1:2">
      <c r="A2566" s="3" t="s">
        <v>4390</v>
      </c>
      <c r="B2566" s="3" t="s">
        <v>4394</v>
      </c>
    </row>
    <row r="2567" spans="1:2">
      <c r="A2567" s="3" t="s">
        <v>4395</v>
      </c>
      <c r="B2567" s="3" t="s">
        <v>4396</v>
      </c>
    </row>
    <row r="2568" spans="1:2">
      <c r="A2568" s="3" t="s">
        <v>4395</v>
      </c>
      <c r="B2568" s="3" t="s">
        <v>4397</v>
      </c>
    </row>
    <row r="2569" spans="1:2">
      <c r="A2569" s="3" t="s">
        <v>4395</v>
      </c>
      <c r="B2569" s="3" t="s">
        <v>4398</v>
      </c>
    </row>
    <row r="2570" spans="1:2">
      <c r="A2570" s="3" t="s">
        <v>4395</v>
      </c>
      <c r="B2570" s="3" t="s">
        <v>4399</v>
      </c>
    </row>
    <row r="2571" spans="1:2">
      <c r="A2571" s="3" t="s">
        <v>4400</v>
      </c>
      <c r="B2571" s="3" t="s">
        <v>4401</v>
      </c>
    </row>
    <row r="2572" spans="1:2">
      <c r="A2572" s="3" t="s">
        <v>4400</v>
      </c>
      <c r="B2572" s="3" t="s">
        <v>4402</v>
      </c>
    </row>
    <row r="2573" spans="1:2">
      <c r="A2573" s="3" t="s">
        <v>4400</v>
      </c>
      <c r="B2573" s="3" t="s">
        <v>4403</v>
      </c>
    </row>
    <row r="2574" spans="1:2">
      <c r="A2574" s="3" t="s">
        <v>4404</v>
      </c>
      <c r="B2574" s="3" t="s">
        <v>4405</v>
      </c>
    </row>
    <row r="2575" spans="1:2">
      <c r="A2575" s="3" t="s">
        <v>4404</v>
      </c>
      <c r="B2575" s="3" t="s">
        <v>4406</v>
      </c>
    </row>
    <row r="2576" spans="1:2">
      <c r="A2576" s="3" t="s">
        <v>4407</v>
      </c>
      <c r="B2576" s="3" t="s">
        <v>4408</v>
      </c>
    </row>
    <row r="2577" spans="1:2">
      <c r="A2577" s="3" t="s">
        <v>4407</v>
      </c>
      <c r="B2577" s="3" t="s">
        <v>4409</v>
      </c>
    </row>
    <row r="2578" spans="1:2">
      <c r="A2578" s="3" t="s">
        <v>4407</v>
      </c>
      <c r="B2578" s="3" t="s">
        <v>4410</v>
      </c>
    </row>
    <row r="2579" spans="1:2">
      <c r="A2579" s="3" t="s">
        <v>4407</v>
      </c>
      <c r="B2579" s="3" t="s">
        <v>4411</v>
      </c>
    </row>
    <row r="2580" spans="1:2">
      <c r="A2580" s="3" t="s">
        <v>4407</v>
      </c>
      <c r="B2580" s="3" t="s">
        <v>4412</v>
      </c>
    </row>
    <row r="2581" spans="1:2">
      <c r="A2581" s="3" t="s">
        <v>4407</v>
      </c>
      <c r="B2581" s="3" t="s">
        <v>4413</v>
      </c>
    </row>
    <row r="2582" spans="1:2">
      <c r="A2582" s="3" t="s">
        <v>4414</v>
      </c>
      <c r="B2582" s="3" t="s">
        <v>4415</v>
      </c>
    </row>
    <row r="2583" spans="1:2">
      <c r="A2583" s="3" t="s">
        <v>4414</v>
      </c>
      <c r="B2583" s="3" t="s">
        <v>4416</v>
      </c>
    </row>
    <row r="2584" spans="1:2">
      <c r="A2584" s="3" t="s">
        <v>4414</v>
      </c>
      <c r="B2584" s="3" t="s">
        <v>4417</v>
      </c>
    </row>
    <row r="2585" spans="1:2">
      <c r="A2585" s="3" t="s">
        <v>4414</v>
      </c>
      <c r="B2585" s="3" t="s">
        <v>4418</v>
      </c>
    </row>
    <row r="2586" spans="1:2">
      <c r="A2586" s="3" t="s">
        <v>4419</v>
      </c>
      <c r="B2586" s="3" t="s">
        <v>4420</v>
      </c>
    </row>
    <row r="2587" spans="1:2">
      <c r="A2587" s="3" t="s">
        <v>4419</v>
      </c>
      <c r="B2587" s="3" t="s">
        <v>4421</v>
      </c>
    </row>
    <row r="2588" spans="1:2">
      <c r="A2588" s="3" t="s">
        <v>4419</v>
      </c>
      <c r="B2588" s="3" t="s">
        <v>4422</v>
      </c>
    </row>
    <row r="2589" spans="1:2">
      <c r="A2589" s="3" t="s">
        <v>4419</v>
      </c>
      <c r="B2589" s="3" t="s">
        <v>4423</v>
      </c>
    </row>
    <row r="2590" spans="1:2">
      <c r="A2590" s="3" t="s">
        <v>4424</v>
      </c>
      <c r="B2590" s="3" t="s">
        <v>4425</v>
      </c>
    </row>
    <row r="2591" spans="1:2">
      <c r="A2591" s="3" t="s">
        <v>4424</v>
      </c>
      <c r="B2591" s="3" t="s">
        <v>4426</v>
      </c>
    </row>
    <row r="2592" spans="1:2">
      <c r="A2592" s="3" t="s">
        <v>4424</v>
      </c>
      <c r="B2592" s="3" t="s">
        <v>4427</v>
      </c>
    </row>
    <row r="2593" spans="1:2">
      <c r="A2593" s="3" t="s">
        <v>4424</v>
      </c>
      <c r="B2593" s="3" t="s">
        <v>4428</v>
      </c>
    </row>
    <row r="2594" spans="1:2">
      <c r="A2594" s="3" t="s">
        <v>4429</v>
      </c>
      <c r="B2594" s="3" t="s">
        <v>4430</v>
      </c>
    </row>
    <row r="2595" spans="1:2">
      <c r="A2595" s="3" t="s">
        <v>4429</v>
      </c>
      <c r="B2595" s="3" t="s">
        <v>4431</v>
      </c>
    </row>
    <row r="2596" spans="1:2">
      <c r="A2596" s="3" t="s">
        <v>4429</v>
      </c>
      <c r="B2596" s="3" t="s">
        <v>4432</v>
      </c>
    </row>
    <row r="2597" spans="1:2">
      <c r="A2597" s="3" t="s">
        <v>4429</v>
      </c>
      <c r="B2597" s="3" t="s">
        <v>4433</v>
      </c>
    </row>
    <row r="2598" spans="1:2">
      <c r="A2598" s="3" t="s">
        <v>4429</v>
      </c>
      <c r="B2598" s="3" t="s">
        <v>4434</v>
      </c>
    </row>
    <row r="2599" spans="1:2">
      <c r="A2599" s="3" t="s">
        <v>4429</v>
      </c>
      <c r="B2599" s="3" t="s">
        <v>4435</v>
      </c>
    </row>
    <row r="2600" spans="1:2">
      <c r="A2600" s="3" t="s">
        <v>4436</v>
      </c>
      <c r="B2600" s="3" t="s">
        <v>4437</v>
      </c>
    </row>
    <row r="2601" spans="1:2">
      <c r="A2601" s="3" t="s">
        <v>4436</v>
      </c>
      <c r="B2601" s="3" t="s">
        <v>4438</v>
      </c>
    </row>
    <row r="2602" spans="1:2">
      <c r="A2602" s="3" t="s">
        <v>4436</v>
      </c>
      <c r="B2602" s="3" t="s">
        <v>4439</v>
      </c>
    </row>
    <row r="2603" spans="1:2">
      <c r="A2603" s="3" t="s">
        <v>4436</v>
      </c>
      <c r="B2603" s="3" t="s">
        <v>4440</v>
      </c>
    </row>
    <row r="2604" spans="1:2">
      <c r="A2604" s="3" t="s">
        <v>4436</v>
      </c>
      <c r="B2604" s="3" t="s">
        <v>4441</v>
      </c>
    </row>
    <row r="2605" spans="1:2">
      <c r="A2605" s="3" t="s">
        <v>4436</v>
      </c>
      <c r="B2605" s="3" t="s">
        <v>4442</v>
      </c>
    </row>
    <row r="2606" spans="1:2">
      <c r="A2606" s="3" t="s">
        <v>4436</v>
      </c>
      <c r="B2606" s="3" t="s">
        <v>4443</v>
      </c>
    </row>
    <row r="2607" spans="1:2">
      <c r="A2607" s="3" t="s">
        <v>4436</v>
      </c>
      <c r="B2607" s="3" t="s">
        <v>4444</v>
      </c>
    </row>
    <row r="2608" spans="1:2">
      <c r="A2608" s="3" t="s">
        <v>4436</v>
      </c>
      <c r="B2608" s="3" t="s">
        <v>4445</v>
      </c>
    </row>
    <row r="2609" spans="1:2">
      <c r="A2609" s="3" t="s">
        <v>4436</v>
      </c>
      <c r="B2609" s="3" t="s">
        <v>4446</v>
      </c>
    </row>
    <row r="2610" spans="1:2">
      <c r="A2610" s="3" t="s">
        <v>4436</v>
      </c>
      <c r="B2610" s="3" t="s">
        <v>4447</v>
      </c>
    </row>
    <row r="2611" spans="1:2">
      <c r="A2611" s="3" t="s">
        <v>4436</v>
      </c>
      <c r="B2611" s="3" t="s">
        <v>4448</v>
      </c>
    </row>
    <row r="2612" spans="1:2">
      <c r="A2612" s="3" t="s">
        <v>4436</v>
      </c>
      <c r="B2612" s="3" t="s">
        <v>4449</v>
      </c>
    </row>
    <row r="2613" spans="1:2">
      <c r="A2613" s="3" t="s">
        <v>4436</v>
      </c>
      <c r="B2613" s="3" t="s">
        <v>4450</v>
      </c>
    </row>
    <row r="2614" spans="1:2">
      <c r="A2614" s="3" t="s">
        <v>4436</v>
      </c>
      <c r="B2614" s="3" t="s">
        <v>4451</v>
      </c>
    </row>
    <row r="2615" spans="1:2">
      <c r="A2615" s="3" t="s">
        <v>4452</v>
      </c>
      <c r="B2615" s="3" t="s">
        <v>4453</v>
      </c>
    </row>
    <row r="2616" spans="1:2">
      <c r="A2616" s="3" t="s">
        <v>4452</v>
      </c>
      <c r="B2616" s="3" t="s">
        <v>4454</v>
      </c>
    </row>
    <row r="2617" spans="1:2">
      <c r="A2617" s="3" t="s">
        <v>4452</v>
      </c>
      <c r="B2617" s="3" t="s">
        <v>4455</v>
      </c>
    </row>
    <row r="2618" spans="1:2">
      <c r="A2618" s="3" t="s">
        <v>4452</v>
      </c>
      <c r="B2618" s="3" t="s">
        <v>4456</v>
      </c>
    </row>
    <row r="2619" spans="1:2">
      <c r="A2619" s="3" t="s">
        <v>4457</v>
      </c>
      <c r="B2619" s="3" t="s">
        <v>4458</v>
      </c>
    </row>
    <row r="2620" spans="1:2">
      <c r="A2620" s="3" t="s">
        <v>4457</v>
      </c>
      <c r="B2620" s="3" t="s">
        <v>4459</v>
      </c>
    </row>
    <row r="2621" spans="1:2">
      <c r="A2621" s="3" t="s">
        <v>4457</v>
      </c>
      <c r="B2621" s="3" t="s">
        <v>4460</v>
      </c>
    </row>
    <row r="2622" spans="1:2">
      <c r="A2622" s="3" t="s">
        <v>4457</v>
      </c>
      <c r="B2622" s="3" t="s">
        <v>4461</v>
      </c>
    </row>
    <row r="2623" spans="1:2">
      <c r="A2623" s="3" t="s">
        <v>4457</v>
      </c>
      <c r="B2623" s="3" t="s">
        <v>4462</v>
      </c>
    </row>
    <row r="2624" spans="1:2">
      <c r="A2624" s="3" t="s">
        <v>4457</v>
      </c>
      <c r="B2624" s="3" t="s">
        <v>4463</v>
      </c>
    </row>
    <row r="2625" spans="1:2">
      <c r="A2625" s="3" t="s">
        <v>4457</v>
      </c>
      <c r="B2625" s="3" t="s">
        <v>4464</v>
      </c>
    </row>
    <row r="2626" spans="1:2">
      <c r="A2626" s="3" t="s">
        <v>4457</v>
      </c>
      <c r="B2626" s="3" t="s">
        <v>4465</v>
      </c>
    </row>
    <row r="2627" spans="1:2">
      <c r="A2627" s="3" t="s">
        <v>4466</v>
      </c>
      <c r="B2627" s="3" t="s">
        <v>4467</v>
      </c>
    </row>
    <row r="2628" spans="1:2">
      <c r="A2628" s="3" t="s">
        <v>4466</v>
      </c>
      <c r="B2628" s="3" t="s">
        <v>4468</v>
      </c>
    </row>
    <row r="2629" spans="1:2">
      <c r="A2629" s="3" t="s">
        <v>4466</v>
      </c>
      <c r="B2629" s="3" t="s">
        <v>4469</v>
      </c>
    </row>
    <row r="2630" spans="1:2">
      <c r="A2630" s="3" t="s">
        <v>4466</v>
      </c>
      <c r="B2630" s="3" t="s">
        <v>4470</v>
      </c>
    </row>
    <row r="2631" spans="1:2">
      <c r="A2631" s="3" t="s">
        <v>4466</v>
      </c>
      <c r="B2631" s="3" t="s">
        <v>4471</v>
      </c>
    </row>
    <row r="2632" spans="1:2">
      <c r="A2632" s="3" t="s">
        <v>4466</v>
      </c>
      <c r="B2632" s="3" t="s">
        <v>4472</v>
      </c>
    </row>
    <row r="2633" spans="1:2">
      <c r="A2633" s="3" t="s">
        <v>4466</v>
      </c>
      <c r="B2633" s="3" t="s">
        <v>4473</v>
      </c>
    </row>
    <row r="2634" spans="1:2">
      <c r="A2634" s="3" t="s">
        <v>4466</v>
      </c>
      <c r="B2634" s="3" t="s">
        <v>4474</v>
      </c>
    </row>
    <row r="2635" spans="1:2">
      <c r="A2635" s="3" t="s">
        <v>4466</v>
      </c>
      <c r="B2635" s="3" t="s">
        <v>4475</v>
      </c>
    </row>
    <row r="2636" spans="1:2">
      <c r="A2636" s="3" t="s">
        <v>4466</v>
      </c>
      <c r="B2636" s="3" t="s">
        <v>4476</v>
      </c>
    </row>
    <row r="2637" spans="1:2">
      <c r="A2637" s="3" t="s">
        <v>4466</v>
      </c>
      <c r="B2637" s="3" t="s">
        <v>4477</v>
      </c>
    </row>
    <row r="2638" spans="1:2">
      <c r="A2638" s="3" t="s">
        <v>4466</v>
      </c>
      <c r="B2638" s="3" t="s">
        <v>4478</v>
      </c>
    </row>
    <row r="2639" spans="1:2">
      <c r="A2639" s="3" t="s">
        <v>4466</v>
      </c>
      <c r="B2639" s="3" t="s">
        <v>4479</v>
      </c>
    </row>
    <row r="2640" spans="1:2">
      <c r="A2640" s="3" t="s">
        <v>4466</v>
      </c>
      <c r="B2640" s="3" t="s">
        <v>4480</v>
      </c>
    </row>
    <row r="2641" spans="1:2">
      <c r="A2641" s="3" t="s">
        <v>4466</v>
      </c>
      <c r="B2641" s="3" t="s">
        <v>4481</v>
      </c>
    </row>
    <row r="2642" spans="1:2">
      <c r="A2642" s="3" t="s">
        <v>4466</v>
      </c>
      <c r="B2642" s="3" t="s">
        <v>4482</v>
      </c>
    </row>
    <row r="2643" spans="1:2">
      <c r="A2643" s="3" t="s">
        <v>4483</v>
      </c>
      <c r="B2643" s="3" t="s">
        <v>4484</v>
      </c>
    </row>
    <row r="2644" spans="1:2">
      <c r="A2644" s="3" t="s">
        <v>4483</v>
      </c>
      <c r="B2644" s="3" t="s">
        <v>4485</v>
      </c>
    </row>
    <row r="2645" spans="1:2">
      <c r="A2645" s="3" t="s">
        <v>4483</v>
      </c>
      <c r="B2645" s="3" t="s">
        <v>4486</v>
      </c>
    </row>
    <row r="2646" spans="1:2">
      <c r="A2646" s="3" t="s">
        <v>4483</v>
      </c>
      <c r="B2646" s="3" t="s">
        <v>4487</v>
      </c>
    </row>
    <row r="2647" spans="1:2">
      <c r="A2647" s="3" t="s">
        <v>4483</v>
      </c>
      <c r="B2647" s="3" t="s">
        <v>4488</v>
      </c>
    </row>
    <row r="2648" spans="1:2">
      <c r="A2648" s="3" t="s">
        <v>4483</v>
      </c>
      <c r="B2648" s="3" t="s">
        <v>4489</v>
      </c>
    </row>
    <row r="2649" spans="1:2">
      <c r="A2649" s="3" t="s">
        <v>4483</v>
      </c>
      <c r="B2649" s="3" t="s">
        <v>4490</v>
      </c>
    </row>
    <row r="2650" spans="1:2">
      <c r="A2650" s="3" t="s">
        <v>4483</v>
      </c>
      <c r="B2650" s="3" t="s">
        <v>4491</v>
      </c>
    </row>
    <row r="2651" spans="1:2">
      <c r="A2651" s="3" t="s">
        <v>4492</v>
      </c>
      <c r="B2651" s="3" t="s">
        <v>4493</v>
      </c>
    </row>
    <row r="2652" spans="1:2">
      <c r="A2652" s="3" t="s">
        <v>4492</v>
      </c>
      <c r="B2652" s="3" t="s">
        <v>4494</v>
      </c>
    </row>
    <row r="2653" spans="1:2">
      <c r="A2653" s="3" t="s">
        <v>4492</v>
      </c>
      <c r="B2653" s="3" t="s">
        <v>4495</v>
      </c>
    </row>
    <row r="2654" spans="1:2">
      <c r="A2654" s="3" t="s">
        <v>4496</v>
      </c>
      <c r="B2654" s="3" t="s">
        <v>4497</v>
      </c>
    </row>
    <row r="2655" spans="1:2">
      <c r="A2655" s="3" t="s">
        <v>4496</v>
      </c>
      <c r="B2655" s="3" t="s">
        <v>4498</v>
      </c>
    </row>
    <row r="2656" spans="1:2">
      <c r="A2656" s="3" t="s">
        <v>4499</v>
      </c>
      <c r="B2656" s="3" t="s">
        <v>4500</v>
      </c>
    </row>
    <row r="2657" spans="1:2">
      <c r="A2657" s="3" t="s">
        <v>4499</v>
      </c>
      <c r="B2657" s="3" t="s">
        <v>4501</v>
      </c>
    </row>
    <row r="2658" spans="1:2">
      <c r="A2658" s="3" t="s">
        <v>4502</v>
      </c>
      <c r="B2658" s="3" t="s">
        <v>4503</v>
      </c>
    </row>
    <row r="2659" spans="1:2">
      <c r="A2659" s="3" t="s">
        <v>4502</v>
      </c>
      <c r="B2659" s="3" t="s">
        <v>4504</v>
      </c>
    </row>
    <row r="2660" spans="1:2">
      <c r="A2660" s="3" t="s">
        <v>4502</v>
      </c>
      <c r="B2660" s="3" t="s">
        <v>4505</v>
      </c>
    </row>
    <row r="2661" spans="1:2">
      <c r="A2661" s="3" t="s">
        <v>4502</v>
      </c>
      <c r="B2661" s="3" t="s">
        <v>4506</v>
      </c>
    </row>
    <row r="2662" spans="1:2">
      <c r="A2662" s="3" t="s">
        <v>4507</v>
      </c>
      <c r="B2662" s="3" t="s">
        <v>4508</v>
      </c>
    </row>
    <row r="2663" spans="1:2">
      <c r="A2663" s="3" t="s">
        <v>4507</v>
      </c>
      <c r="B2663" s="3" t="s">
        <v>4509</v>
      </c>
    </row>
    <row r="2664" spans="1:2">
      <c r="A2664" s="3" t="s">
        <v>4507</v>
      </c>
      <c r="B2664" s="3" t="s">
        <v>4510</v>
      </c>
    </row>
    <row r="2665" spans="1:2">
      <c r="A2665" s="3" t="s">
        <v>4507</v>
      </c>
      <c r="B2665" s="3" t="s">
        <v>4511</v>
      </c>
    </row>
    <row r="2666" spans="1:2">
      <c r="A2666" s="3" t="s">
        <v>4512</v>
      </c>
      <c r="B2666" s="3" t="s">
        <v>4513</v>
      </c>
    </row>
    <row r="2667" spans="1:2">
      <c r="A2667" s="3" t="s">
        <v>4512</v>
      </c>
      <c r="B2667" s="3" t="s">
        <v>4514</v>
      </c>
    </row>
    <row r="2668" spans="1:2">
      <c r="A2668" s="3" t="s">
        <v>4512</v>
      </c>
      <c r="B2668" s="3" t="s">
        <v>4515</v>
      </c>
    </row>
    <row r="2669" spans="1:2">
      <c r="A2669" s="3" t="s">
        <v>4512</v>
      </c>
      <c r="B2669" s="3" t="s">
        <v>4516</v>
      </c>
    </row>
    <row r="2670" spans="1:2">
      <c r="A2670" s="3" t="s">
        <v>4517</v>
      </c>
      <c r="B2670" s="3" t="s">
        <v>4518</v>
      </c>
    </row>
    <row r="2671" spans="1:2">
      <c r="A2671" s="3" t="s">
        <v>4517</v>
      </c>
      <c r="B2671" s="3" t="s">
        <v>4519</v>
      </c>
    </row>
    <row r="2672" spans="1:2">
      <c r="A2672" s="3" t="s">
        <v>4517</v>
      </c>
      <c r="B2672" s="3" t="s">
        <v>4520</v>
      </c>
    </row>
    <row r="2673" spans="1:2">
      <c r="A2673" s="3" t="s">
        <v>4517</v>
      </c>
      <c r="B2673" s="3" t="s">
        <v>4521</v>
      </c>
    </row>
    <row r="2674" spans="1:2">
      <c r="A2674" s="3" t="s">
        <v>4517</v>
      </c>
      <c r="B2674" s="3" t="s">
        <v>4522</v>
      </c>
    </row>
    <row r="2675" spans="1:2">
      <c r="A2675" s="3" t="s">
        <v>4517</v>
      </c>
      <c r="B2675" s="3" t="s">
        <v>4523</v>
      </c>
    </row>
    <row r="2676" spans="1:2">
      <c r="A2676" s="3" t="s">
        <v>4517</v>
      </c>
      <c r="B2676" s="3" t="s">
        <v>4524</v>
      </c>
    </row>
    <row r="2677" spans="1:2">
      <c r="A2677" s="3" t="s">
        <v>4517</v>
      </c>
      <c r="B2677" s="3" t="s">
        <v>4525</v>
      </c>
    </row>
    <row r="2678" spans="1:2">
      <c r="A2678" s="3" t="s">
        <v>4517</v>
      </c>
      <c r="B2678" s="3" t="s">
        <v>4526</v>
      </c>
    </row>
    <row r="2679" spans="1:2">
      <c r="A2679" s="3" t="s">
        <v>4517</v>
      </c>
      <c r="B2679" s="3" t="s">
        <v>4527</v>
      </c>
    </row>
    <row r="2680" spans="1:2">
      <c r="A2680" s="3" t="s">
        <v>4517</v>
      </c>
      <c r="B2680" s="3" t="s">
        <v>4528</v>
      </c>
    </row>
    <row r="2681" spans="1:2">
      <c r="A2681" s="3" t="s">
        <v>4517</v>
      </c>
      <c r="B2681" s="3" t="s">
        <v>4529</v>
      </c>
    </row>
    <row r="2682" spans="1:2">
      <c r="A2682" s="3" t="s">
        <v>4517</v>
      </c>
      <c r="B2682" s="3" t="s">
        <v>4530</v>
      </c>
    </row>
    <row r="2683" spans="1:2">
      <c r="A2683" s="3" t="s">
        <v>4517</v>
      </c>
      <c r="B2683" s="3" t="s">
        <v>4531</v>
      </c>
    </row>
    <row r="2684" spans="1:2">
      <c r="A2684" s="3" t="s">
        <v>4517</v>
      </c>
      <c r="B2684" s="3" t="s">
        <v>4532</v>
      </c>
    </row>
    <row r="2685" spans="1:2">
      <c r="A2685" s="3" t="s">
        <v>4517</v>
      </c>
      <c r="B2685" s="3" t="s">
        <v>4533</v>
      </c>
    </row>
    <row r="2686" spans="1:2">
      <c r="A2686" s="3" t="s">
        <v>4534</v>
      </c>
      <c r="B2686" s="3" t="s">
        <v>4535</v>
      </c>
    </row>
    <row r="2687" spans="1:2">
      <c r="A2687" s="3" t="s">
        <v>4534</v>
      </c>
      <c r="B2687" s="3" t="s">
        <v>4536</v>
      </c>
    </row>
    <row r="2688" spans="1:2">
      <c r="A2688" s="3" t="s">
        <v>4534</v>
      </c>
      <c r="B2688" s="3" t="s">
        <v>4537</v>
      </c>
    </row>
    <row r="2689" spans="1:2">
      <c r="A2689" s="3" t="s">
        <v>4538</v>
      </c>
      <c r="B2689" s="3" t="s">
        <v>4539</v>
      </c>
    </row>
    <row r="2690" spans="1:2">
      <c r="A2690" s="3" t="s">
        <v>4538</v>
      </c>
      <c r="B2690" s="3" t="s">
        <v>4540</v>
      </c>
    </row>
    <row r="2691" spans="1:2">
      <c r="A2691" s="3" t="s">
        <v>4538</v>
      </c>
      <c r="B2691" s="3" t="s">
        <v>4541</v>
      </c>
    </row>
    <row r="2692" spans="1:2">
      <c r="A2692" s="3" t="s">
        <v>4538</v>
      </c>
      <c r="B2692" s="3" t="s">
        <v>4542</v>
      </c>
    </row>
    <row r="2693" spans="1:2">
      <c r="A2693" s="3" t="s">
        <v>4538</v>
      </c>
      <c r="B2693" s="3" t="s">
        <v>4543</v>
      </c>
    </row>
    <row r="2694" spans="1:2">
      <c r="A2694" s="3" t="s">
        <v>4544</v>
      </c>
      <c r="B2694" s="3" t="s">
        <v>4545</v>
      </c>
    </row>
    <row r="2695" spans="1:2">
      <c r="A2695" s="3" t="s">
        <v>4544</v>
      </c>
      <c r="B2695" s="3" t="s">
        <v>4546</v>
      </c>
    </row>
    <row r="2696" spans="1:2">
      <c r="A2696" s="3" t="s">
        <v>4544</v>
      </c>
      <c r="B2696" s="3" t="s">
        <v>4547</v>
      </c>
    </row>
    <row r="2697" spans="1:2">
      <c r="A2697" s="3" t="s">
        <v>4544</v>
      </c>
      <c r="B2697" s="3" t="s">
        <v>4548</v>
      </c>
    </row>
    <row r="2698" spans="1:2">
      <c r="A2698" s="3" t="s">
        <v>4544</v>
      </c>
      <c r="B2698" s="3" t="s">
        <v>4549</v>
      </c>
    </row>
    <row r="2699" spans="1:2">
      <c r="A2699" s="3" t="s">
        <v>4544</v>
      </c>
      <c r="B2699" s="3" t="s">
        <v>4550</v>
      </c>
    </row>
    <row r="2700" spans="1:2">
      <c r="A2700" s="3" t="s">
        <v>4544</v>
      </c>
      <c r="B2700" s="3" t="s">
        <v>4551</v>
      </c>
    </row>
    <row r="2701" spans="1:2">
      <c r="A2701" s="3" t="s">
        <v>4544</v>
      </c>
      <c r="B2701" s="3" t="s">
        <v>4552</v>
      </c>
    </row>
    <row r="2702" spans="1:2">
      <c r="A2702" s="3" t="s">
        <v>4544</v>
      </c>
      <c r="B2702" s="3" t="s">
        <v>4553</v>
      </c>
    </row>
    <row r="2703" spans="1:2">
      <c r="A2703" s="3" t="s">
        <v>4554</v>
      </c>
      <c r="B2703" s="3" t="s">
        <v>4555</v>
      </c>
    </row>
    <row r="2704" spans="1:2">
      <c r="A2704" s="3" t="s">
        <v>4554</v>
      </c>
      <c r="B2704" s="3" t="s">
        <v>4556</v>
      </c>
    </row>
    <row r="2705" spans="1:2">
      <c r="A2705" s="3" t="s">
        <v>4554</v>
      </c>
      <c r="B2705" s="3" t="s">
        <v>4557</v>
      </c>
    </row>
    <row r="2706" spans="1:2">
      <c r="A2706" s="3" t="s">
        <v>4554</v>
      </c>
      <c r="B2706" s="3" t="s">
        <v>4558</v>
      </c>
    </row>
    <row r="2707" spans="1:2">
      <c r="A2707" s="3" t="s">
        <v>4554</v>
      </c>
      <c r="B2707" s="3" t="s">
        <v>4559</v>
      </c>
    </row>
    <row r="2708" spans="1:2">
      <c r="A2708" s="3" t="s">
        <v>4560</v>
      </c>
      <c r="B2708" s="3" t="s">
        <v>4561</v>
      </c>
    </row>
    <row r="2709" spans="1:2">
      <c r="A2709" s="3" t="s">
        <v>4560</v>
      </c>
      <c r="B2709" s="3" t="s">
        <v>4562</v>
      </c>
    </row>
    <row r="2710" spans="1:2">
      <c r="A2710" s="3" t="s">
        <v>4560</v>
      </c>
      <c r="B2710" s="3" t="s">
        <v>4563</v>
      </c>
    </row>
    <row r="2711" spans="1:2">
      <c r="A2711" s="3" t="s">
        <v>4560</v>
      </c>
      <c r="B2711" s="3" t="s">
        <v>4564</v>
      </c>
    </row>
    <row r="2712" spans="1:2">
      <c r="A2712" s="3" t="s">
        <v>4565</v>
      </c>
      <c r="B2712" s="3" t="s">
        <v>4566</v>
      </c>
    </row>
    <row r="2713" spans="1:2">
      <c r="A2713" s="3" t="s">
        <v>4565</v>
      </c>
      <c r="B2713" s="3" t="s">
        <v>4567</v>
      </c>
    </row>
    <row r="2714" spans="1:2">
      <c r="A2714" s="3" t="s">
        <v>4568</v>
      </c>
      <c r="B2714" s="3" t="s">
        <v>4569</v>
      </c>
    </row>
    <row r="2715" spans="1:2">
      <c r="A2715" s="3" t="s">
        <v>4568</v>
      </c>
      <c r="B2715" s="3" t="s">
        <v>4570</v>
      </c>
    </row>
    <row r="2716" spans="1:2">
      <c r="A2716" s="3" t="s">
        <v>4568</v>
      </c>
      <c r="B2716" s="3" t="s">
        <v>4571</v>
      </c>
    </row>
    <row r="2717" spans="1:2">
      <c r="A2717" s="3" t="s">
        <v>4568</v>
      </c>
      <c r="B2717" s="3" t="s">
        <v>4572</v>
      </c>
    </row>
    <row r="2718" spans="1:2">
      <c r="A2718" s="3" t="s">
        <v>4568</v>
      </c>
      <c r="B2718" s="3" t="s">
        <v>4573</v>
      </c>
    </row>
    <row r="2719" spans="1:2">
      <c r="A2719" s="3" t="s">
        <v>4568</v>
      </c>
      <c r="B2719" s="3" t="s">
        <v>4574</v>
      </c>
    </row>
    <row r="2720" spans="1:2">
      <c r="A2720" s="3" t="s">
        <v>4568</v>
      </c>
      <c r="B2720" s="3" t="s">
        <v>4575</v>
      </c>
    </row>
    <row r="2721" spans="1:2">
      <c r="A2721" s="3" t="s">
        <v>4568</v>
      </c>
      <c r="B2721" s="3" t="s">
        <v>4576</v>
      </c>
    </row>
    <row r="2722" spans="1:2">
      <c r="A2722" s="3" t="s">
        <v>4568</v>
      </c>
      <c r="B2722" s="3" t="s">
        <v>4577</v>
      </c>
    </row>
    <row r="2723" spans="1:2">
      <c r="A2723" s="3" t="s">
        <v>4568</v>
      </c>
      <c r="B2723" s="3" t="s">
        <v>4578</v>
      </c>
    </row>
    <row r="2724" spans="1:2">
      <c r="A2724" s="3" t="s">
        <v>4579</v>
      </c>
      <c r="B2724" s="3" t="s">
        <v>4580</v>
      </c>
    </row>
    <row r="2725" spans="1:2">
      <c r="A2725" s="3" t="s">
        <v>4579</v>
      </c>
      <c r="B2725" s="3" t="s">
        <v>4581</v>
      </c>
    </row>
    <row r="2726" spans="1:2">
      <c r="A2726" s="3" t="s">
        <v>4579</v>
      </c>
      <c r="B2726" s="3" t="s">
        <v>4582</v>
      </c>
    </row>
    <row r="2727" spans="1:2">
      <c r="A2727" s="3" t="s">
        <v>4583</v>
      </c>
      <c r="B2727" s="3" t="s">
        <v>4584</v>
      </c>
    </row>
    <row r="2728" spans="1:2">
      <c r="A2728" s="3" t="s">
        <v>4583</v>
      </c>
      <c r="B2728" s="3" t="s">
        <v>4585</v>
      </c>
    </row>
    <row r="2729" spans="1:2">
      <c r="A2729" s="3" t="s">
        <v>4583</v>
      </c>
      <c r="B2729" s="3" t="s">
        <v>4586</v>
      </c>
    </row>
    <row r="2730" spans="1:2">
      <c r="A2730" s="3" t="s">
        <v>4583</v>
      </c>
      <c r="B2730" s="3" t="s">
        <v>4587</v>
      </c>
    </row>
    <row r="2731" spans="1:2">
      <c r="A2731" s="3" t="s">
        <v>4588</v>
      </c>
      <c r="B2731" s="3" t="s">
        <v>4589</v>
      </c>
    </row>
    <row r="2732" spans="1:2">
      <c r="A2732" s="3" t="s">
        <v>4588</v>
      </c>
      <c r="B2732" s="3" t="s">
        <v>4590</v>
      </c>
    </row>
    <row r="2733" spans="1:2">
      <c r="A2733" s="3" t="s">
        <v>4588</v>
      </c>
      <c r="B2733" s="3" t="s">
        <v>4591</v>
      </c>
    </row>
    <row r="2734" spans="1:2">
      <c r="A2734" s="3" t="s">
        <v>4592</v>
      </c>
      <c r="B2734" s="3" t="s">
        <v>4593</v>
      </c>
    </row>
    <row r="2735" spans="1:2">
      <c r="A2735" s="3" t="s">
        <v>4592</v>
      </c>
      <c r="B2735" s="3" t="s">
        <v>4594</v>
      </c>
    </row>
    <row r="2736" spans="1:2">
      <c r="A2736" s="3" t="s">
        <v>4592</v>
      </c>
      <c r="B2736" s="3" t="s">
        <v>4595</v>
      </c>
    </row>
    <row r="2737" spans="1:2">
      <c r="A2737" s="3" t="s">
        <v>4596</v>
      </c>
      <c r="B2737" s="3" t="s">
        <v>4597</v>
      </c>
    </row>
    <row r="2738" spans="1:2">
      <c r="A2738" s="3" t="s">
        <v>4596</v>
      </c>
      <c r="B2738" s="3" t="s">
        <v>4598</v>
      </c>
    </row>
    <row r="2739" spans="1:2">
      <c r="A2739" s="3" t="s">
        <v>4596</v>
      </c>
      <c r="B2739" s="3" t="s">
        <v>4599</v>
      </c>
    </row>
    <row r="2740" spans="1:2">
      <c r="A2740" s="3" t="s">
        <v>4596</v>
      </c>
      <c r="B2740" s="3" t="s">
        <v>4600</v>
      </c>
    </row>
    <row r="2741" spans="1:2">
      <c r="A2741" s="3" t="s">
        <v>4596</v>
      </c>
      <c r="B2741" s="3" t="s">
        <v>4601</v>
      </c>
    </row>
    <row r="2742" spans="1:2">
      <c r="A2742" s="3" t="s">
        <v>4596</v>
      </c>
      <c r="B2742" s="3" t="s">
        <v>4602</v>
      </c>
    </row>
    <row r="2743" spans="1:2">
      <c r="A2743" s="3" t="s">
        <v>4596</v>
      </c>
      <c r="B2743" s="3" t="s">
        <v>4603</v>
      </c>
    </row>
    <row r="2744" spans="1:2">
      <c r="A2744" s="3" t="s">
        <v>4596</v>
      </c>
      <c r="B2744" s="3" t="s">
        <v>4604</v>
      </c>
    </row>
    <row r="2745" spans="1:2">
      <c r="A2745" s="3" t="s">
        <v>4605</v>
      </c>
      <c r="B2745" s="3" t="s">
        <v>4606</v>
      </c>
    </row>
    <row r="2746" spans="1:2">
      <c r="A2746" s="3" t="s">
        <v>4605</v>
      </c>
      <c r="B2746" s="3" t="s">
        <v>4607</v>
      </c>
    </row>
    <row r="2747" spans="1:2">
      <c r="A2747" s="3" t="s">
        <v>4605</v>
      </c>
      <c r="B2747" s="3" t="s">
        <v>4608</v>
      </c>
    </row>
    <row r="2748" spans="1:2">
      <c r="A2748" s="3" t="s">
        <v>4605</v>
      </c>
      <c r="B2748" s="3" t="s">
        <v>4609</v>
      </c>
    </row>
    <row r="2749" spans="1:2">
      <c r="A2749" s="3" t="s">
        <v>4610</v>
      </c>
      <c r="B2749" s="3" t="s">
        <v>4611</v>
      </c>
    </row>
    <row r="2750" spans="1:2">
      <c r="A2750" s="3" t="s">
        <v>4610</v>
      </c>
      <c r="B2750" s="3" t="s">
        <v>4612</v>
      </c>
    </row>
    <row r="2751" spans="1:2">
      <c r="A2751" s="3" t="s">
        <v>4610</v>
      </c>
      <c r="B2751" s="3" t="s">
        <v>4613</v>
      </c>
    </row>
    <row r="2752" spans="1:2">
      <c r="A2752" s="3" t="s">
        <v>4610</v>
      </c>
      <c r="B2752" s="3" t="s">
        <v>4614</v>
      </c>
    </row>
    <row r="2753" spans="1:2">
      <c r="A2753" s="3" t="s">
        <v>4615</v>
      </c>
      <c r="B2753" s="3" t="s">
        <v>4616</v>
      </c>
    </row>
    <row r="2754" spans="1:2">
      <c r="A2754" s="3" t="s">
        <v>4615</v>
      </c>
      <c r="B2754" s="3" t="s">
        <v>4617</v>
      </c>
    </row>
    <row r="2755" spans="1:2">
      <c r="A2755" s="3" t="s">
        <v>4615</v>
      </c>
      <c r="B2755" s="3" t="s">
        <v>4618</v>
      </c>
    </row>
    <row r="2756" spans="1:2">
      <c r="A2756" s="3" t="s">
        <v>4615</v>
      </c>
      <c r="B2756" s="3" t="s">
        <v>4619</v>
      </c>
    </row>
    <row r="2757" spans="1:2">
      <c r="A2757" s="3" t="s">
        <v>4615</v>
      </c>
      <c r="B2757" s="3" t="s">
        <v>4620</v>
      </c>
    </row>
    <row r="2758" spans="1:2">
      <c r="A2758" s="3" t="s">
        <v>4615</v>
      </c>
      <c r="B2758" s="3" t="s">
        <v>4621</v>
      </c>
    </row>
    <row r="2759" spans="1:2">
      <c r="A2759" s="3" t="s">
        <v>4615</v>
      </c>
      <c r="B2759" s="3" t="s">
        <v>4622</v>
      </c>
    </row>
    <row r="2760" spans="1:2">
      <c r="A2760" s="3" t="s">
        <v>4615</v>
      </c>
      <c r="B2760" s="3" t="s">
        <v>4623</v>
      </c>
    </row>
    <row r="2761" spans="1:2">
      <c r="A2761" s="3" t="s">
        <v>4615</v>
      </c>
      <c r="B2761" s="3" t="s">
        <v>4624</v>
      </c>
    </row>
    <row r="2762" spans="1:2">
      <c r="A2762" s="3" t="s">
        <v>4615</v>
      </c>
      <c r="B2762" s="3" t="s">
        <v>4625</v>
      </c>
    </row>
    <row r="2763" spans="1:2">
      <c r="A2763" s="3" t="s">
        <v>4626</v>
      </c>
      <c r="B2763" s="3" t="s">
        <v>4627</v>
      </c>
    </row>
    <row r="2764" spans="1:2">
      <c r="A2764" s="3" t="s">
        <v>4626</v>
      </c>
      <c r="B2764" s="3" t="s">
        <v>4628</v>
      </c>
    </row>
    <row r="2765" spans="1:2">
      <c r="A2765" s="3" t="s">
        <v>4626</v>
      </c>
      <c r="B2765" s="3" t="s">
        <v>4629</v>
      </c>
    </row>
    <row r="2766" spans="1:2">
      <c r="A2766" s="3" t="s">
        <v>4626</v>
      </c>
      <c r="B2766" s="3" t="s">
        <v>4630</v>
      </c>
    </row>
    <row r="2767" spans="1:2">
      <c r="A2767" s="3" t="s">
        <v>4631</v>
      </c>
      <c r="B2767" s="3" t="s">
        <v>4632</v>
      </c>
    </row>
    <row r="2768" spans="1:2">
      <c r="A2768" s="3" t="s">
        <v>4631</v>
      </c>
      <c r="B2768" s="3" t="s">
        <v>4633</v>
      </c>
    </row>
    <row r="2769" spans="1:2">
      <c r="A2769" s="3" t="s">
        <v>4634</v>
      </c>
      <c r="B2769" s="3" t="s">
        <v>4635</v>
      </c>
    </row>
    <row r="2770" spans="1:2">
      <c r="A2770" s="3" t="s">
        <v>4634</v>
      </c>
      <c r="B2770" s="3" t="s">
        <v>4636</v>
      </c>
    </row>
    <row r="2771" spans="1:2">
      <c r="A2771" s="3" t="s">
        <v>4634</v>
      </c>
      <c r="B2771" s="3" t="s">
        <v>4637</v>
      </c>
    </row>
    <row r="2772" spans="1:2">
      <c r="A2772" s="3" t="s">
        <v>4634</v>
      </c>
      <c r="B2772" s="3" t="s">
        <v>4638</v>
      </c>
    </row>
    <row r="2773" spans="1:2">
      <c r="A2773" s="3" t="s">
        <v>4634</v>
      </c>
      <c r="B2773" s="3" t="s">
        <v>4639</v>
      </c>
    </row>
    <row r="2774" spans="1:2">
      <c r="A2774" s="3" t="s">
        <v>4634</v>
      </c>
      <c r="B2774" s="3" t="s">
        <v>4640</v>
      </c>
    </row>
    <row r="2775" spans="1:2">
      <c r="A2775" s="3" t="s">
        <v>4634</v>
      </c>
      <c r="B2775" s="3" t="s">
        <v>4641</v>
      </c>
    </row>
    <row r="2776" spans="1:2">
      <c r="A2776" s="3" t="s">
        <v>4634</v>
      </c>
      <c r="B2776" s="3" t="s">
        <v>4642</v>
      </c>
    </row>
    <row r="2777" spans="1:2">
      <c r="A2777" s="3" t="s">
        <v>4643</v>
      </c>
      <c r="B2777" s="3" t="s">
        <v>4644</v>
      </c>
    </row>
    <row r="2778" spans="1:2">
      <c r="A2778" s="3" t="s">
        <v>4643</v>
      </c>
      <c r="B2778" s="3" t="s">
        <v>4645</v>
      </c>
    </row>
    <row r="2779" spans="1:2">
      <c r="A2779" s="3" t="s">
        <v>4643</v>
      </c>
      <c r="B2779" s="3" t="s">
        <v>4646</v>
      </c>
    </row>
    <row r="2780" spans="1:2">
      <c r="A2780" s="3" t="s">
        <v>4643</v>
      </c>
      <c r="B2780" s="3" t="s">
        <v>4647</v>
      </c>
    </row>
    <row r="2781" spans="1:2">
      <c r="A2781" s="3" t="s">
        <v>4648</v>
      </c>
      <c r="B2781" s="3" t="s">
        <v>4649</v>
      </c>
    </row>
    <row r="2782" spans="1:2">
      <c r="A2782" s="3" t="s">
        <v>4648</v>
      </c>
      <c r="B2782" s="3" t="s">
        <v>4650</v>
      </c>
    </row>
    <row r="2783" spans="1:2">
      <c r="A2783" s="3" t="s">
        <v>4648</v>
      </c>
      <c r="B2783" s="3" t="s">
        <v>4651</v>
      </c>
    </row>
    <row r="2784" spans="1:2">
      <c r="A2784" s="3" t="s">
        <v>4648</v>
      </c>
      <c r="B2784" s="3" t="s">
        <v>4652</v>
      </c>
    </row>
    <row r="2785" spans="1:2">
      <c r="A2785" s="3" t="s">
        <v>4648</v>
      </c>
      <c r="B2785" s="3" t="s">
        <v>4653</v>
      </c>
    </row>
    <row r="2786" spans="1:2">
      <c r="A2786" s="3" t="s">
        <v>4648</v>
      </c>
      <c r="B2786" s="3" t="s">
        <v>4654</v>
      </c>
    </row>
    <row r="2787" spans="1:2">
      <c r="A2787" s="3" t="s">
        <v>4648</v>
      </c>
      <c r="B2787" s="3" t="s">
        <v>4655</v>
      </c>
    </row>
    <row r="2788" spans="1:2">
      <c r="A2788" s="3" t="s">
        <v>4648</v>
      </c>
      <c r="B2788" s="3" t="s">
        <v>4656</v>
      </c>
    </row>
    <row r="2789" spans="1:2">
      <c r="A2789" s="3" t="s">
        <v>4648</v>
      </c>
      <c r="B2789" s="3" t="s">
        <v>4657</v>
      </c>
    </row>
    <row r="2790" spans="1:2">
      <c r="A2790" s="3" t="s">
        <v>4648</v>
      </c>
      <c r="B2790" s="3" t="s">
        <v>4658</v>
      </c>
    </row>
    <row r="2791" spans="1:2">
      <c r="A2791" s="3" t="s">
        <v>4648</v>
      </c>
      <c r="B2791" s="3" t="s">
        <v>4659</v>
      </c>
    </row>
    <row r="2792" spans="1:2">
      <c r="A2792" s="3" t="s">
        <v>4660</v>
      </c>
      <c r="B2792" s="3" t="s">
        <v>4661</v>
      </c>
    </row>
    <row r="2793" spans="1:2">
      <c r="A2793" s="3" t="s">
        <v>4660</v>
      </c>
      <c r="B2793" s="3" t="s">
        <v>4662</v>
      </c>
    </row>
    <row r="2794" spans="1:2">
      <c r="A2794" s="3" t="s">
        <v>4660</v>
      </c>
      <c r="B2794" s="3" t="s">
        <v>4663</v>
      </c>
    </row>
    <row r="2795" spans="1:2">
      <c r="A2795" s="3" t="s">
        <v>4660</v>
      </c>
      <c r="B2795" s="3" t="s">
        <v>4664</v>
      </c>
    </row>
    <row r="2796" spans="1:2">
      <c r="A2796" s="3" t="s">
        <v>4660</v>
      </c>
      <c r="B2796" s="3" t="s">
        <v>4665</v>
      </c>
    </row>
    <row r="2797" spans="1:2">
      <c r="A2797" s="3" t="s">
        <v>4660</v>
      </c>
      <c r="B2797" s="3" t="s">
        <v>4666</v>
      </c>
    </row>
    <row r="2798" spans="1:2">
      <c r="A2798" s="3" t="s">
        <v>4660</v>
      </c>
      <c r="B2798" s="3" t="s">
        <v>4667</v>
      </c>
    </row>
    <row r="2799" spans="1:2">
      <c r="A2799" s="3" t="s">
        <v>4660</v>
      </c>
      <c r="B2799" s="3" t="s">
        <v>4668</v>
      </c>
    </row>
    <row r="2800" spans="1:2">
      <c r="A2800" s="3" t="s">
        <v>4669</v>
      </c>
      <c r="B2800" s="3" t="s">
        <v>4670</v>
      </c>
    </row>
    <row r="2801" spans="1:2">
      <c r="A2801" s="3" t="s">
        <v>4669</v>
      </c>
      <c r="B2801" s="3" t="s">
        <v>4671</v>
      </c>
    </row>
    <row r="2802" spans="1:2">
      <c r="A2802" s="3" t="s">
        <v>4669</v>
      </c>
      <c r="B2802" s="3" t="s">
        <v>4672</v>
      </c>
    </row>
    <row r="2803" spans="1:2">
      <c r="A2803" s="3" t="s">
        <v>4669</v>
      </c>
      <c r="B2803" s="3" t="s">
        <v>4673</v>
      </c>
    </row>
    <row r="2804" spans="1:2">
      <c r="A2804" s="3" t="s">
        <v>4674</v>
      </c>
      <c r="B2804" s="3" t="s">
        <v>4675</v>
      </c>
    </row>
    <row r="2805" spans="1:2">
      <c r="A2805" s="3" t="s">
        <v>4674</v>
      </c>
      <c r="B2805" s="3" t="s">
        <v>4676</v>
      </c>
    </row>
    <row r="2806" spans="1:2">
      <c r="A2806" s="3" t="s">
        <v>4674</v>
      </c>
      <c r="B2806" s="3" t="s">
        <v>4677</v>
      </c>
    </row>
    <row r="2807" spans="1:2">
      <c r="A2807" s="3" t="s">
        <v>4674</v>
      </c>
      <c r="B2807" s="3" t="s">
        <v>4678</v>
      </c>
    </row>
    <row r="2808" spans="1:2">
      <c r="A2808" s="3" t="s">
        <v>4679</v>
      </c>
      <c r="B2808" s="3" t="s">
        <v>4680</v>
      </c>
    </row>
    <row r="2809" spans="1:2">
      <c r="A2809" s="3" t="s">
        <v>4679</v>
      </c>
      <c r="B2809" s="3" t="s">
        <v>4681</v>
      </c>
    </row>
    <row r="2810" spans="1:2">
      <c r="A2810" s="3" t="s">
        <v>4682</v>
      </c>
      <c r="B2810" s="3" t="s">
        <v>4683</v>
      </c>
    </row>
    <row r="2811" spans="1:2">
      <c r="A2811" s="3" t="s">
        <v>4682</v>
      </c>
      <c r="B2811" s="3" t="s">
        <v>4684</v>
      </c>
    </row>
    <row r="2812" spans="1:2">
      <c r="A2812" s="3" t="s">
        <v>4682</v>
      </c>
      <c r="B2812" s="3" t="s">
        <v>4685</v>
      </c>
    </row>
    <row r="2813" spans="1:2">
      <c r="A2813" s="3" t="s">
        <v>4682</v>
      </c>
      <c r="B2813" s="3" t="s">
        <v>4686</v>
      </c>
    </row>
    <row r="2814" spans="1:2">
      <c r="A2814" s="3" t="s">
        <v>4682</v>
      </c>
      <c r="B2814" s="3" t="s">
        <v>4687</v>
      </c>
    </row>
    <row r="2815" spans="1:2">
      <c r="A2815" s="3" t="s">
        <v>4688</v>
      </c>
      <c r="B2815" s="3" t="s">
        <v>4689</v>
      </c>
    </row>
    <row r="2816" spans="1:2">
      <c r="A2816" s="3" t="s">
        <v>4688</v>
      </c>
      <c r="B2816" s="3" t="s">
        <v>4690</v>
      </c>
    </row>
    <row r="2817" spans="1:2">
      <c r="A2817" s="3" t="s">
        <v>4688</v>
      </c>
      <c r="B2817" s="3" t="s">
        <v>4691</v>
      </c>
    </row>
    <row r="2818" spans="1:2">
      <c r="A2818" s="3" t="s">
        <v>4688</v>
      </c>
      <c r="B2818" s="3" t="s">
        <v>4692</v>
      </c>
    </row>
    <row r="2819" spans="1:2">
      <c r="A2819" s="3" t="s">
        <v>4688</v>
      </c>
      <c r="B2819" s="3" t="s">
        <v>4693</v>
      </c>
    </row>
    <row r="2820" spans="1:2">
      <c r="A2820" s="3" t="s">
        <v>4694</v>
      </c>
      <c r="B2820" s="3" t="s">
        <v>4695</v>
      </c>
    </row>
    <row r="2821" spans="1:2">
      <c r="A2821" s="3" t="s">
        <v>4694</v>
      </c>
      <c r="B2821" s="3" t="s">
        <v>4696</v>
      </c>
    </row>
    <row r="2822" spans="1:2">
      <c r="A2822" s="3" t="s">
        <v>4694</v>
      </c>
      <c r="B2822" s="3" t="s">
        <v>4697</v>
      </c>
    </row>
    <row r="2823" spans="1:2">
      <c r="A2823" s="3" t="s">
        <v>4694</v>
      </c>
      <c r="B2823" s="3" t="s">
        <v>4698</v>
      </c>
    </row>
    <row r="2824" spans="1:2">
      <c r="A2824" s="3" t="s">
        <v>4699</v>
      </c>
      <c r="B2824" s="3" t="s">
        <v>4700</v>
      </c>
    </row>
    <row r="2825" spans="1:2">
      <c r="A2825" s="3" t="s">
        <v>4699</v>
      </c>
      <c r="B2825" s="3" t="s">
        <v>4701</v>
      </c>
    </row>
    <row r="2826" spans="1:2">
      <c r="A2826" s="3" t="s">
        <v>4699</v>
      </c>
      <c r="B2826" s="3" t="s">
        <v>4702</v>
      </c>
    </row>
    <row r="2827" spans="1:2">
      <c r="A2827" s="3" t="s">
        <v>4699</v>
      </c>
      <c r="B2827" s="3" t="s">
        <v>4703</v>
      </c>
    </row>
    <row r="2828" spans="1:2">
      <c r="A2828" s="3" t="s">
        <v>4699</v>
      </c>
      <c r="B2828" s="3" t="s">
        <v>4704</v>
      </c>
    </row>
    <row r="2829" spans="1:2">
      <c r="A2829" s="3" t="s">
        <v>4699</v>
      </c>
      <c r="B2829" s="3" t="s">
        <v>4705</v>
      </c>
    </row>
    <row r="2830" spans="1:2">
      <c r="A2830" s="3" t="s">
        <v>4699</v>
      </c>
      <c r="B2830" s="3" t="s">
        <v>4706</v>
      </c>
    </row>
    <row r="2831" spans="1:2">
      <c r="A2831" s="3" t="s">
        <v>4699</v>
      </c>
      <c r="B2831" s="3" t="s">
        <v>4707</v>
      </c>
    </row>
    <row r="2832" spans="1:2">
      <c r="A2832" s="3" t="s">
        <v>4699</v>
      </c>
      <c r="B2832" s="3" t="s">
        <v>4708</v>
      </c>
    </row>
    <row r="2833" spans="1:2">
      <c r="A2833" s="3" t="s">
        <v>4699</v>
      </c>
      <c r="B2833" s="3" t="s">
        <v>4709</v>
      </c>
    </row>
    <row r="2834" spans="1:2">
      <c r="A2834" s="3" t="s">
        <v>4710</v>
      </c>
      <c r="B2834" s="3" t="s">
        <v>4711</v>
      </c>
    </row>
    <row r="2835" spans="1:2">
      <c r="A2835" s="3" t="s">
        <v>4710</v>
      </c>
      <c r="B2835" s="3" t="s">
        <v>4712</v>
      </c>
    </row>
    <row r="2836" spans="1:2">
      <c r="A2836" s="3" t="s">
        <v>4710</v>
      </c>
      <c r="B2836" s="3" t="s">
        <v>4713</v>
      </c>
    </row>
    <row r="2837" spans="1:2">
      <c r="A2837" s="3" t="s">
        <v>4710</v>
      </c>
      <c r="B2837" s="3" t="s">
        <v>4714</v>
      </c>
    </row>
    <row r="2838" spans="1:2">
      <c r="A2838" s="3" t="s">
        <v>4715</v>
      </c>
      <c r="B2838" s="3" t="s">
        <v>4716</v>
      </c>
    </row>
    <row r="2839" spans="1:2">
      <c r="A2839" s="3" t="s">
        <v>4715</v>
      </c>
      <c r="B2839" s="3" t="s">
        <v>4717</v>
      </c>
    </row>
    <row r="2840" spans="1:2">
      <c r="A2840" s="3" t="s">
        <v>4718</v>
      </c>
      <c r="B2840" s="3" t="s">
        <v>4719</v>
      </c>
    </row>
    <row r="2841" spans="1:2">
      <c r="A2841" s="3" t="s">
        <v>4718</v>
      </c>
      <c r="B2841" s="3" t="s">
        <v>4720</v>
      </c>
    </row>
    <row r="2842" spans="1:2">
      <c r="A2842" s="3" t="s">
        <v>4718</v>
      </c>
      <c r="B2842" s="3" t="s">
        <v>4721</v>
      </c>
    </row>
    <row r="2843" spans="1:2">
      <c r="A2843" s="3" t="s">
        <v>4718</v>
      </c>
      <c r="B2843" s="3" t="s">
        <v>4722</v>
      </c>
    </row>
    <row r="2844" spans="1:2">
      <c r="A2844" s="3" t="s">
        <v>4723</v>
      </c>
      <c r="B2844" s="3" t="s">
        <v>4724</v>
      </c>
    </row>
    <row r="2845" spans="1:2">
      <c r="A2845" s="3" t="s">
        <v>4723</v>
      </c>
      <c r="B2845" s="3" t="s">
        <v>4725</v>
      </c>
    </row>
    <row r="2846" spans="1:2">
      <c r="A2846" s="3" t="s">
        <v>4726</v>
      </c>
      <c r="B2846" s="3" t="s">
        <v>4727</v>
      </c>
    </row>
    <row r="2847" spans="1:2">
      <c r="A2847" s="3" t="s">
        <v>4726</v>
      </c>
      <c r="B2847" s="3" t="s">
        <v>4728</v>
      </c>
    </row>
    <row r="2848" spans="1:2">
      <c r="A2848" s="3" t="s">
        <v>4726</v>
      </c>
      <c r="B2848" s="3" t="s">
        <v>4729</v>
      </c>
    </row>
    <row r="2849" spans="1:2">
      <c r="A2849" s="3" t="s">
        <v>4726</v>
      </c>
      <c r="B2849" s="3" t="s">
        <v>4730</v>
      </c>
    </row>
    <row r="2850" spans="1:2">
      <c r="A2850" s="3" t="s">
        <v>4731</v>
      </c>
      <c r="B2850" s="3" t="s">
        <v>4732</v>
      </c>
    </row>
    <row r="2851" spans="1:2">
      <c r="A2851" s="3" t="s">
        <v>4731</v>
      </c>
      <c r="B2851" s="3" t="s">
        <v>4733</v>
      </c>
    </row>
    <row r="2852" spans="1:2">
      <c r="A2852" s="3" t="s">
        <v>4731</v>
      </c>
      <c r="B2852" s="3" t="s">
        <v>4734</v>
      </c>
    </row>
    <row r="2853" spans="1:2">
      <c r="A2853" s="3" t="s">
        <v>4731</v>
      </c>
      <c r="B2853" s="3" t="s">
        <v>4735</v>
      </c>
    </row>
    <row r="2854" spans="1:2">
      <c r="A2854" s="3" t="s">
        <v>4736</v>
      </c>
      <c r="B2854" s="3" t="s">
        <v>4737</v>
      </c>
    </row>
    <row r="2855" spans="1:2">
      <c r="A2855" s="3" t="s">
        <v>4736</v>
      </c>
      <c r="B2855" s="3" t="s">
        <v>4738</v>
      </c>
    </row>
    <row r="2856" spans="1:2">
      <c r="A2856" s="3" t="s">
        <v>4736</v>
      </c>
      <c r="B2856" s="3" t="s">
        <v>4739</v>
      </c>
    </row>
    <row r="2857" spans="1:2">
      <c r="A2857" s="3" t="s">
        <v>4736</v>
      </c>
      <c r="B2857" s="3" t="s">
        <v>4740</v>
      </c>
    </row>
    <row r="2858" spans="1:2">
      <c r="A2858" s="3" t="s">
        <v>4741</v>
      </c>
      <c r="B2858" s="3" t="s">
        <v>4742</v>
      </c>
    </row>
    <row r="2859" spans="1:2">
      <c r="A2859" s="3" t="s">
        <v>4741</v>
      </c>
      <c r="B2859" s="3" t="s">
        <v>4743</v>
      </c>
    </row>
    <row r="2860" spans="1:2">
      <c r="A2860" s="3" t="s">
        <v>4744</v>
      </c>
      <c r="B2860" s="3" t="s">
        <v>4745</v>
      </c>
    </row>
    <row r="2861" spans="1:2">
      <c r="A2861" s="3" t="s">
        <v>4744</v>
      </c>
      <c r="B2861" s="3" t="s">
        <v>4746</v>
      </c>
    </row>
    <row r="2862" spans="1:2">
      <c r="A2862" s="3" t="s">
        <v>4744</v>
      </c>
      <c r="B2862" s="3" t="s">
        <v>4747</v>
      </c>
    </row>
    <row r="2863" spans="1:2">
      <c r="A2863" s="3" t="s">
        <v>4744</v>
      </c>
      <c r="B2863" s="3" t="s">
        <v>4748</v>
      </c>
    </row>
    <row r="2864" spans="1:2">
      <c r="A2864" s="3" t="s">
        <v>4749</v>
      </c>
      <c r="B2864" s="3" t="s">
        <v>4750</v>
      </c>
    </row>
    <row r="2865" spans="1:2">
      <c r="A2865" s="3" t="s">
        <v>4749</v>
      </c>
      <c r="B2865" s="3" t="s">
        <v>4751</v>
      </c>
    </row>
    <row r="2866" spans="1:2">
      <c r="A2866" s="3" t="s">
        <v>4749</v>
      </c>
      <c r="B2866" s="3" t="s">
        <v>4752</v>
      </c>
    </row>
    <row r="2867" spans="1:2">
      <c r="A2867" s="3" t="s">
        <v>4749</v>
      </c>
      <c r="B2867" s="3" t="s">
        <v>4753</v>
      </c>
    </row>
    <row r="2868" spans="1:2">
      <c r="A2868" s="3" t="s">
        <v>4749</v>
      </c>
      <c r="B2868" s="3" t="s">
        <v>4754</v>
      </c>
    </row>
    <row r="2869" spans="1:2">
      <c r="A2869" s="3" t="s">
        <v>4749</v>
      </c>
      <c r="B2869" s="3" t="s">
        <v>4755</v>
      </c>
    </row>
    <row r="2870" spans="1:2">
      <c r="A2870" s="3" t="s">
        <v>4749</v>
      </c>
      <c r="B2870" s="3" t="s">
        <v>4756</v>
      </c>
    </row>
    <row r="2871" spans="1:2">
      <c r="A2871" s="3" t="s">
        <v>4749</v>
      </c>
      <c r="B2871" s="3" t="s">
        <v>4757</v>
      </c>
    </row>
    <row r="2872" spans="1:2">
      <c r="A2872" s="3" t="s">
        <v>4749</v>
      </c>
      <c r="B2872" s="3" t="s">
        <v>4758</v>
      </c>
    </row>
    <row r="2873" spans="1:2">
      <c r="A2873" s="3" t="s">
        <v>4749</v>
      </c>
      <c r="B2873" s="3" t="s">
        <v>4759</v>
      </c>
    </row>
    <row r="2874" spans="1:2">
      <c r="A2874" s="3" t="s">
        <v>4749</v>
      </c>
      <c r="B2874" s="3" t="s">
        <v>4760</v>
      </c>
    </row>
    <row r="2875" spans="1:2">
      <c r="A2875" s="3" t="s">
        <v>4749</v>
      </c>
      <c r="B2875" s="3" t="s">
        <v>4761</v>
      </c>
    </row>
    <row r="2876" spans="1:2">
      <c r="A2876" s="3" t="s">
        <v>4749</v>
      </c>
      <c r="B2876" s="3" t="s">
        <v>4762</v>
      </c>
    </row>
    <row r="2877" spans="1:2">
      <c r="A2877" s="3" t="s">
        <v>4749</v>
      </c>
      <c r="B2877" s="3" t="s">
        <v>4763</v>
      </c>
    </row>
    <row r="2878" spans="1:2">
      <c r="A2878" s="3" t="s">
        <v>4749</v>
      </c>
      <c r="B2878" s="3" t="s">
        <v>4764</v>
      </c>
    </row>
    <row r="2879" spans="1:2">
      <c r="A2879" s="3" t="s">
        <v>4749</v>
      </c>
      <c r="B2879" s="3" t="s">
        <v>4765</v>
      </c>
    </row>
    <row r="2880" spans="1:2">
      <c r="A2880" s="3" t="s">
        <v>4766</v>
      </c>
      <c r="B2880" s="3" t="s">
        <v>4767</v>
      </c>
    </row>
    <row r="2881" spans="1:2">
      <c r="A2881" s="3" t="s">
        <v>4766</v>
      </c>
      <c r="B2881" s="3" t="s">
        <v>4768</v>
      </c>
    </row>
    <row r="2882" spans="1:2">
      <c r="A2882" s="3" t="s">
        <v>4766</v>
      </c>
      <c r="B2882" s="3" t="s">
        <v>4769</v>
      </c>
    </row>
    <row r="2883" spans="1:2">
      <c r="A2883" s="3" t="s">
        <v>4766</v>
      </c>
      <c r="B2883" s="3" t="s">
        <v>4770</v>
      </c>
    </row>
    <row r="2884" spans="1:2">
      <c r="A2884" s="3" t="s">
        <v>4771</v>
      </c>
      <c r="B2884" s="3" t="s">
        <v>4772</v>
      </c>
    </row>
    <row r="2885" spans="1:2">
      <c r="A2885" s="3" t="s">
        <v>4771</v>
      </c>
      <c r="B2885" s="3" t="s">
        <v>4773</v>
      </c>
    </row>
    <row r="2886" spans="1:2">
      <c r="A2886" s="3" t="s">
        <v>4771</v>
      </c>
      <c r="B2886" s="3" t="s">
        <v>4774</v>
      </c>
    </row>
    <row r="2887" spans="1:2">
      <c r="A2887" s="3" t="s">
        <v>4771</v>
      </c>
      <c r="B2887" s="3" t="s">
        <v>4775</v>
      </c>
    </row>
    <row r="2888" spans="1:2">
      <c r="A2888" s="3" t="s">
        <v>4771</v>
      </c>
      <c r="B2888" s="3" t="s">
        <v>4776</v>
      </c>
    </row>
    <row r="2889" spans="1:2">
      <c r="A2889" s="3" t="s">
        <v>4771</v>
      </c>
      <c r="B2889" s="3" t="s">
        <v>4777</v>
      </c>
    </row>
    <row r="2890" spans="1:2">
      <c r="A2890" s="3" t="s">
        <v>4771</v>
      </c>
      <c r="B2890" s="3" t="s">
        <v>4778</v>
      </c>
    </row>
    <row r="2891" spans="1:2">
      <c r="A2891" s="3" t="s">
        <v>4771</v>
      </c>
      <c r="B2891" s="3" t="s">
        <v>4779</v>
      </c>
    </row>
    <row r="2892" spans="1:2">
      <c r="A2892" s="3" t="s">
        <v>4771</v>
      </c>
      <c r="B2892" s="3" t="s">
        <v>4780</v>
      </c>
    </row>
    <row r="2893" spans="1:2">
      <c r="A2893" s="3" t="s">
        <v>4771</v>
      </c>
      <c r="B2893" s="3" t="s">
        <v>4781</v>
      </c>
    </row>
    <row r="2894" spans="1:2">
      <c r="A2894" s="3" t="s">
        <v>4771</v>
      </c>
      <c r="B2894" s="3" t="s">
        <v>4782</v>
      </c>
    </row>
    <row r="2895" spans="1:2">
      <c r="A2895" s="3" t="s">
        <v>4771</v>
      </c>
      <c r="B2895" s="3" t="s">
        <v>4783</v>
      </c>
    </row>
    <row r="2896" spans="1:2">
      <c r="A2896" s="3" t="s">
        <v>4771</v>
      </c>
      <c r="B2896" s="3" t="s">
        <v>4784</v>
      </c>
    </row>
    <row r="2897" spans="1:2">
      <c r="A2897" s="3" t="s">
        <v>4771</v>
      </c>
      <c r="B2897" s="3" t="s">
        <v>4785</v>
      </c>
    </row>
    <row r="2898" spans="1:2">
      <c r="A2898" s="3" t="s">
        <v>4771</v>
      </c>
      <c r="B2898" s="3" t="s">
        <v>4786</v>
      </c>
    </row>
    <row r="2899" spans="1:2">
      <c r="A2899" s="3" t="s">
        <v>4771</v>
      </c>
      <c r="B2899" s="3" t="s">
        <v>4787</v>
      </c>
    </row>
    <row r="2900" spans="1:2">
      <c r="A2900" s="3" t="s">
        <v>4771</v>
      </c>
      <c r="B2900" s="3" t="s">
        <v>4788</v>
      </c>
    </row>
    <row r="2901" spans="1:2">
      <c r="A2901" s="3" t="s">
        <v>4771</v>
      </c>
      <c r="B2901" s="3" t="s">
        <v>4789</v>
      </c>
    </row>
    <row r="2902" spans="1:2">
      <c r="A2902" s="3" t="s">
        <v>4771</v>
      </c>
      <c r="B2902" s="3" t="s">
        <v>4790</v>
      </c>
    </row>
    <row r="2903" spans="1:2">
      <c r="A2903" s="3" t="s">
        <v>4771</v>
      </c>
      <c r="B2903" s="3" t="s">
        <v>4791</v>
      </c>
    </row>
    <row r="2904" spans="1:2">
      <c r="A2904" s="3" t="s">
        <v>4771</v>
      </c>
      <c r="B2904" s="3" t="s">
        <v>4792</v>
      </c>
    </row>
    <row r="2905" spans="1:2">
      <c r="A2905" s="3" t="s">
        <v>4771</v>
      </c>
      <c r="B2905" s="3" t="s">
        <v>4793</v>
      </c>
    </row>
    <row r="2906" spans="1:2">
      <c r="A2906" s="3" t="s">
        <v>4771</v>
      </c>
      <c r="B2906" s="3" t="s">
        <v>4794</v>
      </c>
    </row>
    <row r="2907" spans="1:2">
      <c r="A2907" s="3" t="s">
        <v>4771</v>
      </c>
      <c r="B2907" s="3" t="s">
        <v>4795</v>
      </c>
    </row>
    <row r="2908" spans="1:2">
      <c r="A2908" s="3" t="s">
        <v>4771</v>
      </c>
      <c r="B2908" s="3" t="s">
        <v>4796</v>
      </c>
    </row>
    <row r="2909" spans="1:2">
      <c r="A2909" s="3" t="s">
        <v>4771</v>
      </c>
      <c r="B2909" s="3" t="s">
        <v>4797</v>
      </c>
    </row>
    <row r="2910" spans="1:2">
      <c r="A2910" s="3" t="s">
        <v>4771</v>
      </c>
      <c r="B2910" s="3" t="s">
        <v>4798</v>
      </c>
    </row>
    <row r="2911" spans="1:2">
      <c r="A2911" s="3" t="s">
        <v>4771</v>
      </c>
      <c r="B2911" s="3" t="s">
        <v>4799</v>
      </c>
    </row>
    <row r="2912" spans="1:2">
      <c r="A2912" s="3" t="s">
        <v>4771</v>
      </c>
      <c r="B2912" s="3" t="s">
        <v>4800</v>
      </c>
    </row>
    <row r="2913" spans="1:2">
      <c r="A2913" s="3" t="s">
        <v>4771</v>
      </c>
      <c r="B2913" s="3" t="s">
        <v>4801</v>
      </c>
    </row>
    <row r="2914" spans="1:2">
      <c r="A2914" s="3" t="s">
        <v>4771</v>
      </c>
      <c r="B2914" s="3" t="s">
        <v>4802</v>
      </c>
    </row>
    <row r="2915" spans="1:2">
      <c r="A2915" s="3" t="s">
        <v>4771</v>
      </c>
      <c r="B2915" s="3" t="s">
        <v>4803</v>
      </c>
    </row>
    <row r="2916" spans="1:2">
      <c r="A2916" s="3" t="s">
        <v>4771</v>
      </c>
      <c r="B2916" s="3" t="s">
        <v>4804</v>
      </c>
    </row>
    <row r="2917" spans="1:2">
      <c r="A2917" s="3" t="s">
        <v>4771</v>
      </c>
      <c r="B2917" s="3" t="s">
        <v>4805</v>
      </c>
    </row>
    <row r="2918" spans="1:2">
      <c r="A2918" s="3" t="s">
        <v>4771</v>
      </c>
      <c r="B2918" s="3" t="s">
        <v>4806</v>
      </c>
    </row>
    <row r="2919" spans="1:2">
      <c r="A2919" s="3" t="s">
        <v>4771</v>
      </c>
      <c r="B2919" s="3" t="s">
        <v>4807</v>
      </c>
    </row>
    <row r="2920" spans="1:2">
      <c r="A2920" s="3" t="s">
        <v>4771</v>
      </c>
      <c r="B2920" s="3" t="s">
        <v>4808</v>
      </c>
    </row>
    <row r="2921" spans="1:2">
      <c r="A2921" s="3" t="s">
        <v>4771</v>
      </c>
      <c r="B2921" s="3" t="s">
        <v>4809</v>
      </c>
    </row>
    <row r="2922" spans="1:2">
      <c r="A2922" s="3" t="s">
        <v>4771</v>
      </c>
      <c r="B2922" s="3" t="s">
        <v>4810</v>
      </c>
    </row>
    <row r="2923" spans="1:2">
      <c r="A2923" s="3" t="s">
        <v>4771</v>
      </c>
      <c r="B2923" s="3" t="s">
        <v>4811</v>
      </c>
    </row>
    <row r="2924" spans="1:2">
      <c r="A2924" s="3" t="s">
        <v>4771</v>
      </c>
      <c r="B2924" s="3" t="s">
        <v>4812</v>
      </c>
    </row>
    <row r="2925" spans="1:2">
      <c r="A2925" s="3" t="s">
        <v>4771</v>
      </c>
      <c r="B2925" s="3" t="s">
        <v>4813</v>
      </c>
    </row>
    <row r="2926" spans="1:2">
      <c r="A2926" s="3" t="s">
        <v>4771</v>
      </c>
      <c r="B2926" s="3" t="s">
        <v>4814</v>
      </c>
    </row>
    <row r="2927" spans="1:2">
      <c r="A2927" s="3" t="s">
        <v>4771</v>
      </c>
      <c r="B2927" s="3" t="s">
        <v>4815</v>
      </c>
    </row>
    <row r="2928" spans="1:2">
      <c r="A2928" s="3" t="s">
        <v>4771</v>
      </c>
      <c r="B2928" s="3" t="s">
        <v>4816</v>
      </c>
    </row>
    <row r="2929" spans="1:2">
      <c r="A2929" s="3" t="s">
        <v>4771</v>
      </c>
      <c r="B2929" s="3" t="s">
        <v>4817</v>
      </c>
    </row>
    <row r="2930" spans="1:2">
      <c r="A2930" s="3" t="s">
        <v>4771</v>
      </c>
      <c r="B2930" s="3" t="s">
        <v>4818</v>
      </c>
    </row>
    <row r="2931" spans="1:2">
      <c r="A2931" s="3" t="s">
        <v>4771</v>
      </c>
      <c r="B2931" s="3" t="s">
        <v>4819</v>
      </c>
    </row>
    <row r="2932" spans="1:2">
      <c r="A2932" s="3" t="s">
        <v>4771</v>
      </c>
      <c r="B2932" s="3" t="s">
        <v>4820</v>
      </c>
    </row>
    <row r="2933" spans="1:2">
      <c r="A2933" s="3" t="s">
        <v>4771</v>
      </c>
      <c r="B2933" s="3" t="s">
        <v>4821</v>
      </c>
    </row>
    <row r="2934" spans="1:2">
      <c r="A2934" s="3" t="s">
        <v>4771</v>
      </c>
      <c r="B2934" s="3" t="s">
        <v>4822</v>
      </c>
    </row>
    <row r="2935" spans="1:2">
      <c r="A2935" s="3" t="s">
        <v>4771</v>
      </c>
      <c r="B2935" s="3" t="s">
        <v>4823</v>
      </c>
    </row>
    <row r="2936" spans="1:2">
      <c r="A2936" s="3" t="s">
        <v>4771</v>
      </c>
      <c r="B2936" s="3" t="s">
        <v>4824</v>
      </c>
    </row>
    <row r="2937" spans="1:2">
      <c r="A2937" s="3" t="s">
        <v>4771</v>
      </c>
      <c r="B2937" s="3" t="s">
        <v>4825</v>
      </c>
    </row>
    <row r="2938" spans="1:2">
      <c r="A2938" s="3" t="s">
        <v>4771</v>
      </c>
      <c r="B2938" s="3" t="s">
        <v>4826</v>
      </c>
    </row>
    <row r="2939" spans="1:2">
      <c r="A2939" s="3" t="s">
        <v>4771</v>
      </c>
      <c r="B2939" s="3" t="s">
        <v>4827</v>
      </c>
    </row>
    <row r="2940" spans="1:2">
      <c r="A2940" s="3" t="s">
        <v>4771</v>
      </c>
      <c r="B2940" s="3" t="s">
        <v>4828</v>
      </c>
    </row>
    <row r="2941" spans="1:2">
      <c r="A2941" s="3" t="s">
        <v>4771</v>
      </c>
      <c r="B2941" s="3" t="s">
        <v>4829</v>
      </c>
    </row>
    <row r="2942" spans="1:2">
      <c r="A2942" s="3" t="s">
        <v>4771</v>
      </c>
      <c r="B2942" s="3" t="s">
        <v>4830</v>
      </c>
    </row>
    <row r="2943" spans="1:2">
      <c r="A2943" s="3" t="s">
        <v>4771</v>
      </c>
      <c r="B2943" s="3" t="s">
        <v>4831</v>
      </c>
    </row>
    <row r="2944" spans="1:2">
      <c r="A2944" s="3" t="s">
        <v>4771</v>
      </c>
      <c r="B2944" s="3" t="s">
        <v>4832</v>
      </c>
    </row>
    <row r="2945" spans="1:2">
      <c r="A2945" s="3" t="s">
        <v>4771</v>
      </c>
      <c r="B2945" s="3" t="s">
        <v>4833</v>
      </c>
    </row>
    <row r="2946" spans="1:2">
      <c r="A2946" s="3" t="s">
        <v>4771</v>
      </c>
      <c r="B2946" s="3" t="s">
        <v>4834</v>
      </c>
    </row>
    <row r="2947" spans="1:2">
      <c r="A2947" s="3" t="s">
        <v>4771</v>
      </c>
      <c r="B2947" s="3" t="s">
        <v>4835</v>
      </c>
    </row>
    <row r="2948" spans="1:2">
      <c r="A2948" s="3" t="s">
        <v>4836</v>
      </c>
      <c r="B2948" s="3" t="s">
        <v>4837</v>
      </c>
    </row>
    <row r="2949" spans="1:2">
      <c r="A2949" s="3" t="s">
        <v>4836</v>
      </c>
      <c r="B2949" s="3" t="s">
        <v>4838</v>
      </c>
    </row>
    <row r="2950" spans="1:2">
      <c r="A2950" s="3" t="s">
        <v>4836</v>
      </c>
      <c r="B2950" s="3" t="s">
        <v>4839</v>
      </c>
    </row>
    <row r="2951" spans="1:2">
      <c r="A2951" s="3" t="s">
        <v>4836</v>
      </c>
      <c r="B2951" s="3" t="s">
        <v>4840</v>
      </c>
    </row>
    <row r="2952" spans="1:2">
      <c r="A2952" s="3" t="s">
        <v>4836</v>
      </c>
      <c r="B2952" s="3" t="s">
        <v>4841</v>
      </c>
    </row>
    <row r="2953" spans="1:2">
      <c r="A2953" s="3" t="s">
        <v>4836</v>
      </c>
      <c r="B2953" s="3" t="s">
        <v>4842</v>
      </c>
    </row>
    <row r="2954" spans="1:2">
      <c r="A2954" s="3" t="s">
        <v>4836</v>
      </c>
      <c r="B2954" s="3" t="s">
        <v>4843</v>
      </c>
    </row>
    <row r="2955" spans="1:2">
      <c r="A2955" s="3" t="s">
        <v>4836</v>
      </c>
      <c r="B2955" s="3" t="s">
        <v>4844</v>
      </c>
    </row>
    <row r="2956" spans="1:2">
      <c r="A2956" s="3" t="s">
        <v>4845</v>
      </c>
      <c r="B2956" s="3" t="s">
        <v>4846</v>
      </c>
    </row>
    <row r="2957" spans="1:2">
      <c r="A2957" s="3" t="s">
        <v>4845</v>
      </c>
      <c r="B2957" s="3" t="s">
        <v>4847</v>
      </c>
    </row>
    <row r="2958" spans="1:2">
      <c r="A2958" s="3" t="s">
        <v>4845</v>
      </c>
      <c r="B2958" s="3" t="s">
        <v>4848</v>
      </c>
    </row>
    <row r="2959" spans="1:2">
      <c r="A2959" s="3" t="s">
        <v>4845</v>
      </c>
      <c r="B2959" s="3" t="s">
        <v>4849</v>
      </c>
    </row>
    <row r="2960" spans="1:2">
      <c r="A2960" s="3" t="s">
        <v>4850</v>
      </c>
      <c r="B2960" s="3" t="s">
        <v>4851</v>
      </c>
    </row>
    <row r="2961" spans="1:2">
      <c r="A2961" s="3" t="s">
        <v>4850</v>
      </c>
      <c r="B2961" s="3" t="s">
        <v>4852</v>
      </c>
    </row>
    <row r="2962" spans="1:2">
      <c r="A2962" s="3" t="s">
        <v>4850</v>
      </c>
      <c r="B2962" s="3" t="s">
        <v>4853</v>
      </c>
    </row>
    <row r="2963" spans="1:2">
      <c r="A2963" s="3" t="s">
        <v>4850</v>
      </c>
      <c r="B2963" s="3" t="s">
        <v>4854</v>
      </c>
    </row>
    <row r="2964" spans="1:2">
      <c r="A2964" s="3" t="s">
        <v>4850</v>
      </c>
      <c r="B2964" s="3" t="s">
        <v>4855</v>
      </c>
    </row>
    <row r="2965" spans="1:2">
      <c r="A2965" s="3" t="s">
        <v>4850</v>
      </c>
      <c r="B2965" s="3" t="s">
        <v>4856</v>
      </c>
    </row>
    <row r="2966" spans="1:2">
      <c r="A2966" s="3" t="s">
        <v>4857</v>
      </c>
      <c r="B2966" s="3" t="s">
        <v>4858</v>
      </c>
    </row>
    <row r="2967" spans="1:2">
      <c r="A2967" s="3" t="s">
        <v>4857</v>
      </c>
      <c r="B2967" s="3" t="s">
        <v>4859</v>
      </c>
    </row>
    <row r="2968" spans="1:2">
      <c r="A2968" s="3" t="s">
        <v>4857</v>
      </c>
      <c r="B2968" s="3" t="s">
        <v>4860</v>
      </c>
    </row>
    <row r="2969" spans="1:2">
      <c r="A2969" s="3" t="s">
        <v>4857</v>
      </c>
      <c r="B2969" s="3" t="s">
        <v>4861</v>
      </c>
    </row>
    <row r="2970" spans="1:2">
      <c r="A2970" s="3" t="s">
        <v>4862</v>
      </c>
      <c r="B2970" s="3" t="s">
        <v>4863</v>
      </c>
    </row>
    <row r="2971" spans="1:2">
      <c r="A2971" s="3" t="s">
        <v>4862</v>
      </c>
      <c r="B2971" s="3" t="s">
        <v>4864</v>
      </c>
    </row>
    <row r="2972" spans="1:2">
      <c r="A2972" s="3" t="s">
        <v>4862</v>
      </c>
      <c r="B2972" s="3" t="s">
        <v>4865</v>
      </c>
    </row>
    <row r="2973" spans="1:2">
      <c r="A2973" s="3" t="s">
        <v>4866</v>
      </c>
      <c r="B2973" s="3" t="s">
        <v>4867</v>
      </c>
    </row>
    <row r="2974" spans="1:2">
      <c r="A2974" s="3" t="s">
        <v>4866</v>
      </c>
      <c r="B2974" s="3" t="s">
        <v>4868</v>
      </c>
    </row>
    <row r="2975" spans="1:2">
      <c r="A2975" s="3" t="s">
        <v>4866</v>
      </c>
      <c r="B2975" s="3" t="s">
        <v>4869</v>
      </c>
    </row>
    <row r="2976" spans="1:2">
      <c r="A2976" s="3" t="s">
        <v>4866</v>
      </c>
      <c r="B2976" s="3" t="s">
        <v>4870</v>
      </c>
    </row>
    <row r="2977" spans="1:2">
      <c r="A2977" s="3" t="s">
        <v>4871</v>
      </c>
      <c r="B2977" s="3" t="s">
        <v>4872</v>
      </c>
    </row>
    <row r="2978" spans="1:2">
      <c r="A2978" s="3" t="s">
        <v>4871</v>
      </c>
      <c r="B2978" s="3" t="s">
        <v>4873</v>
      </c>
    </row>
    <row r="2979" spans="1:2">
      <c r="A2979" s="3" t="s">
        <v>4874</v>
      </c>
      <c r="B2979" s="3" t="s">
        <v>4875</v>
      </c>
    </row>
    <row r="2980" spans="1:2">
      <c r="A2980" s="3" t="s">
        <v>4874</v>
      </c>
      <c r="B2980" s="3" t="s">
        <v>4876</v>
      </c>
    </row>
    <row r="2981" spans="1:2">
      <c r="A2981" s="3" t="s">
        <v>4877</v>
      </c>
      <c r="B2981" s="3" t="s">
        <v>4878</v>
      </c>
    </row>
    <row r="2982" spans="1:2">
      <c r="A2982" s="3" t="s">
        <v>4877</v>
      </c>
      <c r="B2982" s="3" t="s">
        <v>4879</v>
      </c>
    </row>
    <row r="2983" spans="1:2">
      <c r="A2983" s="3" t="s">
        <v>4880</v>
      </c>
      <c r="B2983" s="3" t="s">
        <v>4881</v>
      </c>
    </row>
    <row r="2984" spans="1:2">
      <c r="A2984" s="3" t="s">
        <v>4880</v>
      </c>
      <c r="B2984" s="3" t="s">
        <v>4882</v>
      </c>
    </row>
    <row r="2985" spans="1:2">
      <c r="A2985" s="3" t="s">
        <v>4883</v>
      </c>
      <c r="B2985" s="3" t="s">
        <v>4884</v>
      </c>
    </row>
    <row r="2986" spans="1:2">
      <c r="A2986" s="3" t="s">
        <v>4883</v>
      </c>
      <c r="B2986" s="3" t="s">
        <v>4885</v>
      </c>
    </row>
    <row r="2987" spans="1:2">
      <c r="A2987" s="3" t="s">
        <v>4886</v>
      </c>
      <c r="B2987" s="3" t="s">
        <v>4887</v>
      </c>
    </row>
    <row r="2988" spans="1:2">
      <c r="A2988" s="3" t="s">
        <v>4886</v>
      </c>
      <c r="B2988" s="3" t="s">
        <v>4888</v>
      </c>
    </row>
    <row r="2989" spans="1:2">
      <c r="A2989" s="3" t="s">
        <v>4889</v>
      </c>
      <c r="B2989" s="3" t="s">
        <v>4890</v>
      </c>
    </row>
    <row r="2990" spans="1:2">
      <c r="A2990" s="3" t="s">
        <v>4889</v>
      </c>
      <c r="B2990" s="3" t="s">
        <v>4891</v>
      </c>
    </row>
    <row r="2991" spans="1:2">
      <c r="A2991" s="3" t="s">
        <v>4892</v>
      </c>
      <c r="B2991" s="3" t="s">
        <v>4893</v>
      </c>
    </row>
    <row r="2992" spans="1:2">
      <c r="A2992" s="3" t="s">
        <v>4892</v>
      </c>
      <c r="B2992" s="3" t="s">
        <v>4894</v>
      </c>
    </row>
    <row r="2993" spans="1:2">
      <c r="A2993" s="3" t="s">
        <v>4895</v>
      </c>
      <c r="B2993" s="3" t="s">
        <v>4896</v>
      </c>
    </row>
    <row r="2994" spans="1:2">
      <c r="A2994" s="3" t="s">
        <v>4895</v>
      </c>
      <c r="B2994" s="3" t="s">
        <v>4897</v>
      </c>
    </row>
    <row r="2995" spans="1:2">
      <c r="A2995" s="3" t="s">
        <v>4898</v>
      </c>
      <c r="B2995" s="3" t="s">
        <v>4899</v>
      </c>
    </row>
    <row r="2996" spans="1:2">
      <c r="A2996" s="3" t="s">
        <v>4898</v>
      </c>
      <c r="B2996" s="3" t="s">
        <v>4900</v>
      </c>
    </row>
    <row r="2997" spans="1:2">
      <c r="A2997" s="3" t="s">
        <v>4898</v>
      </c>
      <c r="B2997" s="3" t="s">
        <v>4901</v>
      </c>
    </row>
    <row r="2998" spans="1:2">
      <c r="A2998" s="3" t="s">
        <v>4898</v>
      </c>
      <c r="B2998" s="3" t="s">
        <v>4902</v>
      </c>
    </row>
    <row r="2999" spans="1:2">
      <c r="A2999" s="3" t="s">
        <v>4898</v>
      </c>
      <c r="B2999" s="3" t="s">
        <v>4903</v>
      </c>
    </row>
    <row r="3000" spans="1:2">
      <c r="A3000" s="3" t="s">
        <v>4898</v>
      </c>
      <c r="B3000" s="3" t="s">
        <v>4904</v>
      </c>
    </row>
    <row r="3001" spans="1:2">
      <c r="A3001" s="3" t="s">
        <v>4898</v>
      </c>
      <c r="B3001" s="3" t="s">
        <v>4905</v>
      </c>
    </row>
    <row r="3002" spans="1:2">
      <c r="A3002" s="3" t="s">
        <v>4898</v>
      </c>
      <c r="B3002" s="3" t="s">
        <v>4906</v>
      </c>
    </row>
    <row r="3003" spans="1:2">
      <c r="A3003" s="3" t="s">
        <v>4907</v>
      </c>
      <c r="B3003" s="3" t="s">
        <v>4908</v>
      </c>
    </row>
    <row r="3004" spans="1:2">
      <c r="A3004" s="3" t="s">
        <v>4907</v>
      </c>
      <c r="B3004" s="3" t="s">
        <v>4909</v>
      </c>
    </row>
    <row r="3005" spans="1:2">
      <c r="A3005" s="3" t="s">
        <v>4910</v>
      </c>
      <c r="B3005" s="3" t="s">
        <v>4911</v>
      </c>
    </row>
    <row r="3006" spans="1:2">
      <c r="A3006" s="3" t="s">
        <v>4910</v>
      </c>
      <c r="B3006" s="3" t="s">
        <v>4912</v>
      </c>
    </row>
    <row r="3007" spans="1:2">
      <c r="A3007" s="3" t="s">
        <v>4913</v>
      </c>
      <c r="B3007" s="3" t="s">
        <v>4914</v>
      </c>
    </row>
    <row r="3008" spans="1:2">
      <c r="A3008" s="3" t="s">
        <v>4913</v>
      </c>
      <c r="B3008" s="3" t="s">
        <v>4915</v>
      </c>
    </row>
    <row r="3009" spans="1:2">
      <c r="A3009" s="3" t="s">
        <v>4916</v>
      </c>
      <c r="B3009" s="3" t="s">
        <v>4917</v>
      </c>
    </row>
    <row r="3010" spans="1:2">
      <c r="A3010" s="3" t="s">
        <v>4916</v>
      </c>
      <c r="B3010" s="3" t="s">
        <v>4918</v>
      </c>
    </row>
    <row r="3011" spans="1:2">
      <c r="A3011" s="3" t="s">
        <v>4916</v>
      </c>
      <c r="B3011" s="3" t="s">
        <v>4919</v>
      </c>
    </row>
    <row r="3012" spans="1:2">
      <c r="A3012" s="3" t="s">
        <v>4916</v>
      </c>
      <c r="B3012" s="3" t="s">
        <v>4920</v>
      </c>
    </row>
    <row r="3013" spans="1:2">
      <c r="A3013" s="3" t="s">
        <v>4921</v>
      </c>
      <c r="B3013" s="3" t="s">
        <v>4922</v>
      </c>
    </row>
    <row r="3014" spans="1:2">
      <c r="A3014" s="3" t="s">
        <v>4921</v>
      </c>
      <c r="B3014" s="3" t="s">
        <v>4923</v>
      </c>
    </row>
    <row r="3015" spans="1:2">
      <c r="A3015" s="3" t="s">
        <v>4921</v>
      </c>
      <c r="B3015" s="3" t="s">
        <v>4924</v>
      </c>
    </row>
    <row r="3016" spans="1:2">
      <c r="A3016" s="3" t="s">
        <v>4925</v>
      </c>
      <c r="B3016" s="3" t="s">
        <v>4926</v>
      </c>
    </row>
    <row r="3017" spans="1:2">
      <c r="A3017" s="3" t="s">
        <v>4925</v>
      </c>
      <c r="B3017" s="3" t="s">
        <v>4927</v>
      </c>
    </row>
    <row r="3018" spans="1:2">
      <c r="A3018" s="3" t="s">
        <v>4925</v>
      </c>
      <c r="B3018" s="3" t="s">
        <v>4928</v>
      </c>
    </row>
    <row r="3019" spans="1:2">
      <c r="A3019" s="3" t="s">
        <v>4929</v>
      </c>
      <c r="B3019" s="3" t="s">
        <v>4930</v>
      </c>
    </row>
    <row r="3020" spans="1:2">
      <c r="A3020" s="3" t="s">
        <v>4929</v>
      </c>
      <c r="B3020" s="3" t="s">
        <v>4931</v>
      </c>
    </row>
    <row r="3021" spans="1:2">
      <c r="A3021" s="3" t="s">
        <v>4929</v>
      </c>
      <c r="B3021" s="3" t="s">
        <v>4932</v>
      </c>
    </row>
    <row r="3022" spans="1:2">
      <c r="A3022" s="3" t="s">
        <v>4929</v>
      </c>
      <c r="B3022" s="3" t="s">
        <v>4933</v>
      </c>
    </row>
    <row r="3023" spans="1:2">
      <c r="A3023" s="3" t="s">
        <v>4929</v>
      </c>
      <c r="B3023" s="3" t="s">
        <v>4934</v>
      </c>
    </row>
    <row r="3024" spans="1:2">
      <c r="A3024" s="3" t="s">
        <v>4929</v>
      </c>
      <c r="B3024" s="3" t="s">
        <v>4935</v>
      </c>
    </row>
    <row r="3025" spans="1:2">
      <c r="A3025" s="3" t="s">
        <v>4929</v>
      </c>
      <c r="B3025" s="3" t="s">
        <v>4936</v>
      </c>
    </row>
    <row r="3026" spans="1:2">
      <c r="A3026" s="3" t="s">
        <v>4929</v>
      </c>
      <c r="B3026" s="3" t="s">
        <v>4937</v>
      </c>
    </row>
    <row r="3027" spans="1:2">
      <c r="A3027" s="3" t="s">
        <v>4938</v>
      </c>
      <c r="B3027" s="3" t="s">
        <v>4939</v>
      </c>
    </row>
    <row r="3028" spans="1:2">
      <c r="A3028" s="3" t="s">
        <v>4938</v>
      </c>
      <c r="B3028" s="3" t="s">
        <v>4940</v>
      </c>
    </row>
    <row r="3029" spans="1:2">
      <c r="A3029" s="3" t="s">
        <v>4938</v>
      </c>
      <c r="B3029" s="3" t="s">
        <v>4941</v>
      </c>
    </row>
    <row r="3030" spans="1:2">
      <c r="A3030" s="3" t="s">
        <v>4942</v>
      </c>
      <c r="B3030" s="3" t="s">
        <v>4943</v>
      </c>
    </row>
    <row r="3031" spans="1:2">
      <c r="A3031" s="3" t="s">
        <v>4942</v>
      </c>
      <c r="B3031" s="3" t="s">
        <v>4944</v>
      </c>
    </row>
    <row r="3032" spans="1:2">
      <c r="A3032" s="3" t="s">
        <v>4942</v>
      </c>
      <c r="B3032" s="3" t="s">
        <v>4945</v>
      </c>
    </row>
    <row r="3033" spans="1:2">
      <c r="A3033" s="3" t="s">
        <v>4942</v>
      </c>
      <c r="B3033" s="3" t="s">
        <v>4946</v>
      </c>
    </row>
    <row r="3034" spans="1:2">
      <c r="A3034" s="3" t="s">
        <v>4947</v>
      </c>
      <c r="B3034" s="3" t="s">
        <v>4948</v>
      </c>
    </row>
    <row r="3035" spans="1:2">
      <c r="A3035" s="3" t="s">
        <v>4947</v>
      </c>
      <c r="B3035" s="3" t="s">
        <v>4949</v>
      </c>
    </row>
    <row r="3036" spans="1:2">
      <c r="A3036" s="3" t="s">
        <v>4950</v>
      </c>
      <c r="B3036" s="3" t="s">
        <v>4951</v>
      </c>
    </row>
    <row r="3037" spans="1:2">
      <c r="A3037" s="3" t="s">
        <v>4950</v>
      </c>
      <c r="B3037" s="3" t="s">
        <v>4952</v>
      </c>
    </row>
    <row r="3038" spans="1:2">
      <c r="A3038" s="3" t="s">
        <v>4950</v>
      </c>
      <c r="B3038" s="3" t="s">
        <v>4953</v>
      </c>
    </row>
    <row r="3039" spans="1:2">
      <c r="A3039" s="3" t="s">
        <v>4950</v>
      </c>
      <c r="B3039" s="3" t="s">
        <v>4954</v>
      </c>
    </row>
    <row r="3040" spans="1:2">
      <c r="A3040" s="3" t="s">
        <v>4955</v>
      </c>
      <c r="B3040" s="3" t="s">
        <v>4956</v>
      </c>
    </row>
    <row r="3041" spans="1:2">
      <c r="A3041" s="3" t="s">
        <v>4955</v>
      </c>
      <c r="B3041" s="3" t="s">
        <v>4957</v>
      </c>
    </row>
    <row r="3042" spans="1:2">
      <c r="A3042" s="3" t="s">
        <v>4955</v>
      </c>
      <c r="B3042" s="3" t="s">
        <v>4958</v>
      </c>
    </row>
    <row r="3043" spans="1:2">
      <c r="A3043" s="3" t="s">
        <v>4955</v>
      </c>
      <c r="B3043" s="3" t="s">
        <v>4959</v>
      </c>
    </row>
    <row r="3044" spans="1:2">
      <c r="A3044" s="3" t="s">
        <v>4955</v>
      </c>
      <c r="B3044" s="3" t="s">
        <v>4960</v>
      </c>
    </row>
    <row r="3045" spans="1:2">
      <c r="A3045" s="3" t="s">
        <v>4955</v>
      </c>
      <c r="B3045" s="3" t="s">
        <v>4961</v>
      </c>
    </row>
    <row r="3046" spans="1:2">
      <c r="A3046" s="3" t="s">
        <v>4955</v>
      </c>
      <c r="B3046" s="3" t="s">
        <v>4962</v>
      </c>
    </row>
    <row r="3047" spans="1:2">
      <c r="A3047" s="3" t="s">
        <v>4955</v>
      </c>
      <c r="B3047" s="3" t="s">
        <v>4963</v>
      </c>
    </row>
    <row r="3048" spans="1:2">
      <c r="A3048" s="3" t="s">
        <v>4964</v>
      </c>
      <c r="B3048" s="3" t="s">
        <v>4965</v>
      </c>
    </row>
    <row r="3049" spans="1:2">
      <c r="A3049" s="3" t="s">
        <v>4964</v>
      </c>
      <c r="B3049" s="3" t="s">
        <v>4966</v>
      </c>
    </row>
    <row r="3050" spans="1:2">
      <c r="A3050" s="3" t="s">
        <v>4964</v>
      </c>
      <c r="B3050" s="3" t="s">
        <v>4967</v>
      </c>
    </row>
    <row r="3051" spans="1:2">
      <c r="A3051" s="3" t="s">
        <v>4964</v>
      </c>
      <c r="B3051" s="3" t="s">
        <v>4968</v>
      </c>
    </row>
    <row r="3052" spans="1:2">
      <c r="A3052" s="3" t="s">
        <v>4969</v>
      </c>
      <c r="B3052" s="3" t="s">
        <v>4970</v>
      </c>
    </row>
    <row r="3053" spans="1:2">
      <c r="A3053" s="3" t="s">
        <v>4969</v>
      </c>
      <c r="B3053" s="3" t="s">
        <v>4971</v>
      </c>
    </row>
    <row r="3054" spans="1:2">
      <c r="A3054" s="3" t="s">
        <v>4969</v>
      </c>
      <c r="B3054" s="3" t="s">
        <v>4972</v>
      </c>
    </row>
    <row r="3055" spans="1:2">
      <c r="A3055" s="3" t="s">
        <v>4969</v>
      </c>
      <c r="B3055" s="3" t="s">
        <v>4973</v>
      </c>
    </row>
    <row r="3056" spans="1:2">
      <c r="A3056" s="3" t="s">
        <v>4969</v>
      </c>
      <c r="B3056" s="3" t="s">
        <v>4974</v>
      </c>
    </row>
    <row r="3057" spans="1:2">
      <c r="A3057" s="3" t="s">
        <v>4975</v>
      </c>
      <c r="B3057" s="3" t="s">
        <v>4976</v>
      </c>
    </row>
    <row r="3058" spans="1:2">
      <c r="A3058" s="3" t="s">
        <v>4975</v>
      </c>
      <c r="B3058" s="3" t="s">
        <v>4977</v>
      </c>
    </row>
    <row r="3059" spans="1:2">
      <c r="A3059" s="3" t="s">
        <v>4978</v>
      </c>
      <c r="B3059" s="3" t="s">
        <v>4979</v>
      </c>
    </row>
    <row r="3060" spans="1:2">
      <c r="A3060" s="3" t="s">
        <v>4978</v>
      </c>
      <c r="B3060" s="3" t="s">
        <v>4980</v>
      </c>
    </row>
    <row r="3061" spans="1:2">
      <c r="A3061" s="3" t="s">
        <v>4978</v>
      </c>
      <c r="B3061" s="3" t="s">
        <v>4981</v>
      </c>
    </row>
    <row r="3062" spans="1:2">
      <c r="A3062" s="3" t="s">
        <v>4982</v>
      </c>
      <c r="B3062" s="3" t="s">
        <v>4983</v>
      </c>
    </row>
    <row r="3063" spans="1:2">
      <c r="A3063" s="3" t="s">
        <v>4982</v>
      </c>
      <c r="B3063" s="3" t="s">
        <v>4984</v>
      </c>
    </row>
    <row r="3064" spans="1:2">
      <c r="A3064" s="3" t="s">
        <v>4982</v>
      </c>
      <c r="B3064" s="3" t="s">
        <v>4985</v>
      </c>
    </row>
    <row r="3065" spans="1:2">
      <c r="A3065" s="3" t="s">
        <v>4982</v>
      </c>
      <c r="B3065" s="3" t="s">
        <v>4986</v>
      </c>
    </row>
    <row r="3066" spans="1:2">
      <c r="A3066" s="3" t="s">
        <v>4982</v>
      </c>
      <c r="B3066" s="3" t="s">
        <v>4987</v>
      </c>
    </row>
    <row r="3067" spans="1:2">
      <c r="A3067" s="3" t="s">
        <v>4982</v>
      </c>
      <c r="B3067" s="3" t="s">
        <v>4988</v>
      </c>
    </row>
    <row r="3068" spans="1:2">
      <c r="A3068" s="3" t="s">
        <v>4982</v>
      </c>
      <c r="B3068" s="3" t="s">
        <v>4989</v>
      </c>
    </row>
    <row r="3069" spans="1:2">
      <c r="A3069" s="3" t="s">
        <v>4982</v>
      </c>
      <c r="B3069" s="3" t="s">
        <v>4990</v>
      </c>
    </row>
    <row r="3070" spans="1:2">
      <c r="A3070" s="3" t="s">
        <v>4991</v>
      </c>
      <c r="B3070" s="3" t="s">
        <v>4992</v>
      </c>
    </row>
    <row r="3071" spans="1:2">
      <c r="A3071" s="3" t="s">
        <v>4991</v>
      </c>
      <c r="B3071" s="3" t="s">
        <v>4993</v>
      </c>
    </row>
    <row r="3072" spans="1:2">
      <c r="A3072" s="3" t="s">
        <v>4991</v>
      </c>
      <c r="B3072" s="3" t="s">
        <v>4994</v>
      </c>
    </row>
    <row r="3073" spans="1:2">
      <c r="A3073" s="3" t="s">
        <v>4991</v>
      </c>
      <c r="B3073" s="3" t="s">
        <v>4995</v>
      </c>
    </row>
    <row r="3074" spans="1:2">
      <c r="A3074" s="3" t="s">
        <v>4991</v>
      </c>
      <c r="B3074" s="3" t="s">
        <v>4996</v>
      </c>
    </row>
    <row r="3075" spans="1:2">
      <c r="A3075" s="3" t="s">
        <v>4991</v>
      </c>
      <c r="B3075" s="3" t="s">
        <v>4997</v>
      </c>
    </row>
    <row r="3076" spans="1:2">
      <c r="A3076" s="3" t="s">
        <v>4991</v>
      </c>
      <c r="B3076" s="3" t="s">
        <v>4998</v>
      </c>
    </row>
    <row r="3077" spans="1:2">
      <c r="A3077" s="3" t="s">
        <v>4991</v>
      </c>
      <c r="B3077" s="3" t="s">
        <v>4999</v>
      </c>
    </row>
    <row r="3078" spans="1:2">
      <c r="A3078" s="3" t="s">
        <v>5000</v>
      </c>
      <c r="B3078" s="3" t="s">
        <v>5001</v>
      </c>
    </row>
    <row r="3079" spans="1:2">
      <c r="A3079" s="3" t="s">
        <v>5000</v>
      </c>
      <c r="B3079" s="3" t="s">
        <v>5002</v>
      </c>
    </row>
    <row r="3080" spans="1:2">
      <c r="A3080" s="3" t="s">
        <v>5000</v>
      </c>
      <c r="B3080" s="3" t="s">
        <v>5003</v>
      </c>
    </row>
    <row r="3081" spans="1:2">
      <c r="A3081" s="3" t="s">
        <v>5000</v>
      </c>
      <c r="B3081" s="3" t="s">
        <v>5004</v>
      </c>
    </row>
    <row r="3082" spans="1:2">
      <c r="A3082" s="3" t="s">
        <v>5005</v>
      </c>
      <c r="B3082" s="3" t="s">
        <v>5006</v>
      </c>
    </row>
    <row r="3083" spans="1:2">
      <c r="A3083" s="3" t="s">
        <v>5005</v>
      </c>
      <c r="B3083" s="3" t="s">
        <v>5007</v>
      </c>
    </row>
    <row r="3084" spans="1:2">
      <c r="A3084" s="3" t="s">
        <v>5005</v>
      </c>
      <c r="B3084" s="3" t="s">
        <v>5008</v>
      </c>
    </row>
    <row r="3085" spans="1:2">
      <c r="A3085" s="3" t="s">
        <v>5005</v>
      </c>
      <c r="B3085" s="3" t="s">
        <v>5009</v>
      </c>
    </row>
    <row r="3086" spans="1:2">
      <c r="A3086" s="3" t="s">
        <v>5005</v>
      </c>
      <c r="B3086" s="3" t="s">
        <v>5010</v>
      </c>
    </row>
    <row r="3087" spans="1:2">
      <c r="A3087" s="3" t="s">
        <v>5005</v>
      </c>
      <c r="B3087" s="3" t="s">
        <v>5011</v>
      </c>
    </row>
    <row r="3088" spans="1:2">
      <c r="A3088" s="3" t="s">
        <v>5005</v>
      </c>
      <c r="B3088" s="3" t="s">
        <v>5012</v>
      </c>
    </row>
    <row r="3089" spans="1:2">
      <c r="A3089" s="3" t="s">
        <v>5005</v>
      </c>
      <c r="B3089" s="3" t="s">
        <v>5013</v>
      </c>
    </row>
    <row r="3090" spans="1:2">
      <c r="A3090" s="3" t="s">
        <v>5014</v>
      </c>
      <c r="B3090" s="3" t="s">
        <v>5015</v>
      </c>
    </row>
    <row r="3091" spans="1:2">
      <c r="A3091" s="3" t="s">
        <v>5014</v>
      </c>
      <c r="B3091" s="3" t="s">
        <v>5016</v>
      </c>
    </row>
    <row r="3092" spans="1:2">
      <c r="A3092" s="3" t="s">
        <v>5017</v>
      </c>
      <c r="B3092" s="3" t="s">
        <v>5018</v>
      </c>
    </row>
    <row r="3093" spans="1:2">
      <c r="A3093" s="3" t="s">
        <v>5017</v>
      </c>
      <c r="B3093" s="3" t="s">
        <v>5019</v>
      </c>
    </row>
    <row r="3094" spans="1:2">
      <c r="A3094" s="3" t="s">
        <v>5017</v>
      </c>
      <c r="B3094" s="3" t="s">
        <v>5020</v>
      </c>
    </row>
    <row r="3095" spans="1:2">
      <c r="A3095" s="3" t="s">
        <v>5017</v>
      </c>
      <c r="B3095" s="3" t="s">
        <v>5021</v>
      </c>
    </row>
    <row r="3096" spans="1:2">
      <c r="A3096" s="3" t="s">
        <v>5022</v>
      </c>
      <c r="B3096" s="3" t="s">
        <v>5023</v>
      </c>
    </row>
    <row r="3097" spans="1:2">
      <c r="A3097" s="3" t="s">
        <v>5022</v>
      </c>
      <c r="B3097" s="3" t="s">
        <v>5024</v>
      </c>
    </row>
    <row r="3098" spans="1:2">
      <c r="A3098" s="3" t="s">
        <v>5022</v>
      </c>
      <c r="B3098" s="3" t="s">
        <v>5025</v>
      </c>
    </row>
    <row r="3099" spans="1:2">
      <c r="A3099" s="3" t="s">
        <v>5022</v>
      </c>
      <c r="B3099" s="3" t="s">
        <v>5026</v>
      </c>
    </row>
    <row r="3100" spans="1:2">
      <c r="A3100" s="3" t="s">
        <v>5027</v>
      </c>
      <c r="B3100" s="3" t="s">
        <v>5028</v>
      </c>
    </row>
    <row r="3101" spans="1:2">
      <c r="A3101" s="3" t="s">
        <v>5027</v>
      </c>
      <c r="B3101" s="3" t="s">
        <v>5029</v>
      </c>
    </row>
    <row r="3102" spans="1:2">
      <c r="A3102" s="3" t="s">
        <v>5027</v>
      </c>
      <c r="B3102" s="3" t="s">
        <v>5030</v>
      </c>
    </row>
    <row r="3103" spans="1:2">
      <c r="A3103" s="3" t="s">
        <v>5027</v>
      </c>
      <c r="B3103" s="3" t="s">
        <v>5031</v>
      </c>
    </row>
    <row r="3104" spans="1:2">
      <c r="A3104" s="3" t="s">
        <v>5027</v>
      </c>
      <c r="B3104" s="3" t="s">
        <v>5032</v>
      </c>
    </row>
    <row r="3105" spans="1:2">
      <c r="A3105" s="3" t="s">
        <v>5027</v>
      </c>
      <c r="B3105" s="3" t="s">
        <v>5033</v>
      </c>
    </row>
    <row r="3106" spans="1:2">
      <c r="A3106" s="3" t="s">
        <v>5034</v>
      </c>
      <c r="B3106" s="3" t="s">
        <v>5035</v>
      </c>
    </row>
    <row r="3107" spans="1:2">
      <c r="A3107" s="3" t="s">
        <v>5034</v>
      </c>
      <c r="B3107" s="3" t="s">
        <v>5036</v>
      </c>
    </row>
    <row r="3108" spans="1:2">
      <c r="A3108" s="3" t="s">
        <v>5034</v>
      </c>
      <c r="B3108" s="3" t="s">
        <v>5037</v>
      </c>
    </row>
    <row r="3109" spans="1:2">
      <c r="A3109" s="3" t="s">
        <v>5034</v>
      </c>
      <c r="B3109" s="3" t="s">
        <v>5038</v>
      </c>
    </row>
    <row r="3110" spans="1:2">
      <c r="A3110" s="3" t="s">
        <v>5039</v>
      </c>
      <c r="B3110" s="3" t="s">
        <v>5040</v>
      </c>
    </row>
    <row r="3111" spans="1:2">
      <c r="A3111" s="3" t="s">
        <v>5039</v>
      </c>
      <c r="B3111" s="3" t="s">
        <v>5041</v>
      </c>
    </row>
    <row r="3112" spans="1:2">
      <c r="A3112" s="3" t="s">
        <v>5039</v>
      </c>
      <c r="B3112" s="3" t="s">
        <v>5042</v>
      </c>
    </row>
    <row r="3113" spans="1:2">
      <c r="A3113" s="3" t="s">
        <v>5039</v>
      </c>
      <c r="B3113" s="3" t="s">
        <v>5043</v>
      </c>
    </row>
    <row r="3114" spans="1:2">
      <c r="A3114" s="3" t="s">
        <v>5044</v>
      </c>
      <c r="B3114" s="3" t="s">
        <v>5045</v>
      </c>
    </row>
    <row r="3115" spans="1:2">
      <c r="A3115" s="3" t="s">
        <v>5044</v>
      </c>
      <c r="B3115" s="3" t="s">
        <v>5046</v>
      </c>
    </row>
    <row r="3116" spans="1:2">
      <c r="A3116" s="3" t="s">
        <v>5044</v>
      </c>
      <c r="B3116" s="3" t="s">
        <v>5047</v>
      </c>
    </row>
    <row r="3117" spans="1:2">
      <c r="A3117" s="3" t="s">
        <v>5044</v>
      </c>
      <c r="B3117" s="3" t="s">
        <v>5048</v>
      </c>
    </row>
    <row r="3118" spans="1:2">
      <c r="A3118" s="3" t="s">
        <v>5044</v>
      </c>
      <c r="B3118" s="3" t="s">
        <v>5049</v>
      </c>
    </row>
    <row r="3119" spans="1:2">
      <c r="A3119" s="3" t="s">
        <v>5044</v>
      </c>
      <c r="B3119" s="3" t="s">
        <v>5050</v>
      </c>
    </row>
    <row r="3120" spans="1:2">
      <c r="A3120" s="3" t="s">
        <v>5044</v>
      </c>
      <c r="B3120" s="3" t="s">
        <v>5051</v>
      </c>
    </row>
    <row r="3121" spans="1:2">
      <c r="A3121" s="3" t="s">
        <v>5044</v>
      </c>
      <c r="B3121" s="3" t="s">
        <v>5052</v>
      </c>
    </row>
    <row r="3122" spans="1:2">
      <c r="A3122" s="3" t="s">
        <v>5044</v>
      </c>
      <c r="B3122" s="3" t="s">
        <v>5053</v>
      </c>
    </row>
    <row r="3123" spans="1:2">
      <c r="A3123" s="3" t="s">
        <v>5044</v>
      </c>
      <c r="B3123" s="3" t="s">
        <v>5054</v>
      </c>
    </row>
    <row r="3124" spans="1:2">
      <c r="A3124" s="3" t="s">
        <v>5044</v>
      </c>
      <c r="B3124" s="3" t="s">
        <v>5055</v>
      </c>
    </row>
    <row r="3125" spans="1:2">
      <c r="A3125" s="3" t="s">
        <v>5044</v>
      </c>
      <c r="B3125" s="3" t="s">
        <v>5056</v>
      </c>
    </row>
    <row r="3126" spans="1:2">
      <c r="A3126" s="3" t="s">
        <v>5057</v>
      </c>
      <c r="B3126" s="3" t="s">
        <v>5058</v>
      </c>
    </row>
    <row r="3127" spans="1:2">
      <c r="A3127" s="3" t="s">
        <v>5057</v>
      </c>
      <c r="B3127" s="3" t="s">
        <v>5059</v>
      </c>
    </row>
    <row r="3128" spans="1:2">
      <c r="A3128" s="3" t="s">
        <v>5057</v>
      </c>
      <c r="B3128" s="3" t="s">
        <v>5060</v>
      </c>
    </row>
    <row r="3129" spans="1:2">
      <c r="A3129" s="3" t="s">
        <v>5057</v>
      </c>
      <c r="B3129" s="3" t="s">
        <v>5061</v>
      </c>
    </row>
    <row r="3130" spans="1:2">
      <c r="A3130" s="3" t="s">
        <v>5057</v>
      </c>
      <c r="B3130" s="3" t="s">
        <v>5062</v>
      </c>
    </row>
    <row r="3131" spans="1:2">
      <c r="A3131" s="3" t="s">
        <v>5057</v>
      </c>
      <c r="B3131" s="3" t="s">
        <v>5063</v>
      </c>
    </row>
    <row r="3132" spans="1:2">
      <c r="A3132" s="3" t="s">
        <v>5057</v>
      </c>
      <c r="B3132" s="3" t="s">
        <v>5064</v>
      </c>
    </row>
    <row r="3133" spans="1:2">
      <c r="A3133" s="3" t="s">
        <v>5057</v>
      </c>
      <c r="B3133" s="3" t="s">
        <v>5065</v>
      </c>
    </row>
    <row r="3134" spans="1:2">
      <c r="A3134" s="3" t="s">
        <v>5066</v>
      </c>
      <c r="B3134" s="3" t="s">
        <v>5067</v>
      </c>
    </row>
    <row r="3135" spans="1:2">
      <c r="A3135" s="3" t="s">
        <v>5066</v>
      </c>
      <c r="B3135" s="3" t="s">
        <v>5068</v>
      </c>
    </row>
    <row r="3136" spans="1:2">
      <c r="A3136" s="3" t="s">
        <v>5066</v>
      </c>
      <c r="B3136" s="3" t="s">
        <v>5069</v>
      </c>
    </row>
    <row r="3137" spans="1:2">
      <c r="A3137" s="3" t="s">
        <v>5070</v>
      </c>
      <c r="B3137" s="3" t="s">
        <v>5071</v>
      </c>
    </row>
    <row r="3138" spans="1:2">
      <c r="A3138" s="3" t="s">
        <v>5070</v>
      </c>
      <c r="B3138" s="3" t="s">
        <v>5072</v>
      </c>
    </row>
    <row r="3139" spans="1:2">
      <c r="A3139" s="3" t="s">
        <v>5070</v>
      </c>
      <c r="B3139" s="3" t="s">
        <v>5073</v>
      </c>
    </row>
    <row r="3140" spans="1:2">
      <c r="A3140" s="3" t="s">
        <v>5074</v>
      </c>
      <c r="B3140" s="3" t="s">
        <v>5075</v>
      </c>
    </row>
    <row r="3141" spans="1:2">
      <c r="A3141" s="3" t="s">
        <v>5074</v>
      </c>
      <c r="B3141" s="3" t="s">
        <v>5076</v>
      </c>
    </row>
    <row r="3142" spans="1:2">
      <c r="A3142" s="3" t="s">
        <v>5074</v>
      </c>
      <c r="B3142" s="3" t="s">
        <v>5077</v>
      </c>
    </row>
    <row r="3143" spans="1:2">
      <c r="A3143" s="3" t="s">
        <v>5074</v>
      </c>
      <c r="B3143" s="3" t="s">
        <v>5078</v>
      </c>
    </row>
    <row r="3144" spans="1:2">
      <c r="A3144" s="3" t="s">
        <v>5079</v>
      </c>
      <c r="B3144" s="3" t="s">
        <v>5080</v>
      </c>
    </row>
    <row r="3145" spans="1:2">
      <c r="A3145" s="3" t="s">
        <v>5079</v>
      </c>
      <c r="B3145" s="3" t="s">
        <v>5081</v>
      </c>
    </row>
    <row r="3146" spans="1:2">
      <c r="A3146" s="3" t="s">
        <v>5079</v>
      </c>
      <c r="B3146" s="3" t="s">
        <v>5082</v>
      </c>
    </row>
    <row r="3147" spans="1:2">
      <c r="A3147" s="3" t="s">
        <v>5079</v>
      </c>
      <c r="B3147" s="3" t="s">
        <v>5083</v>
      </c>
    </row>
    <row r="3148" spans="1:2">
      <c r="A3148" s="3" t="s">
        <v>5079</v>
      </c>
      <c r="B3148" s="3" t="s">
        <v>5084</v>
      </c>
    </row>
    <row r="3149" spans="1:2">
      <c r="A3149" s="3" t="s">
        <v>5079</v>
      </c>
      <c r="B3149" s="3" t="s">
        <v>5085</v>
      </c>
    </row>
    <row r="3150" spans="1:2">
      <c r="A3150" s="3" t="s">
        <v>5079</v>
      </c>
      <c r="B3150" s="3" t="s">
        <v>5086</v>
      </c>
    </row>
    <row r="3151" spans="1:2">
      <c r="A3151" s="3" t="s">
        <v>5079</v>
      </c>
      <c r="B3151" s="3" t="s">
        <v>5087</v>
      </c>
    </row>
    <row r="3152" spans="1:2">
      <c r="A3152" s="3" t="s">
        <v>5088</v>
      </c>
      <c r="B3152" s="3" t="s">
        <v>5089</v>
      </c>
    </row>
    <row r="3153" spans="1:2">
      <c r="A3153" s="3" t="s">
        <v>5088</v>
      </c>
      <c r="B3153" s="3" t="s">
        <v>5090</v>
      </c>
    </row>
    <row r="3154" spans="1:2">
      <c r="A3154" s="3" t="s">
        <v>5088</v>
      </c>
      <c r="B3154" s="3" t="s">
        <v>5091</v>
      </c>
    </row>
    <row r="3155" spans="1:2">
      <c r="A3155" s="3" t="s">
        <v>5088</v>
      </c>
      <c r="B3155" s="3" t="s">
        <v>5092</v>
      </c>
    </row>
    <row r="3156" spans="1:2">
      <c r="A3156" s="3" t="s">
        <v>5088</v>
      </c>
      <c r="B3156" s="3" t="s">
        <v>5093</v>
      </c>
    </row>
    <row r="3157" spans="1:2">
      <c r="A3157" s="3" t="s">
        <v>5088</v>
      </c>
      <c r="B3157" s="3" t="s">
        <v>5094</v>
      </c>
    </row>
    <row r="3158" spans="1:2">
      <c r="A3158" s="3" t="s">
        <v>5088</v>
      </c>
      <c r="B3158" s="3" t="s">
        <v>5095</v>
      </c>
    </row>
    <row r="3159" spans="1:2">
      <c r="A3159" s="3" t="s">
        <v>5088</v>
      </c>
      <c r="B3159" s="3" t="s">
        <v>5096</v>
      </c>
    </row>
    <row r="3160" spans="1:2">
      <c r="A3160" s="3" t="s">
        <v>5097</v>
      </c>
      <c r="B3160" s="3" t="s">
        <v>5098</v>
      </c>
    </row>
    <row r="3161" spans="1:2">
      <c r="A3161" s="3" t="s">
        <v>5097</v>
      </c>
      <c r="B3161" s="3" t="s">
        <v>5099</v>
      </c>
    </row>
    <row r="3162" spans="1:2">
      <c r="A3162" s="3" t="s">
        <v>5097</v>
      </c>
      <c r="B3162" s="3" t="s">
        <v>5100</v>
      </c>
    </row>
    <row r="3163" spans="1:2">
      <c r="A3163" s="3" t="s">
        <v>5097</v>
      </c>
      <c r="B3163" s="3" t="s">
        <v>5101</v>
      </c>
    </row>
    <row r="3164" spans="1:2">
      <c r="A3164" s="3" t="s">
        <v>5097</v>
      </c>
      <c r="B3164" s="3" t="s">
        <v>5102</v>
      </c>
    </row>
    <row r="3165" spans="1:2">
      <c r="A3165" s="3" t="s">
        <v>5097</v>
      </c>
      <c r="B3165" s="3" t="s">
        <v>5103</v>
      </c>
    </row>
    <row r="3166" spans="1:2">
      <c r="A3166" s="3" t="s">
        <v>5097</v>
      </c>
      <c r="B3166" s="3" t="s">
        <v>5104</v>
      </c>
    </row>
    <row r="3167" spans="1:2">
      <c r="A3167" s="3" t="s">
        <v>5097</v>
      </c>
      <c r="B3167" s="3" t="s">
        <v>5105</v>
      </c>
    </row>
    <row r="3168" spans="1:2">
      <c r="A3168" s="3" t="s">
        <v>5106</v>
      </c>
      <c r="B3168" s="3" t="s">
        <v>5107</v>
      </c>
    </row>
    <row r="3169" spans="1:2">
      <c r="A3169" s="3" t="s">
        <v>5106</v>
      </c>
      <c r="B3169" s="3" t="s">
        <v>5108</v>
      </c>
    </row>
    <row r="3170" spans="1:2">
      <c r="A3170" s="3" t="s">
        <v>5106</v>
      </c>
      <c r="B3170" s="3" t="s">
        <v>5109</v>
      </c>
    </row>
    <row r="3171" spans="1:2">
      <c r="A3171" s="3" t="s">
        <v>5106</v>
      </c>
      <c r="B3171" s="3" t="s">
        <v>5110</v>
      </c>
    </row>
    <row r="3172" spans="1:2">
      <c r="A3172" s="3" t="s">
        <v>5106</v>
      </c>
      <c r="B3172" s="3" t="s">
        <v>5111</v>
      </c>
    </row>
    <row r="3173" spans="1:2">
      <c r="A3173" s="3" t="s">
        <v>5106</v>
      </c>
      <c r="B3173" s="3" t="s">
        <v>5112</v>
      </c>
    </row>
    <row r="3174" spans="1:2">
      <c r="A3174" s="3" t="s">
        <v>5106</v>
      </c>
      <c r="B3174" s="3" t="s">
        <v>5113</v>
      </c>
    </row>
    <row r="3175" spans="1:2">
      <c r="A3175" s="3" t="s">
        <v>5106</v>
      </c>
      <c r="B3175" s="3" t="s">
        <v>5114</v>
      </c>
    </row>
    <row r="3176" spans="1:2">
      <c r="A3176" s="3" t="s">
        <v>5106</v>
      </c>
      <c r="B3176" s="3" t="s">
        <v>5115</v>
      </c>
    </row>
    <row r="3177" spans="1:2">
      <c r="A3177" s="3" t="s">
        <v>5106</v>
      </c>
      <c r="B3177" s="3" t="s">
        <v>5116</v>
      </c>
    </row>
    <row r="3178" spans="1:2">
      <c r="A3178" s="3" t="s">
        <v>5106</v>
      </c>
      <c r="B3178" s="3" t="s">
        <v>5117</v>
      </c>
    </row>
    <row r="3179" spans="1:2">
      <c r="A3179" s="3" t="s">
        <v>5106</v>
      </c>
      <c r="B3179" s="3" t="s">
        <v>5118</v>
      </c>
    </row>
    <row r="3180" spans="1:2">
      <c r="A3180" s="3" t="s">
        <v>5106</v>
      </c>
      <c r="B3180" s="3" t="s">
        <v>5119</v>
      </c>
    </row>
    <row r="3181" spans="1:2">
      <c r="A3181" s="3" t="s">
        <v>5106</v>
      </c>
      <c r="B3181" s="3" t="s">
        <v>5120</v>
      </c>
    </row>
    <row r="3182" spans="1:2">
      <c r="A3182" s="3" t="s">
        <v>5106</v>
      </c>
      <c r="B3182" s="3" t="s">
        <v>5121</v>
      </c>
    </row>
    <row r="3183" spans="1:2">
      <c r="A3183" s="3" t="s">
        <v>5106</v>
      </c>
      <c r="B3183" s="3" t="s">
        <v>5122</v>
      </c>
    </row>
    <row r="3184" spans="1:2">
      <c r="A3184" s="3" t="s">
        <v>5123</v>
      </c>
      <c r="B3184" s="3" t="s">
        <v>5124</v>
      </c>
    </row>
    <row r="3185" spans="1:2">
      <c r="A3185" s="3" t="s">
        <v>5123</v>
      </c>
      <c r="B3185" s="3" t="s">
        <v>5125</v>
      </c>
    </row>
    <row r="3186" spans="1:2">
      <c r="A3186" s="3" t="s">
        <v>5123</v>
      </c>
      <c r="B3186" s="3" t="s">
        <v>5126</v>
      </c>
    </row>
    <row r="3187" spans="1:2">
      <c r="A3187" s="3" t="s">
        <v>5123</v>
      </c>
      <c r="B3187" s="3" t="s">
        <v>5127</v>
      </c>
    </row>
    <row r="3188" spans="1:2">
      <c r="A3188" s="3" t="s">
        <v>5123</v>
      </c>
      <c r="B3188" s="3" t="s">
        <v>5128</v>
      </c>
    </row>
    <row r="3189" spans="1:2">
      <c r="A3189" s="3" t="s">
        <v>5123</v>
      </c>
      <c r="B3189" s="3" t="s">
        <v>5129</v>
      </c>
    </row>
    <row r="3190" spans="1:2">
      <c r="A3190" s="3" t="s">
        <v>5123</v>
      </c>
      <c r="B3190" s="3" t="s">
        <v>5130</v>
      </c>
    </row>
    <row r="3191" spans="1:2">
      <c r="A3191" s="3" t="s">
        <v>5123</v>
      </c>
      <c r="B3191" s="3" t="s">
        <v>5131</v>
      </c>
    </row>
    <row r="3192" spans="1:2">
      <c r="A3192" s="3" t="s">
        <v>5132</v>
      </c>
      <c r="B3192" s="3" t="s">
        <v>5133</v>
      </c>
    </row>
    <row r="3193" spans="1:2">
      <c r="A3193" s="3" t="s">
        <v>5132</v>
      </c>
      <c r="B3193" s="3" t="s">
        <v>5134</v>
      </c>
    </row>
    <row r="3194" spans="1:2">
      <c r="A3194" s="3" t="s">
        <v>5132</v>
      </c>
      <c r="B3194" s="3" t="s">
        <v>5135</v>
      </c>
    </row>
    <row r="3195" spans="1:2">
      <c r="A3195" s="3" t="s">
        <v>5136</v>
      </c>
      <c r="B3195" s="3" t="s">
        <v>5137</v>
      </c>
    </row>
    <row r="3196" spans="1:2">
      <c r="A3196" s="3" t="s">
        <v>5136</v>
      </c>
      <c r="B3196" s="3" t="s">
        <v>5138</v>
      </c>
    </row>
    <row r="3197" spans="1:2">
      <c r="A3197" s="3" t="s">
        <v>5136</v>
      </c>
      <c r="B3197" s="3" t="s">
        <v>5139</v>
      </c>
    </row>
    <row r="3198" spans="1:2">
      <c r="A3198" s="3" t="s">
        <v>5136</v>
      </c>
      <c r="B3198" s="3" t="s">
        <v>5140</v>
      </c>
    </row>
    <row r="3199" spans="1:2">
      <c r="A3199" s="3" t="s">
        <v>5136</v>
      </c>
      <c r="B3199" s="3" t="s">
        <v>5141</v>
      </c>
    </row>
    <row r="3200" spans="1:2">
      <c r="A3200" s="3" t="s">
        <v>5136</v>
      </c>
      <c r="B3200" s="3" t="s">
        <v>5142</v>
      </c>
    </row>
    <row r="3201" spans="1:2">
      <c r="A3201" s="3" t="s">
        <v>5136</v>
      </c>
      <c r="B3201" s="3" t="s">
        <v>5143</v>
      </c>
    </row>
    <row r="3202" spans="1:2">
      <c r="A3202" s="3" t="s">
        <v>5136</v>
      </c>
      <c r="B3202" s="3" t="s">
        <v>5144</v>
      </c>
    </row>
    <row r="3203" spans="1:2">
      <c r="A3203" s="3" t="s">
        <v>5145</v>
      </c>
      <c r="B3203" s="3" t="s">
        <v>5146</v>
      </c>
    </row>
    <row r="3204" spans="1:2">
      <c r="A3204" s="3" t="s">
        <v>5145</v>
      </c>
      <c r="B3204" s="3" t="s">
        <v>5147</v>
      </c>
    </row>
    <row r="3205" spans="1:2">
      <c r="A3205" s="3" t="s">
        <v>5145</v>
      </c>
      <c r="B3205" s="3" t="s">
        <v>5148</v>
      </c>
    </row>
    <row r="3206" spans="1:2">
      <c r="A3206" s="3" t="s">
        <v>5145</v>
      </c>
      <c r="B3206" s="3" t="s">
        <v>5149</v>
      </c>
    </row>
    <row r="3207" spans="1:2">
      <c r="A3207" s="3" t="s">
        <v>5145</v>
      </c>
      <c r="B3207" s="3" t="s">
        <v>5150</v>
      </c>
    </row>
    <row r="3208" spans="1:2">
      <c r="A3208" s="3" t="s">
        <v>5145</v>
      </c>
      <c r="B3208" s="3" t="s">
        <v>5151</v>
      </c>
    </row>
    <row r="3209" spans="1:2">
      <c r="A3209" s="3" t="s">
        <v>5145</v>
      </c>
      <c r="B3209" s="3" t="s">
        <v>5152</v>
      </c>
    </row>
    <row r="3210" spans="1:2">
      <c r="A3210" s="3" t="s">
        <v>5145</v>
      </c>
      <c r="B3210" s="3" t="s">
        <v>5153</v>
      </c>
    </row>
    <row r="3211" spans="1:2">
      <c r="A3211" s="3" t="s">
        <v>5145</v>
      </c>
      <c r="B3211" s="3" t="s">
        <v>5154</v>
      </c>
    </row>
    <row r="3212" spans="1:2">
      <c r="A3212" s="3" t="s">
        <v>5145</v>
      </c>
      <c r="B3212" s="3" t="s">
        <v>5155</v>
      </c>
    </row>
    <row r="3213" spans="1:2">
      <c r="A3213" s="3" t="s">
        <v>5145</v>
      </c>
      <c r="B3213" s="3" t="s">
        <v>5156</v>
      </c>
    </row>
    <row r="3214" spans="1:2">
      <c r="A3214" s="3" t="s">
        <v>5145</v>
      </c>
      <c r="B3214" s="3" t="s">
        <v>5157</v>
      </c>
    </row>
    <row r="3215" spans="1:2">
      <c r="A3215" s="3" t="s">
        <v>5158</v>
      </c>
      <c r="B3215" s="3" t="s">
        <v>5159</v>
      </c>
    </row>
    <row r="3216" spans="1:2">
      <c r="A3216" s="3" t="s">
        <v>5158</v>
      </c>
      <c r="B3216" s="3" t="s">
        <v>5160</v>
      </c>
    </row>
    <row r="3217" spans="1:2">
      <c r="A3217" s="3" t="s">
        <v>5158</v>
      </c>
      <c r="B3217" s="3" t="s">
        <v>5161</v>
      </c>
    </row>
    <row r="3218" spans="1:2">
      <c r="A3218" s="3" t="s">
        <v>5158</v>
      </c>
      <c r="B3218" s="3" t="s">
        <v>5162</v>
      </c>
    </row>
    <row r="3219" spans="1:2">
      <c r="A3219" s="3" t="s">
        <v>5163</v>
      </c>
      <c r="B3219" s="3" t="s">
        <v>5164</v>
      </c>
    </row>
    <row r="3220" spans="1:2">
      <c r="A3220" s="3" t="s">
        <v>5163</v>
      </c>
      <c r="B3220" s="3" t="s">
        <v>5165</v>
      </c>
    </row>
    <row r="3221" spans="1:2">
      <c r="A3221" s="3" t="s">
        <v>5163</v>
      </c>
      <c r="B3221" s="3" t="s">
        <v>5166</v>
      </c>
    </row>
    <row r="3222" spans="1:2">
      <c r="A3222" s="3" t="s">
        <v>5167</v>
      </c>
      <c r="B3222" s="3" t="s">
        <v>5168</v>
      </c>
    </row>
    <row r="3223" spans="1:2">
      <c r="A3223" s="3" t="s">
        <v>5167</v>
      </c>
      <c r="B3223" s="3" t="s">
        <v>5169</v>
      </c>
    </row>
    <row r="3224" spans="1:2">
      <c r="A3224" s="3" t="s">
        <v>5167</v>
      </c>
      <c r="B3224" s="3" t="s">
        <v>5170</v>
      </c>
    </row>
    <row r="3225" spans="1:2">
      <c r="A3225" s="3" t="s">
        <v>5171</v>
      </c>
      <c r="B3225" s="3" t="s">
        <v>5172</v>
      </c>
    </row>
    <row r="3226" spans="1:2">
      <c r="A3226" s="3" t="s">
        <v>5171</v>
      </c>
      <c r="B3226" s="3" t="s">
        <v>5173</v>
      </c>
    </row>
    <row r="3227" spans="1:2">
      <c r="A3227" s="3" t="s">
        <v>5171</v>
      </c>
      <c r="B3227" s="3" t="s">
        <v>5174</v>
      </c>
    </row>
    <row r="3228" spans="1:2">
      <c r="A3228" s="3" t="s">
        <v>5171</v>
      </c>
      <c r="B3228" s="3" t="s">
        <v>5175</v>
      </c>
    </row>
    <row r="3229" spans="1:2">
      <c r="A3229" s="3" t="s">
        <v>5176</v>
      </c>
      <c r="B3229" s="3" t="s">
        <v>5177</v>
      </c>
    </row>
    <row r="3230" spans="1:2">
      <c r="A3230" s="3" t="s">
        <v>5176</v>
      </c>
      <c r="B3230" s="3" t="s">
        <v>5178</v>
      </c>
    </row>
    <row r="3231" spans="1:2">
      <c r="A3231" s="3" t="s">
        <v>5179</v>
      </c>
      <c r="B3231" s="3" t="s">
        <v>5180</v>
      </c>
    </row>
    <row r="3232" spans="1:2">
      <c r="A3232" s="3" t="s">
        <v>5179</v>
      </c>
      <c r="B3232" s="3" t="s">
        <v>5181</v>
      </c>
    </row>
    <row r="3233" spans="1:2">
      <c r="A3233" s="3" t="s">
        <v>5179</v>
      </c>
      <c r="B3233" s="3" t="s">
        <v>5182</v>
      </c>
    </row>
    <row r="3234" spans="1:2">
      <c r="A3234" s="3" t="s">
        <v>5183</v>
      </c>
      <c r="B3234" s="3" t="s">
        <v>5184</v>
      </c>
    </row>
    <row r="3235" spans="1:2">
      <c r="A3235" s="3" t="s">
        <v>5183</v>
      </c>
      <c r="B3235" s="3" t="s">
        <v>5185</v>
      </c>
    </row>
    <row r="3236" spans="1:2">
      <c r="A3236" s="3" t="s">
        <v>5183</v>
      </c>
      <c r="B3236" s="3" t="s">
        <v>5186</v>
      </c>
    </row>
    <row r="3237" spans="1:2">
      <c r="A3237" s="3" t="s">
        <v>5183</v>
      </c>
      <c r="B3237" s="3" t="s">
        <v>5187</v>
      </c>
    </row>
    <row r="3238" spans="1:2">
      <c r="A3238" s="3" t="s">
        <v>5183</v>
      </c>
      <c r="B3238" s="3" t="s">
        <v>5188</v>
      </c>
    </row>
    <row r="3239" spans="1:2">
      <c r="A3239" s="3" t="s">
        <v>5183</v>
      </c>
      <c r="B3239" s="3" t="s">
        <v>5189</v>
      </c>
    </row>
    <row r="3240" spans="1:2">
      <c r="A3240" s="3" t="s">
        <v>5183</v>
      </c>
      <c r="B3240" s="3" t="s">
        <v>5190</v>
      </c>
    </row>
    <row r="3241" spans="1:2">
      <c r="A3241" s="3" t="s">
        <v>5191</v>
      </c>
      <c r="B3241" s="3" t="s">
        <v>5192</v>
      </c>
    </row>
    <row r="3242" spans="1:2">
      <c r="A3242" s="3" t="s">
        <v>5191</v>
      </c>
      <c r="B3242" s="3" t="s">
        <v>5193</v>
      </c>
    </row>
    <row r="3243" spans="1:2">
      <c r="A3243" s="3" t="s">
        <v>5191</v>
      </c>
      <c r="B3243" s="3" t="s">
        <v>5194</v>
      </c>
    </row>
    <row r="3244" spans="1:2">
      <c r="A3244" s="3" t="s">
        <v>5191</v>
      </c>
      <c r="B3244" s="3" t="s">
        <v>5195</v>
      </c>
    </row>
    <row r="3245" spans="1:2">
      <c r="A3245" s="3" t="s">
        <v>5191</v>
      </c>
      <c r="B3245" s="3" t="s">
        <v>5196</v>
      </c>
    </row>
    <row r="3246" spans="1:2">
      <c r="A3246" s="3" t="s">
        <v>5191</v>
      </c>
      <c r="B3246" s="3" t="s">
        <v>5197</v>
      </c>
    </row>
    <row r="3247" spans="1:2">
      <c r="A3247" s="3" t="s">
        <v>5191</v>
      </c>
      <c r="B3247" s="3" t="s">
        <v>5198</v>
      </c>
    </row>
    <row r="3248" spans="1:2">
      <c r="A3248" s="3" t="s">
        <v>5191</v>
      </c>
      <c r="B3248" s="3" t="s">
        <v>5199</v>
      </c>
    </row>
    <row r="3249" spans="1:2">
      <c r="A3249" s="3" t="s">
        <v>5200</v>
      </c>
      <c r="B3249" s="3" t="s">
        <v>5201</v>
      </c>
    </row>
    <row r="3250" spans="1:2">
      <c r="A3250" s="3" t="s">
        <v>5200</v>
      </c>
      <c r="B3250" s="3" t="s">
        <v>5202</v>
      </c>
    </row>
    <row r="3251" spans="1:2">
      <c r="A3251" s="3" t="s">
        <v>5200</v>
      </c>
      <c r="B3251" s="3" t="s">
        <v>5203</v>
      </c>
    </row>
    <row r="3252" spans="1:2">
      <c r="A3252" s="3" t="s">
        <v>5200</v>
      </c>
      <c r="B3252" s="3" t="s">
        <v>5204</v>
      </c>
    </row>
    <row r="3253" spans="1:2">
      <c r="A3253" s="3" t="s">
        <v>5200</v>
      </c>
      <c r="B3253" s="3" t="s">
        <v>5205</v>
      </c>
    </row>
    <row r="3254" spans="1:2">
      <c r="A3254" s="3" t="s">
        <v>5200</v>
      </c>
      <c r="B3254" s="3" t="s">
        <v>5206</v>
      </c>
    </row>
    <row r="3255" spans="1:2">
      <c r="A3255" s="3" t="s">
        <v>5207</v>
      </c>
      <c r="B3255" s="3" t="s">
        <v>5208</v>
      </c>
    </row>
    <row r="3256" spans="1:2">
      <c r="A3256" s="3" t="s">
        <v>5207</v>
      </c>
      <c r="B3256" s="3" t="s">
        <v>5209</v>
      </c>
    </row>
    <row r="3257" spans="1:2">
      <c r="A3257" s="3" t="s">
        <v>5207</v>
      </c>
      <c r="B3257" s="3" t="s">
        <v>5210</v>
      </c>
    </row>
    <row r="3258" spans="1:2">
      <c r="A3258" s="3" t="s">
        <v>5211</v>
      </c>
      <c r="B3258" s="3" t="s">
        <v>5212</v>
      </c>
    </row>
    <row r="3259" spans="1:2">
      <c r="A3259" s="3" t="s">
        <v>5211</v>
      </c>
      <c r="B3259" s="3" t="s">
        <v>5213</v>
      </c>
    </row>
    <row r="3260" spans="1:2">
      <c r="A3260" s="3" t="s">
        <v>5211</v>
      </c>
      <c r="B3260" s="3" t="s">
        <v>5214</v>
      </c>
    </row>
    <row r="3261" spans="1:2">
      <c r="A3261" s="3" t="s">
        <v>5211</v>
      </c>
      <c r="B3261" s="3" t="s">
        <v>5215</v>
      </c>
    </row>
    <row r="3262" spans="1:2">
      <c r="A3262" s="3" t="s">
        <v>5216</v>
      </c>
      <c r="B3262" s="3" t="s">
        <v>5217</v>
      </c>
    </row>
    <row r="3263" spans="1:2">
      <c r="A3263" s="3" t="s">
        <v>5216</v>
      </c>
      <c r="B3263" s="3" t="s">
        <v>5218</v>
      </c>
    </row>
    <row r="3264" spans="1:2">
      <c r="A3264" s="3" t="s">
        <v>5216</v>
      </c>
      <c r="B3264" s="3" t="s">
        <v>5219</v>
      </c>
    </row>
    <row r="3265" spans="1:2">
      <c r="A3265" s="3" t="s">
        <v>5216</v>
      </c>
      <c r="B3265" s="3" t="s">
        <v>5220</v>
      </c>
    </row>
    <row r="3266" spans="1:2">
      <c r="A3266" s="3" t="s">
        <v>5221</v>
      </c>
      <c r="B3266" s="3" t="s">
        <v>5222</v>
      </c>
    </row>
    <row r="3267" spans="1:2">
      <c r="A3267" s="3" t="s">
        <v>5221</v>
      </c>
      <c r="B3267" s="3" t="s">
        <v>5223</v>
      </c>
    </row>
    <row r="3268" spans="1:2">
      <c r="A3268" s="3" t="s">
        <v>5221</v>
      </c>
      <c r="B3268" s="3" t="s">
        <v>5224</v>
      </c>
    </row>
    <row r="3269" spans="1:2">
      <c r="A3269" s="3" t="s">
        <v>5221</v>
      </c>
      <c r="B3269" s="3" t="s">
        <v>5225</v>
      </c>
    </row>
    <row r="3270" spans="1:2">
      <c r="A3270" s="3" t="s">
        <v>5226</v>
      </c>
      <c r="B3270" s="3" t="s">
        <v>5227</v>
      </c>
    </row>
    <row r="3271" spans="1:2">
      <c r="A3271" s="3" t="s">
        <v>5226</v>
      </c>
      <c r="B3271" s="3" t="s">
        <v>5228</v>
      </c>
    </row>
    <row r="3272" spans="1:2">
      <c r="A3272" s="3" t="s">
        <v>5226</v>
      </c>
      <c r="B3272" s="3" t="s">
        <v>5229</v>
      </c>
    </row>
    <row r="3273" spans="1:2">
      <c r="A3273" s="3" t="s">
        <v>5226</v>
      </c>
      <c r="B3273" s="3" t="s">
        <v>5230</v>
      </c>
    </row>
    <row r="3274" spans="1:2">
      <c r="A3274" s="3" t="s">
        <v>5226</v>
      </c>
      <c r="B3274" s="3" t="s">
        <v>5231</v>
      </c>
    </row>
    <row r="3275" spans="1:2">
      <c r="A3275" s="3" t="s">
        <v>5226</v>
      </c>
      <c r="B3275" s="3" t="s">
        <v>5232</v>
      </c>
    </row>
    <row r="3276" spans="1:2">
      <c r="A3276" s="3" t="s">
        <v>5233</v>
      </c>
      <c r="B3276" s="3" t="s">
        <v>5234</v>
      </c>
    </row>
    <row r="3277" spans="1:2">
      <c r="A3277" s="3" t="s">
        <v>5233</v>
      </c>
      <c r="B3277" s="3" t="s">
        <v>5235</v>
      </c>
    </row>
    <row r="3278" spans="1:2">
      <c r="A3278" s="3" t="s">
        <v>5233</v>
      </c>
      <c r="B3278" s="3" t="s">
        <v>5236</v>
      </c>
    </row>
    <row r="3279" spans="1:2">
      <c r="A3279" s="3" t="s">
        <v>5233</v>
      </c>
      <c r="B3279" s="3" t="s">
        <v>5237</v>
      </c>
    </row>
    <row r="3280" spans="1:2">
      <c r="A3280" s="3" t="s">
        <v>5233</v>
      </c>
      <c r="B3280" s="3" t="s">
        <v>5238</v>
      </c>
    </row>
    <row r="3281" spans="1:2">
      <c r="A3281" s="3" t="s">
        <v>5233</v>
      </c>
      <c r="B3281" s="3" t="s">
        <v>5239</v>
      </c>
    </row>
    <row r="3282" spans="1:2">
      <c r="A3282" s="3" t="s">
        <v>5233</v>
      </c>
      <c r="B3282" s="3" t="s">
        <v>5240</v>
      </c>
    </row>
    <row r="3283" spans="1:2">
      <c r="A3283" s="3" t="s">
        <v>5233</v>
      </c>
      <c r="B3283" s="3" t="s">
        <v>5241</v>
      </c>
    </row>
    <row r="3284" spans="1:2">
      <c r="A3284" s="3" t="s">
        <v>5242</v>
      </c>
      <c r="B3284" s="3" t="s">
        <v>2970</v>
      </c>
    </row>
    <row r="3285" spans="1:2">
      <c r="A3285" s="3" t="s">
        <v>5242</v>
      </c>
      <c r="B3285" s="3" t="s">
        <v>5243</v>
      </c>
    </row>
    <row r="3286" spans="1:2">
      <c r="A3286" s="3" t="s">
        <v>5242</v>
      </c>
      <c r="B3286" s="3" t="s">
        <v>5244</v>
      </c>
    </row>
    <row r="3287" spans="1:2">
      <c r="A3287" s="3" t="s">
        <v>5242</v>
      </c>
      <c r="B3287" s="3" t="s">
        <v>5245</v>
      </c>
    </row>
    <row r="3288" spans="1:2">
      <c r="A3288" s="3" t="s">
        <v>5242</v>
      </c>
      <c r="B3288" s="3" t="s">
        <v>5246</v>
      </c>
    </row>
    <row r="3289" spans="1:2">
      <c r="A3289" s="3" t="s">
        <v>5242</v>
      </c>
      <c r="B3289" s="3" t="s">
        <v>5247</v>
      </c>
    </row>
    <row r="3290" spans="1:2">
      <c r="A3290" s="3" t="s">
        <v>5242</v>
      </c>
      <c r="B3290" s="3" t="s">
        <v>5248</v>
      </c>
    </row>
    <row r="3291" spans="1:2">
      <c r="A3291" s="3" t="s">
        <v>5242</v>
      </c>
      <c r="B3291" s="3" t="s">
        <v>5249</v>
      </c>
    </row>
    <row r="3292" spans="1:2">
      <c r="A3292" s="3" t="s">
        <v>5250</v>
      </c>
      <c r="B3292" s="3" t="s">
        <v>5251</v>
      </c>
    </row>
    <row r="3293" spans="1:2">
      <c r="A3293" s="3" t="s">
        <v>5250</v>
      </c>
      <c r="B3293" s="3" t="s">
        <v>5252</v>
      </c>
    </row>
    <row r="3294" spans="1:2">
      <c r="A3294" s="3" t="s">
        <v>5250</v>
      </c>
      <c r="B3294" s="3" t="s">
        <v>5253</v>
      </c>
    </row>
    <row r="3295" spans="1:2">
      <c r="A3295" s="3" t="s">
        <v>5250</v>
      </c>
      <c r="B3295" s="3" t="s">
        <v>5254</v>
      </c>
    </row>
    <row r="3296" spans="1:2">
      <c r="A3296" s="3" t="s">
        <v>5250</v>
      </c>
      <c r="B3296" s="3" t="s">
        <v>5255</v>
      </c>
    </row>
    <row r="3297" spans="1:2">
      <c r="A3297" s="3" t="s">
        <v>5256</v>
      </c>
      <c r="B3297" s="3" t="s">
        <v>5257</v>
      </c>
    </row>
    <row r="3298" spans="1:2">
      <c r="A3298" s="3" t="s">
        <v>5256</v>
      </c>
      <c r="B3298" s="3" t="s">
        <v>5258</v>
      </c>
    </row>
    <row r="3299" spans="1:2">
      <c r="A3299" s="3" t="s">
        <v>5256</v>
      </c>
      <c r="B3299" s="3" t="s">
        <v>5259</v>
      </c>
    </row>
    <row r="3300" spans="1:2">
      <c r="A3300" s="3" t="s">
        <v>5256</v>
      </c>
      <c r="B3300" s="3" t="s">
        <v>5260</v>
      </c>
    </row>
    <row r="3301" spans="1:2">
      <c r="A3301" s="3" t="s">
        <v>5261</v>
      </c>
      <c r="B3301" s="3" t="s">
        <v>5262</v>
      </c>
    </row>
    <row r="3302" spans="1:2">
      <c r="A3302" s="3" t="s">
        <v>5261</v>
      </c>
      <c r="B3302" s="3" t="s">
        <v>5263</v>
      </c>
    </row>
    <row r="3303" spans="1:2">
      <c r="A3303" s="3" t="s">
        <v>5261</v>
      </c>
      <c r="B3303" s="3" t="s">
        <v>5264</v>
      </c>
    </row>
    <row r="3304" spans="1:2">
      <c r="A3304" s="3" t="s">
        <v>5261</v>
      </c>
      <c r="B3304" s="3" t="s">
        <v>5265</v>
      </c>
    </row>
    <row r="3305" spans="1:2">
      <c r="A3305" s="3" t="s">
        <v>5266</v>
      </c>
      <c r="B3305" s="3" t="s">
        <v>5267</v>
      </c>
    </row>
    <row r="3306" spans="1:2">
      <c r="A3306" s="3" t="s">
        <v>5266</v>
      </c>
      <c r="B3306" s="3" t="s">
        <v>5268</v>
      </c>
    </row>
    <row r="3307" spans="1:2">
      <c r="A3307" s="3" t="s">
        <v>5266</v>
      </c>
      <c r="B3307" s="3" t="s">
        <v>5269</v>
      </c>
    </row>
    <row r="3308" spans="1:2">
      <c r="A3308" s="3" t="s">
        <v>5266</v>
      </c>
      <c r="B3308" s="3" t="s">
        <v>5270</v>
      </c>
    </row>
    <row r="3309" spans="1:2">
      <c r="A3309" s="3" t="s">
        <v>5266</v>
      </c>
      <c r="B3309" s="3" t="s">
        <v>5271</v>
      </c>
    </row>
    <row r="3310" spans="1:2">
      <c r="A3310" s="3" t="s">
        <v>5266</v>
      </c>
      <c r="B3310" s="3" t="s">
        <v>5272</v>
      </c>
    </row>
    <row r="3311" spans="1:2">
      <c r="A3311" s="3" t="s">
        <v>5266</v>
      </c>
      <c r="B3311" s="3" t="s">
        <v>5273</v>
      </c>
    </row>
    <row r="3312" spans="1:2">
      <c r="A3312" s="3" t="s">
        <v>5266</v>
      </c>
      <c r="B3312" s="3" t="s">
        <v>5274</v>
      </c>
    </row>
    <row r="3313" spans="1:2">
      <c r="A3313" s="3" t="s">
        <v>5275</v>
      </c>
      <c r="B3313" s="3" t="s">
        <v>5276</v>
      </c>
    </row>
    <row r="3314" spans="1:2">
      <c r="A3314" s="3" t="s">
        <v>5275</v>
      </c>
      <c r="B3314" s="3" t="s">
        <v>5277</v>
      </c>
    </row>
    <row r="3315" spans="1:2">
      <c r="A3315" s="3" t="s">
        <v>5275</v>
      </c>
      <c r="B3315" s="3" t="s">
        <v>5278</v>
      </c>
    </row>
    <row r="3316" spans="1:2">
      <c r="A3316" s="3" t="s">
        <v>5275</v>
      </c>
      <c r="B3316" s="3" t="s">
        <v>5279</v>
      </c>
    </row>
    <row r="3317" spans="1:2">
      <c r="A3317" s="3" t="s">
        <v>5280</v>
      </c>
      <c r="B3317" s="3" t="s">
        <v>5281</v>
      </c>
    </row>
    <row r="3318" spans="1:2">
      <c r="A3318" s="3" t="s">
        <v>5280</v>
      </c>
      <c r="B3318" s="3" t="s">
        <v>5282</v>
      </c>
    </row>
    <row r="3319" spans="1:2">
      <c r="A3319" s="3" t="s">
        <v>5280</v>
      </c>
      <c r="B3319" s="3" t="s">
        <v>5283</v>
      </c>
    </row>
    <row r="3320" spans="1:2">
      <c r="A3320" s="3" t="s">
        <v>5280</v>
      </c>
      <c r="B3320" s="3" t="s">
        <v>5284</v>
      </c>
    </row>
    <row r="3321" spans="1:2">
      <c r="A3321" s="3" t="s">
        <v>5280</v>
      </c>
      <c r="B3321" s="3" t="s">
        <v>5285</v>
      </c>
    </row>
    <row r="3322" spans="1:2">
      <c r="A3322" s="3" t="s">
        <v>5280</v>
      </c>
      <c r="B3322" s="3" t="s">
        <v>5286</v>
      </c>
    </row>
    <row r="3323" spans="1:2">
      <c r="A3323" s="3" t="s">
        <v>5280</v>
      </c>
      <c r="B3323" s="3" t="s">
        <v>5287</v>
      </c>
    </row>
    <row r="3324" spans="1:2">
      <c r="A3324" s="3" t="s">
        <v>5280</v>
      </c>
      <c r="B3324" s="3" t="s">
        <v>5288</v>
      </c>
    </row>
    <row r="3325" spans="1:2">
      <c r="A3325" s="3" t="s">
        <v>5289</v>
      </c>
      <c r="B3325" s="3" t="s">
        <v>5290</v>
      </c>
    </row>
    <row r="3326" spans="1:2">
      <c r="A3326" s="3" t="s">
        <v>5289</v>
      </c>
      <c r="B3326" s="3" t="s">
        <v>5291</v>
      </c>
    </row>
    <row r="3327" spans="1:2">
      <c r="A3327" s="3" t="s">
        <v>5292</v>
      </c>
      <c r="B3327" s="3" t="s">
        <v>5293</v>
      </c>
    </row>
    <row r="3328" spans="1:2">
      <c r="A3328" s="3" t="s">
        <v>5292</v>
      </c>
      <c r="B3328" s="3" t="s">
        <v>5294</v>
      </c>
    </row>
    <row r="3329" spans="1:2">
      <c r="A3329" s="3" t="s">
        <v>5292</v>
      </c>
      <c r="B3329" s="3" t="s">
        <v>5295</v>
      </c>
    </row>
    <row r="3330" spans="1:2">
      <c r="A3330" s="3" t="s">
        <v>5292</v>
      </c>
      <c r="B3330" s="3" t="s">
        <v>5296</v>
      </c>
    </row>
    <row r="3331" spans="1:2">
      <c r="A3331" s="3" t="s">
        <v>5297</v>
      </c>
      <c r="B3331" s="3" t="s">
        <v>5298</v>
      </c>
    </row>
    <row r="3332" spans="1:2">
      <c r="A3332" s="3" t="s">
        <v>5297</v>
      </c>
      <c r="B3332" s="3" t="s">
        <v>5299</v>
      </c>
    </row>
    <row r="3333" spans="1:2">
      <c r="A3333" s="3" t="s">
        <v>5297</v>
      </c>
      <c r="B3333" s="3" t="s">
        <v>5300</v>
      </c>
    </row>
    <row r="3334" spans="1:2">
      <c r="A3334" s="3" t="s">
        <v>5297</v>
      </c>
      <c r="B3334" s="3" t="s">
        <v>5301</v>
      </c>
    </row>
    <row r="3335" spans="1:2">
      <c r="A3335" s="3" t="s">
        <v>5297</v>
      </c>
      <c r="B3335" s="3" t="s">
        <v>5302</v>
      </c>
    </row>
    <row r="3336" spans="1:2">
      <c r="A3336" s="3" t="s">
        <v>5303</v>
      </c>
      <c r="B3336" s="3" t="s">
        <v>5304</v>
      </c>
    </row>
    <row r="3337" spans="1:2">
      <c r="A3337" s="3" t="s">
        <v>5303</v>
      </c>
      <c r="B3337" s="3" t="s">
        <v>5305</v>
      </c>
    </row>
    <row r="3338" spans="1:2">
      <c r="A3338" s="3" t="s">
        <v>5303</v>
      </c>
      <c r="B3338" s="3" t="s">
        <v>5306</v>
      </c>
    </row>
    <row r="3339" spans="1:2">
      <c r="A3339" s="3" t="s">
        <v>5303</v>
      </c>
      <c r="B3339" s="3" t="s">
        <v>5307</v>
      </c>
    </row>
    <row r="3340" spans="1:2">
      <c r="A3340" s="3" t="s">
        <v>5303</v>
      </c>
      <c r="B3340" s="3" t="s">
        <v>5308</v>
      </c>
    </row>
    <row r="3341" spans="1:2">
      <c r="A3341" s="3" t="s">
        <v>5303</v>
      </c>
      <c r="B3341" s="3" t="s">
        <v>5309</v>
      </c>
    </row>
    <row r="3342" spans="1:2">
      <c r="A3342" s="3" t="s">
        <v>5303</v>
      </c>
      <c r="B3342" s="3" t="s">
        <v>5310</v>
      </c>
    </row>
    <row r="3343" spans="1:2">
      <c r="A3343" s="3" t="s">
        <v>5303</v>
      </c>
      <c r="B3343" s="3" t="s">
        <v>5311</v>
      </c>
    </row>
    <row r="3344" spans="1:2">
      <c r="A3344" s="3" t="s">
        <v>5303</v>
      </c>
      <c r="B3344" s="3" t="s">
        <v>5312</v>
      </c>
    </row>
    <row r="3345" spans="1:2">
      <c r="A3345" s="3" t="s">
        <v>5303</v>
      </c>
      <c r="B3345" s="3" t="s">
        <v>5313</v>
      </c>
    </row>
    <row r="3346" spans="1:2">
      <c r="A3346" s="3" t="s">
        <v>5303</v>
      </c>
      <c r="B3346" s="3" t="s">
        <v>5314</v>
      </c>
    </row>
    <row r="3347" spans="1:2">
      <c r="A3347" s="3" t="s">
        <v>5315</v>
      </c>
      <c r="B3347" s="3" t="s">
        <v>5316</v>
      </c>
    </row>
    <row r="3348" spans="1:2">
      <c r="A3348" s="3" t="s">
        <v>5315</v>
      </c>
      <c r="B3348" s="3" t="s">
        <v>5317</v>
      </c>
    </row>
    <row r="3349" spans="1:2">
      <c r="A3349" s="3" t="s">
        <v>5315</v>
      </c>
      <c r="B3349" s="3" t="s">
        <v>5318</v>
      </c>
    </row>
    <row r="3350" spans="1:2">
      <c r="A3350" s="3" t="s">
        <v>5315</v>
      </c>
      <c r="B3350" s="3" t="s">
        <v>5319</v>
      </c>
    </row>
    <row r="3351" spans="1:2">
      <c r="A3351" s="3" t="s">
        <v>5315</v>
      </c>
      <c r="B3351" s="3" t="s">
        <v>5320</v>
      </c>
    </row>
    <row r="3352" spans="1:2">
      <c r="A3352" s="3" t="s">
        <v>5315</v>
      </c>
      <c r="B3352" s="3" t="s">
        <v>5321</v>
      </c>
    </row>
    <row r="3353" spans="1:2">
      <c r="A3353" s="3" t="s">
        <v>5315</v>
      </c>
      <c r="B3353" s="3" t="s">
        <v>5322</v>
      </c>
    </row>
    <row r="3354" spans="1:2">
      <c r="A3354" s="3" t="s">
        <v>5315</v>
      </c>
      <c r="B3354" s="3" t="s">
        <v>5323</v>
      </c>
    </row>
    <row r="3355" spans="1:2">
      <c r="A3355" s="3" t="s">
        <v>5324</v>
      </c>
      <c r="B3355" s="3" t="s">
        <v>5325</v>
      </c>
    </row>
    <row r="3356" spans="1:2">
      <c r="A3356" s="3" t="s">
        <v>5324</v>
      </c>
      <c r="B3356" s="3" t="s">
        <v>5326</v>
      </c>
    </row>
    <row r="3357" spans="1:2">
      <c r="A3357" s="3" t="s">
        <v>5324</v>
      </c>
      <c r="B3357" s="3" t="s">
        <v>5327</v>
      </c>
    </row>
    <row r="3358" spans="1:2">
      <c r="A3358" s="3" t="s">
        <v>5324</v>
      </c>
      <c r="B3358" s="3" t="s">
        <v>5328</v>
      </c>
    </row>
    <row r="3359" spans="1:2">
      <c r="A3359" s="3" t="s">
        <v>5329</v>
      </c>
      <c r="B3359" s="3" t="s">
        <v>5330</v>
      </c>
    </row>
    <row r="3360" spans="1:2">
      <c r="A3360" s="3" t="s">
        <v>5329</v>
      </c>
      <c r="B3360" s="3" t="s">
        <v>5331</v>
      </c>
    </row>
    <row r="3361" spans="1:2">
      <c r="A3361" s="3" t="s">
        <v>5329</v>
      </c>
      <c r="B3361" s="3" t="s">
        <v>5332</v>
      </c>
    </row>
    <row r="3362" spans="1:2">
      <c r="A3362" s="3" t="s">
        <v>5329</v>
      </c>
      <c r="B3362" s="3" t="s">
        <v>5333</v>
      </c>
    </row>
    <row r="3363" spans="1:2">
      <c r="A3363" s="3" t="s">
        <v>5334</v>
      </c>
      <c r="B3363" s="3" t="s">
        <v>5335</v>
      </c>
    </row>
    <row r="3364" spans="1:2">
      <c r="A3364" s="3" t="s">
        <v>5334</v>
      </c>
      <c r="B3364" s="3" t="s">
        <v>5336</v>
      </c>
    </row>
    <row r="3365" spans="1:2">
      <c r="A3365" s="3" t="s">
        <v>5337</v>
      </c>
      <c r="B3365" s="3" t="s">
        <v>5338</v>
      </c>
    </row>
    <row r="3366" spans="1:2">
      <c r="A3366" s="3" t="s">
        <v>5337</v>
      </c>
      <c r="B3366" s="3" t="s">
        <v>5339</v>
      </c>
    </row>
    <row r="3367" spans="1:2">
      <c r="A3367" s="3" t="s">
        <v>5337</v>
      </c>
      <c r="B3367" s="3" t="s">
        <v>5340</v>
      </c>
    </row>
    <row r="3368" spans="1:2">
      <c r="A3368" s="3" t="s">
        <v>5337</v>
      </c>
      <c r="B3368" s="3" t="s">
        <v>5341</v>
      </c>
    </row>
    <row r="3369" spans="1:2">
      <c r="A3369" s="3" t="s">
        <v>5337</v>
      </c>
      <c r="B3369" s="3" t="s">
        <v>5342</v>
      </c>
    </row>
    <row r="3370" spans="1:2">
      <c r="A3370" s="3" t="s">
        <v>5337</v>
      </c>
      <c r="B3370" s="3" t="s">
        <v>5343</v>
      </c>
    </row>
    <row r="3371" spans="1:2">
      <c r="A3371" s="3" t="s">
        <v>5337</v>
      </c>
      <c r="B3371" s="3" t="s">
        <v>5344</v>
      </c>
    </row>
    <row r="3372" spans="1:2">
      <c r="A3372" s="3" t="s">
        <v>5345</v>
      </c>
      <c r="B3372" s="3" t="s">
        <v>5346</v>
      </c>
    </row>
    <row r="3373" spans="1:2">
      <c r="A3373" s="3" t="s">
        <v>5345</v>
      </c>
      <c r="B3373" s="3" t="s">
        <v>5347</v>
      </c>
    </row>
    <row r="3374" spans="1:2">
      <c r="A3374" s="3" t="s">
        <v>5348</v>
      </c>
      <c r="B3374" s="3" t="s">
        <v>5349</v>
      </c>
    </row>
    <row r="3375" spans="1:2">
      <c r="A3375" s="3" t="s">
        <v>5348</v>
      </c>
      <c r="B3375" s="3" t="s">
        <v>5350</v>
      </c>
    </row>
    <row r="3376" spans="1:2">
      <c r="A3376" s="3" t="s">
        <v>5351</v>
      </c>
      <c r="B3376" s="3" t="s">
        <v>5352</v>
      </c>
    </row>
    <row r="3377" spans="1:2">
      <c r="A3377" s="3" t="s">
        <v>5351</v>
      </c>
      <c r="B3377" s="3" t="s">
        <v>5353</v>
      </c>
    </row>
    <row r="3378" spans="1:2">
      <c r="A3378" s="3" t="s">
        <v>5351</v>
      </c>
      <c r="B3378" s="3" t="s">
        <v>5354</v>
      </c>
    </row>
    <row r="3379" spans="1:2">
      <c r="A3379" s="3" t="s">
        <v>5351</v>
      </c>
      <c r="B3379" s="3" t="s">
        <v>5355</v>
      </c>
    </row>
    <row r="3380" spans="1:2">
      <c r="A3380" s="3" t="s">
        <v>5351</v>
      </c>
      <c r="B3380" s="3" t="s">
        <v>5356</v>
      </c>
    </row>
    <row r="3381" spans="1:2">
      <c r="A3381" s="3" t="s">
        <v>5351</v>
      </c>
      <c r="B3381" s="3" t="s">
        <v>5357</v>
      </c>
    </row>
    <row r="3382" spans="1:2">
      <c r="A3382" s="3" t="s">
        <v>5351</v>
      </c>
      <c r="B3382" s="3" t="s">
        <v>5358</v>
      </c>
    </row>
    <row r="3383" spans="1:2">
      <c r="A3383" s="3" t="s">
        <v>5351</v>
      </c>
      <c r="B3383" s="3" t="s">
        <v>5359</v>
      </c>
    </row>
    <row r="3384" spans="1:2">
      <c r="A3384" s="3" t="s">
        <v>5360</v>
      </c>
      <c r="B3384" s="3" t="s">
        <v>5361</v>
      </c>
    </row>
    <row r="3385" spans="1:2">
      <c r="A3385" s="3" t="s">
        <v>5360</v>
      </c>
      <c r="B3385" s="3" t="s">
        <v>5362</v>
      </c>
    </row>
    <row r="3386" spans="1:2">
      <c r="A3386" s="3" t="s">
        <v>5360</v>
      </c>
      <c r="B3386" s="3" t="s">
        <v>5363</v>
      </c>
    </row>
    <row r="3387" spans="1:2">
      <c r="A3387" s="3" t="s">
        <v>5360</v>
      </c>
      <c r="B3387" s="3" t="s">
        <v>5364</v>
      </c>
    </row>
    <row r="3388" spans="1:2">
      <c r="A3388" s="3" t="s">
        <v>5365</v>
      </c>
      <c r="B3388" s="3" t="s">
        <v>5366</v>
      </c>
    </row>
    <row r="3389" spans="1:2">
      <c r="A3389" s="3" t="s">
        <v>5365</v>
      </c>
      <c r="B3389" s="3" t="s">
        <v>5367</v>
      </c>
    </row>
    <row r="3390" spans="1:2">
      <c r="A3390" s="3" t="s">
        <v>5365</v>
      </c>
      <c r="B3390" s="3" t="s">
        <v>5368</v>
      </c>
    </row>
    <row r="3391" spans="1:2">
      <c r="A3391" s="3" t="s">
        <v>5365</v>
      </c>
      <c r="B3391" s="3" t="s">
        <v>5369</v>
      </c>
    </row>
    <row r="3392" spans="1:2">
      <c r="A3392" s="3" t="s">
        <v>5370</v>
      </c>
      <c r="B3392" s="3" t="s">
        <v>5371</v>
      </c>
    </row>
    <row r="3393" spans="1:2">
      <c r="A3393" s="3" t="s">
        <v>5370</v>
      </c>
      <c r="B3393" s="3" t="s">
        <v>5372</v>
      </c>
    </row>
    <row r="3394" spans="1:2">
      <c r="A3394" s="3" t="s">
        <v>5370</v>
      </c>
      <c r="B3394" s="3" t="s">
        <v>5373</v>
      </c>
    </row>
    <row r="3395" spans="1:2">
      <c r="A3395" s="3" t="s">
        <v>5374</v>
      </c>
      <c r="B3395" s="3" t="s">
        <v>5375</v>
      </c>
    </row>
    <row r="3396" spans="1:2">
      <c r="A3396" s="3" t="s">
        <v>5374</v>
      </c>
      <c r="B3396" s="3" t="s">
        <v>5376</v>
      </c>
    </row>
    <row r="3397" spans="1:2">
      <c r="A3397" s="3" t="s">
        <v>5374</v>
      </c>
      <c r="B3397" s="3" t="s">
        <v>5377</v>
      </c>
    </row>
    <row r="3398" spans="1:2">
      <c r="A3398" s="3" t="s">
        <v>5374</v>
      </c>
      <c r="B3398" s="3" t="s">
        <v>5378</v>
      </c>
    </row>
    <row r="3399" spans="1:2">
      <c r="A3399" s="3" t="s">
        <v>5379</v>
      </c>
      <c r="B3399" s="3" t="s">
        <v>5380</v>
      </c>
    </row>
    <row r="3400" spans="1:2">
      <c r="A3400" s="3" t="s">
        <v>5379</v>
      </c>
      <c r="B3400" s="3" t="s">
        <v>5381</v>
      </c>
    </row>
    <row r="3401" spans="1:2">
      <c r="A3401" s="3" t="s">
        <v>5382</v>
      </c>
      <c r="B3401" s="3" t="s">
        <v>5383</v>
      </c>
    </row>
    <row r="3402" spans="1:2">
      <c r="A3402" s="3" t="s">
        <v>5382</v>
      </c>
      <c r="B3402" s="3" t="s">
        <v>5384</v>
      </c>
    </row>
    <row r="3403" spans="1:2">
      <c r="A3403" s="3" t="s">
        <v>5382</v>
      </c>
      <c r="B3403" s="3" t="s">
        <v>5385</v>
      </c>
    </row>
    <row r="3404" spans="1:2">
      <c r="A3404" s="3" t="s">
        <v>5382</v>
      </c>
      <c r="B3404" s="3" t="s">
        <v>5386</v>
      </c>
    </row>
    <row r="3405" spans="1:2">
      <c r="A3405" s="3" t="s">
        <v>5382</v>
      </c>
      <c r="B3405" s="3" t="s">
        <v>5387</v>
      </c>
    </row>
    <row r="3406" spans="1:2">
      <c r="A3406" s="3" t="s">
        <v>5388</v>
      </c>
      <c r="B3406" s="3" t="s">
        <v>1764</v>
      </c>
    </row>
    <row r="3407" spans="1:2">
      <c r="A3407" s="3" t="s">
        <v>5388</v>
      </c>
      <c r="B3407" s="3" t="s">
        <v>5389</v>
      </c>
    </row>
    <row r="3408" spans="1:2">
      <c r="A3408" s="3" t="s">
        <v>5388</v>
      </c>
      <c r="B3408" s="3" t="s">
        <v>5390</v>
      </c>
    </row>
    <row r="3409" spans="1:2">
      <c r="A3409" s="3" t="s">
        <v>5388</v>
      </c>
      <c r="B3409" s="3" t="s">
        <v>5391</v>
      </c>
    </row>
    <row r="3410" spans="1:2">
      <c r="A3410" s="3" t="s">
        <v>5388</v>
      </c>
      <c r="B3410" s="3" t="s">
        <v>5392</v>
      </c>
    </row>
    <row r="3411" spans="1:2">
      <c r="A3411" s="3" t="s">
        <v>5388</v>
      </c>
      <c r="B3411" s="3" t="s">
        <v>5393</v>
      </c>
    </row>
    <row r="3412" spans="1:2">
      <c r="A3412" s="3" t="s">
        <v>5394</v>
      </c>
      <c r="B3412" s="3" t="s">
        <v>5395</v>
      </c>
    </row>
    <row r="3413" spans="1:2">
      <c r="A3413" s="3" t="s">
        <v>5394</v>
      </c>
      <c r="B3413" s="3" t="s">
        <v>5396</v>
      </c>
    </row>
    <row r="3414" spans="1:2">
      <c r="A3414" s="3" t="s">
        <v>5397</v>
      </c>
      <c r="B3414" s="3" t="s">
        <v>5398</v>
      </c>
    </row>
    <row r="3415" spans="1:2">
      <c r="A3415" s="3" t="s">
        <v>5397</v>
      </c>
      <c r="B3415" s="3" t="s">
        <v>5399</v>
      </c>
    </row>
    <row r="3416" spans="1:2">
      <c r="A3416" s="3" t="s">
        <v>5400</v>
      </c>
      <c r="B3416" s="3" t="s">
        <v>5401</v>
      </c>
    </row>
    <row r="3417" spans="1:2">
      <c r="A3417" s="3" t="s">
        <v>5400</v>
      </c>
      <c r="B3417" s="3" t="s">
        <v>5402</v>
      </c>
    </row>
    <row r="3418" spans="1:2">
      <c r="A3418" s="3" t="s">
        <v>5400</v>
      </c>
      <c r="B3418" s="3" t="s">
        <v>5403</v>
      </c>
    </row>
    <row r="3419" spans="1:2">
      <c r="A3419" s="3" t="s">
        <v>5400</v>
      </c>
      <c r="B3419" s="3" t="s">
        <v>5404</v>
      </c>
    </row>
    <row r="3420" spans="1:2">
      <c r="A3420" s="3" t="s">
        <v>5400</v>
      </c>
      <c r="B3420" s="3" t="s">
        <v>5405</v>
      </c>
    </row>
    <row r="3421" spans="1:2">
      <c r="A3421" s="3" t="s">
        <v>5400</v>
      </c>
      <c r="B3421" s="3" t="s">
        <v>5406</v>
      </c>
    </row>
    <row r="3422" spans="1:2">
      <c r="A3422" s="3" t="s">
        <v>5400</v>
      </c>
      <c r="B3422" s="3" t="s">
        <v>5407</v>
      </c>
    </row>
    <row r="3423" spans="1:2">
      <c r="A3423" s="3" t="s">
        <v>5400</v>
      </c>
      <c r="B3423" s="3" t="s">
        <v>5408</v>
      </c>
    </row>
    <row r="3424" spans="1:2">
      <c r="A3424" s="3" t="s">
        <v>5400</v>
      </c>
      <c r="B3424" s="3" t="s">
        <v>5409</v>
      </c>
    </row>
    <row r="3425" spans="1:2">
      <c r="A3425" s="3" t="s">
        <v>5400</v>
      </c>
      <c r="B3425" s="3" t="s">
        <v>5410</v>
      </c>
    </row>
    <row r="3426" spans="1:2">
      <c r="A3426" s="3" t="s">
        <v>5400</v>
      </c>
      <c r="B3426" s="3" t="s">
        <v>5411</v>
      </c>
    </row>
    <row r="3427" spans="1:2">
      <c r="A3427" s="3" t="s">
        <v>5412</v>
      </c>
      <c r="B3427" s="3" t="s">
        <v>5413</v>
      </c>
    </row>
    <row r="3428" spans="1:2">
      <c r="A3428" s="3" t="s">
        <v>5412</v>
      </c>
      <c r="B3428" s="3" t="s">
        <v>5414</v>
      </c>
    </row>
    <row r="3429" spans="1:2">
      <c r="A3429" s="3" t="s">
        <v>5412</v>
      </c>
      <c r="B3429" s="3" t="s">
        <v>5415</v>
      </c>
    </row>
    <row r="3430" spans="1:2">
      <c r="A3430" s="3" t="s">
        <v>5412</v>
      </c>
      <c r="B3430" s="3" t="s">
        <v>5416</v>
      </c>
    </row>
    <row r="3431" spans="1:2">
      <c r="A3431" s="3" t="s">
        <v>5412</v>
      </c>
      <c r="B3431" s="3" t="s">
        <v>5417</v>
      </c>
    </row>
    <row r="3432" spans="1:2">
      <c r="A3432" s="3" t="s">
        <v>5412</v>
      </c>
      <c r="B3432" s="3" t="s">
        <v>5418</v>
      </c>
    </row>
    <row r="3433" spans="1:2">
      <c r="A3433" s="3" t="s">
        <v>5412</v>
      </c>
      <c r="B3433" s="3" t="s">
        <v>5419</v>
      </c>
    </row>
    <row r="3434" spans="1:2">
      <c r="A3434" s="3" t="s">
        <v>5412</v>
      </c>
      <c r="B3434" s="3" t="s">
        <v>5420</v>
      </c>
    </row>
    <row r="3435" spans="1:2">
      <c r="A3435" s="3" t="s">
        <v>5412</v>
      </c>
      <c r="B3435" s="3" t="s">
        <v>5421</v>
      </c>
    </row>
    <row r="3436" spans="1:2">
      <c r="A3436" s="3" t="s">
        <v>5412</v>
      </c>
      <c r="B3436" s="3" t="s">
        <v>5422</v>
      </c>
    </row>
    <row r="3437" spans="1:2">
      <c r="A3437" s="3" t="s">
        <v>5412</v>
      </c>
      <c r="B3437" s="3" t="s">
        <v>5423</v>
      </c>
    </row>
    <row r="3438" spans="1:2">
      <c r="A3438" s="3" t="s">
        <v>5412</v>
      </c>
      <c r="B3438" s="3" t="s">
        <v>5424</v>
      </c>
    </row>
    <row r="3439" spans="1:2">
      <c r="A3439" s="3" t="s">
        <v>5412</v>
      </c>
      <c r="B3439" s="3" t="s">
        <v>5425</v>
      </c>
    </row>
    <row r="3440" spans="1:2">
      <c r="A3440" s="3" t="s">
        <v>5412</v>
      </c>
      <c r="B3440" s="3" t="s">
        <v>5426</v>
      </c>
    </row>
    <row r="3441" spans="1:2">
      <c r="A3441" s="3" t="s">
        <v>5412</v>
      </c>
      <c r="B3441" s="3" t="s">
        <v>5427</v>
      </c>
    </row>
    <row r="3442" spans="1:2">
      <c r="A3442" s="3" t="s">
        <v>5412</v>
      </c>
      <c r="B3442" s="3" t="s">
        <v>5428</v>
      </c>
    </row>
    <row r="3443" spans="1:2">
      <c r="A3443" s="3" t="s">
        <v>5412</v>
      </c>
      <c r="B3443" s="3" t="s">
        <v>5429</v>
      </c>
    </row>
    <row r="3444" spans="1:2">
      <c r="A3444" s="3" t="s">
        <v>5430</v>
      </c>
      <c r="B3444" s="3" t="s">
        <v>5431</v>
      </c>
    </row>
    <row r="3445" spans="1:2">
      <c r="A3445" s="3" t="s">
        <v>5430</v>
      </c>
      <c r="B3445" s="3" t="s">
        <v>5432</v>
      </c>
    </row>
    <row r="3446" spans="1:2">
      <c r="A3446" s="3" t="s">
        <v>5430</v>
      </c>
      <c r="B3446" s="3" t="s">
        <v>5433</v>
      </c>
    </row>
    <row r="3447" spans="1:2">
      <c r="A3447" s="3" t="s">
        <v>5430</v>
      </c>
      <c r="B3447" s="3" t="s">
        <v>5434</v>
      </c>
    </row>
    <row r="3448" spans="1:2">
      <c r="A3448" s="3" t="s">
        <v>5430</v>
      </c>
      <c r="B3448" s="3" t="s">
        <v>5435</v>
      </c>
    </row>
    <row r="3449" spans="1:2">
      <c r="A3449" s="3" t="s">
        <v>5430</v>
      </c>
      <c r="B3449" s="3" t="s">
        <v>5436</v>
      </c>
    </row>
    <row r="3450" spans="1:2">
      <c r="A3450" s="3" t="s">
        <v>5430</v>
      </c>
      <c r="B3450" s="3" t="s">
        <v>5437</v>
      </c>
    </row>
    <row r="3451" spans="1:2">
      <c r="A3451" s="3" t="s">
        <v>5430</v>
      </c>
      <c r="B3451" s="3" t="s">
        <v>5438</v>
      </c>
    </row>
    <row r="3452" spans="1:2">
      <c r="A3452" s="3" t="s">
        <v>5439</v>
      </c>
      <c r="B3452" s="3" t="s">
        <v>5440</v>
      </c>
    </row>
    <row r="3453" spans="1:2">
      <c r="A3453" s="3" t="s">
        <v>5439</v>
      </c>
      <c r="B3453" s="3" t="s">
        <v>5441</v>
      </c>
    </row>
    <row r="3454" spans="1:2">
      <c r="A3454" s="3" t="s">
        <v>5439</v>
      </c>
      <c r="B3454" s="3" t="s">
        <v>5442</v>
      </c>
    </row>
    <row r="3455" spans="1:2">
      <c r="A3455" s="3" t="s">
        <v>5443</v>
      </c>
      <c r="B3455" s="3" t="s">
        <v>5444</v>
      </c>
    </row>
    <row r="3456" spans="1:2">
      <c r="A3456" s="3" t="s">
        <v>5443</v>
      </c>
      <c r="B3456" s="3" t="s">
        <v>5445</v>
      </c>
    </row>
    <row r="3457" spans="1:2">
      <c r="A3457" s="3" t="s">
        <v>5443</v>
      </c>
      <c r="B3457" s="3" t="s">
        <v>5446</v>
      </c>
    </row>
    <row r="3458" spans="1:2">
      <c r="A3458" s="3" t="s">
        <v>5447</v>
      </c>
      <c r="B3458" s="3" t="s">
        <v>5448</v>
      </c>
    </row>
    <row r="3459" spans="1:2">
      <c r="A3459" s="3" t="s">
        <v>5447</v>
      </c>
      <c r="B3459" s="3" t="s">
        <v>5449</v>
      </c>
    </row>
    <row r="3460" spans="1:2">
      <c r="A3460" s="3" t="s">
        <v>5447</v>
      </c>
      <c r="B3460" s="3" t="s">
        <v>5450</v>
      </c>
    </row>
    <row r="3461" spans="1:2">
      <c r="A3461" s="3" t="s">
        <v>5447</v>
      </c>
      <c r="B3461" s="3" t="s">
        <v>5451</v>
      </c>
    </row>
    <row r="3462" spans="1:2">
      <c r="A3462" s="3" t="s">
        <v>5452</v>
      </c>
      <c r="B3462" s="3" t="s">
        <v>5453</v>
      </c>
    </row>
    <row r="3463" spans="1:2">
      <c r="A3463" s="3" t="s">
        <v>5452</v>
      </c>
      <c r="B3463" s="3" t="s">
        <v>5454</v>
      </c>
    </row>
    <row r="3464" spans="1:2">
      <c r="A3464" s="3" t="s">
        <v>5455</v>
      </c>
      <c r="B3464" s="3" t="s">
        <v>5456</v>
      </c>
    </row>
    <row r="3465" spans="1:2">
      <c r="A3465" s="3" t="s">
        <v>5455</v>
      </c>
      <c r="B3465" s="3" t="s">
        <v>5457</v>
      </c>
    </row>
    <row r="3466" spans="1:2">
      <c r="A3466" s="3" t="s">
        <v>5455</v>
      </c>
      <c r="B3466" s="3" t="s">
        <v>5458</v>
      </c>
    </row>
    <row r="3467" spans="1:2">
      <c r="A3467" s="3" t="s">
        <v>5455</v>
      </c>
      <c r="B3467" s="3" t="s">
        <v>5459</v>
      </c>
    </row>
    <row r="3468" spans="1:2">
      <c r="A3468" s="3" t="s">
        <v>5460</v>
      </c>
      <c r="B3468" s="3" t="s">
        <v>5461</v>
      </c>
    </row>
    <row r="3469" spans="1:2">
      <c r="A3469" s="3" t="s">
        <v>5460</v>
      </c>
      <c r="B3469" s="3" t="s">
        <v>5462</v>
      </c>
    </row>
    <row r="3470" spans="1:2">
      <c r="A3470" s="3" t="s">
        <v>5460</v>
      </c>
      <c r="B3470" s="3" t="s">
        <v>5463</v>
      </c>
    </row>
    <row r="3471" spans="1:2">
      <c r="A3471" s="3" t="s">
        <v>5460</v>
      </c>
      <c r="B3471" s="3" t="s">
        <v>5464</v>
      </c>
    </row>
    <row r="3472" spans="1:2">
      <c r="A3472" s="3" t="s">
        <v>5465</v>
      </c>
      <c r="B3472" s="3" t="s">
        <v>5466</v>
      </c>
    </row>
    <row r="3473" spans="1:2">
      <c r="A3473" s="3" t="s">
        <v>5465</v>
      </c>
      <c r="B3473" s="3" t="s">
        <v>5467</v>
      </c>
    </row>
    <row r="3474" spans="1:2">
      <c r="A3474" s="3" t="s">
        <v>5465</v>
      </c>
      <c r="B3474" s="3" t="s">
        <v>5468</v>
      </c>
    </row>
    <row r="3475" spans="1:2">
      <c r="A3475" s="3" t="s">
        <v>5465</v>
      </c>
      <c r="B3475" s="3" t="s">
        <v>5469</v>
      </c>
    </row>
    <row r="3476" spans="1:2">
      <c r="A3476" s="3" t="s">
        <v>5470</v>
      </c>
      <c r="B3476" s="3" t="s">
        <v>5471</v>
      </c>
    </row>
    <row r="3477" spans="1:2">
      <c r="A3477" s="3" t="s">
        <v>5470</v>
      </c>
      <c r="B3477" s="3" t="s">
        <v>5472</v>
      </c>
    </row>
    <row r="3478" spans="1:2">
      <c r="A3478" s="3" t="s">
        <v>5470</v>
      </c>
      <c r="B3478" s="3" t="s">
        <v>5473</v>
      </c>
    </row>
    <row r="3479" spans="1:2">
      <c r="A3479" s="3" t="s">
        <v>5470</v>
      </c>
      <c r="B3479" s="3" t="s">
        <v>5474</v>
      </c>
    </row>
    <row r="3480" spans="1:2">
      <c r="A3480" s="3" t="s">
        <v>5475</v>
      </c>
      <c r="B3480" s="3" t="s">
        <v>5476</v>
      </c>
    </row>
    <row r="3481" spans="1:2">
      <c r="A3481" s="3" t="s">
        <v>5475</v>
      </c>
      <c r="B3481" s="3" t="s">
        <v>5477</v>
      </c>
    </row>
    <row r="3482" spans="1:2">
      <c r="A3482" s="3" t="s">
        <v>5475</v>
      </c>
      <c r="B3482" s="3" t="s">
        <v>5478</v>
      </c>
    </row>
    <row r="3483" spans="1:2">
      <c r="A3483" s="3" t="s">
        <v>5475</v>
      </c>
      <c r="B3483" s="3" t="s">
        <v>5479</v>
      </c>
    </row>
    <row r="3484" spans="1:2">
      <c r="A3484" s="3" t="s">
        <v>5480</v>
      </c>
      <c r="B3484" s="3" t="s">
        <v>5481</v>
      </c>
    </row>
    <row r="3485" spans="1:2">
      <c r="A3485" s="3" t="s">
        <v>5480</v>
      </c>
      <c r="B3485" s="3" t="s">
        <v>5482</v>
      </c>
    </row>
    <row r="3486" spans="1:2">
      <c r="A3486" s="3" t="s">
        <v>5480</v>
      </c>
      <c r="B3486" s="3" t="s">
        <v>5483</v>
      </c>
    </row>
    <row r="3487" spans="1:2">
      <c r="A3487" s="3" t="s">
        <v>5480</v>
      </c>
      <c r="B3487" s="3" t="s">
        <v>5484</v>
      </c>
    </row>
    <row r="3488" spans="1:2">
      <c r="A3488" s="3" t="s">
        <v>5485</v>
      </c>
      <c r="B3488" s="3" t="s">
        <v>5486</v>
      </c>
    </row>
    <row r="3489" spans="1:2">
      <c r="A3489" s="3" t="s">
        <v>5485</v>
      </c>
      <c r="B3489" s="3" t="s">
        <v>5487</v>
      </c>
    </row>
    <row r="3490" spans="1:2">
      <c r="A3490" s="3" t="s">
        <v>5485</v>
      </c>
      <c r="B3490" s="3" t="s">
        <v>5488</v>
      </c>
    </row>
    <row r="3491" spans="1:2">
      <c r="A3491" s="3" t="s">
        <v>5485</v>
      </c>
      <c r="B3491" s="3" t="s">
        <v>5489</v>
      </c>
    </row>
    <row r="3492" spans="1:2">
      <c r="A3492" s="3" t="s">
        <v>5490</v>
      </c>
      <c r="B3492" s="3" t="s">
        <v>5491</v>
      </c>
    </row>
    <row r="3493" spans="1:2">
      <c r="A3493" s="3" t="s">
        <v>5490</v>
      </c>
      <c r="B3493" s="3" t="s">
        <v>5492</v>
      </c>
    </row>
    <row r="3494" spans="1:2">
      <c r="A3494" s="3" t="s">
        <v>5490</v>
      </c>
      <c r="B3494" s="3" t="s">
        <v>5493</v>
      </c>
    </row>
    <row r="3495" spans="1:2">
      <c r="A3495" s="3" t="s">
        <v>5490</v>
      </c>
      <c r="B3495" s="3" t="s">
        <v>5494</v>
      </c>
    </row>
    <row r="3496" spans="1:2">
      <c r="A3496" s="3" t="s">
        <v>5490</v>
      </c>
      <c r="B3496" s="3" t="s">
        <v>5495</v>
      </c>
    </row>
    <row r="3497" spans="1:2">
      <c r="A3497" s="3" t="s">
        <v>5490</v>
      </c>
      <c r="B3497" s="3" t="s">
        <v>5496</v>
      </c>
    </row>
    <row r="3498" spans="1:2">
      <c r="A3498" s="3" t="s">
        <v>5490</v>
      </c>
      <c r="B3498" s="3" t="s">
        <v>5497</v>
      </c>
    </row>
    <row r="3499" spans="1:2">
      <c r="A3499" s="3" t="s">
        <v>5490</v>
      </c>
      <c r="B3499" s="3" t="s">
        <v>5498</v>
      </c>
    </row>
    <row r="3500" spans="1:2">
      <c r="A3500" s="3" t="s">
        <v>5490</v>
      </c>
      <c r="B3500" s="3" t="s">
        <v>5499</v>
      </c>
    </row>
    <row r="3501" spans="1:2">
      <c r="A3501" s="3" t="s">
        <v>5490</v>
      </c>
      <c r="B3501" s="3" t="s">
        <v>5500</v>
      </c>
    </row>
    <row r="3502" spans="1:2">
      <c r="A3502" s="3" t="s">
        <v>5490</v>
      </c>
      <c r="B3502" s="3" t="s">
        <v>5501</v>
      </c>
    </row>
    <row r="3503" spans="1:2">
      <c r="A3503" s="3" t="s">
        <v>5490</v>
      </c>
      <c r="B3503" s="3" t="s">
        <v>5502</v>
      </c>
    </row>
    <row r="3504" spans="1:2">
      <c r="A3504" s="3" t="s">
        <v>5490</v>
      </c>
      <c r="B3504" s="3" t="s">
        <v>5503</v>
      </c>
    </row>
    <row r="3505" spans="1:2">
      <c r="A3505" s="3" t="s">
        <v>5490</v>
      </c>
      <c r="B3505" s="3" t="s">
        <v>5504</v>
      </c>
    </row>
    <row r="3506" spans="1:2">
      <c r="A3506" s="3" t="s">
        <v>5490</v>
      </c>
      <c r="B3506" s="3" t="s">
        <v>5505</v>
      </c>
    </row>
    <row r="3507" spans="1:2">
      <c r="A3507" s="3" t="s">
        <v>5490</v>
      </c>
      <c r="B3507" s="3" t="s">
        <v>5506</v>
      </c>
    </row>
    <row r="3508" spans="1:2">
      <c r="A3508" s="3" t="s">
        <v>5507</v>
      </c>
      <c r="B3508" s="3" t="s">
        <v>3552</v>
      </c>
    </row>
    <row r="3509" spans="1:2">
      <c r="A3509" s="3" t="s">
        <v>5507</v>
      </c>
      <c r="B3509" s="3" t="s">
        <v>5508</v>
      </c>
    </row>
    <row r="3510" spans="1:2">
      <c r="A3510" s="3" t="s">
        <v>5507</v>
      </c>
      <c r="B3510" s="3" t="s">
        <v>5509</v>
      </c>
    </row>
    <row r="3511" spans="1:2">
      <c r="A3511" s="3" t="s">
        <v>5507</v>
      </c>
      <c r="B3511" s="3" t="s">
        <v>5510</v>
      </c>
    </row>
    <row r="3512" spans="1:2">
      <c r="A3512" s="3" t="s">
        <v>5511</v>
      </c>
      <c r="B3512" s="3" t="s">
        <v>5512</v>
      </c>
    </row>
    <row r="3513" spans="1:2">
      <c r="A3513" s="3" t="s">
        <v>5511</v>
      </c>
      <c r="B3513" s="3" t="s">
        <v>5513</v>
      </c>
    </row>
    <row r="3514" spans="1:2">
      <c r="A3514" s="3" t="s">
        <v>5511</v>
      </c>
      <c r="B3514" s="3" t="s">
        <v>5514</v>
      </c>
    </row>
    <row r="3515" spans="1:2">
      <c r="A3515" s="3" t="s">
        <v>5511</v>
      </c>
      <c r="B3515" s="3" t="s">
        <v>5515</v>
      </c>
    </row>
    <row r="3516" spans="1:2">
      <c r="A3516" s="3" t="s">
        <v>5516</v>
      </c>
      <c r="B3516" s="3" t="s">
        <v>5517</v>
      </c>
    </row>
    <row r="3517" spans="1:2">
      <c r="A3517" s="3" t="s">
        <v>5516</v>
      </c>
      <c r="B3517" s="3" t="s">
        <v>5518</v>
      </c>
    </row>
    <row r="3518" spans="1:2">
      <c r="A3518" s="3" t="s">
        <v>5516</v>
      </c>
      <c r="B3518" s="3" t="s">
        <v>5519</v>
      </c>
    </row>
    <row r="3519" spans="1:2">
      <c r="A3519" s="3" t="s">
        <v>5516</v>
      </c>
      <c r="B3519" s="3" t="s">
        <v>5520</v>
      </c>
    </row>
    <row r="3520" spans="1:2">
      <c r="A3520" s="3" t="s">
        <v>5521</v>
      </c>
      <c r="B3520" s="3" t="s">
        <v>5522</v>
      </c>
    </row>
    <row r="3521" spans="1:2">
      <c r="A3521" s="3" t="s">
        <v>5521</v>
      </c>
      <c r="B3521" s="3" t="s">
        <v>5523</v>
      </c>
    </row>
    <row r="3522" spans="1:2">
      <c r="A3522" s="3" t="s">
        <v>5521</v>
      </c>
      <c r="B3522" s="3" t="s">
        <v>5524</v>
      </c>
    </row>
    <row r="3523" spans="1:2">
      <c r="A3523" s="3" t="s">
        <v>5521</v>
      </c>
      <c r="B3523" s="3" t="s">
        <v>5525</v>
      </c>
    </row>
    <row r="3524" spans="1:2">
      <c r="A3524" s="3" t="s">
        <v>5526</v>
      </c>
      <c r="B3524" s="3" t="s">
        <v>5527</v>
      </c>
    </row>
    <row r="3525" spans="1:2">
      <c r="A3525" s="3" t="s">
        <v>5526</v>
      </c>
      <c r="B3525" s="3" t="s">
        <v>5528</v>
      </c>
    </row>
    <row r="3526" spans="1:2">
      <c r="A3526" s="3" t="s">
        <v>5526</v>
      </c>
      <c r="B3526" s="3" t="s">
        <v>5529</v>
      </c>
    </row>
    <row r="3527" spans="1:2">
      <c r="A3527" s="3" t="s">
        <v>5526</v>
      </c>
      <c r="B3527" s="3" t="s">
        <v>5530</v>
      </c>
    </row>
    <row r="3528" spans="1:2">
      <c r="A3528" s="3" t="s">
        <v>5531</v>
      </c>
      <c r="B3528" s="3" t="s">
        <v>5532</v>
      </c>
    </row>
    <row r="3529" spans="1:2">
      <c r="A3529" s="3" t="s">
        <v>5531</v>
      </c>
      <c r="B3529" s="3" t="s">
        <v>5533</v>
      </c>
    </row>
    <row r="3530" spans="1:2">
      <c r="A3530" s="3" t="s">
        <v>5531</v>
      </c>
      <c r="B3530" s="3" t="s">
        <v>5534</v>
      </c>
    </row>
    <row r="3531" spans="1:2">
      <c r="A3531" s="3" t="s">
        <v>5531</v>
      </c>
      <c r="B3531" s="3" t="s">
        <v>5535</v>
      </c>
    </row>
    <row r="3532" spans="1:2">
      <c r="A3532" s="3" t="s">
        <v>5536</v>
      </c>
      <c r="B3532" s="3" t="s">
        <v>5537</v>
      </c>
    </row>
    <row r="3533" spans="1:2">
      <c r="A3533" s="3" t="s">
        <v>5536</v>
      </c>
      <c r="B3533" s="3" t="s">
        <v>5538</v>
      </c>
    </row>
    <row r="3534" spans="1:2">
      <c r="A3534" s="3" t="s">
        <v>5536</v>
      </c>
      <c r="B3534" s="3" t="s">
        <v>5539</v>
      </c>
    </row>
    <row r="3535" spans="1:2">
      <c r="A3535" s="3" t="s">
        <v>5536</v>
      </c>
      <c r="B3535" s="3" t="s">
        <v>5540</v>
      </c>
    </row>
    <row r="3536" spans="1:2">
      <c r="A3536" s="3" t="s">
        <v>5541</v>
      </c>
      <c r="B3536" s="3" t="s">
        <v>5542</v>
      </c>
    </row>
    <row r="3537" spans="1:2">
      <c r="A3537" s="3" t="s">
        <v>5541</v>
      </c>
      <c r="B3537" s="3" t="s">
        <v>5543</v>
      </c>
    </row>
    <row r="3538" spans="1:2">
      <c r="A3538" s="3" t="s">
        <v>5541</v>
      </c>
      <c r="B3538" s="3" t="s">
        <v>5544</v>
      </c>
    </row>
    <row r="3539" spans="1:2">
      <c r="A3539" s="3" t="s">
        <v>5541</v>
      </c>
      <c r="B3539" s="3" t="s">
        <v>5545</v>
      </c>
    </row>
    <row r="3540" spans="1:2">
      <c r="A3540" s="3" t="s">
        <v>5546</v>
      </c>
      <c r="B3540" s="3" t="s">
        <v>5547</v>
      </c>
    </row>
    <row r="3541" spans="1:2">
      <c r="A3541" s="3" t="s">
        <v>5546</v>
      </c>
      <c r="B3541" s="3" t="s">
        <v>5548</v>
      </c>
    </row>
    <row r="3542" spans="1:2">
      <c r="A3542" s="3" t="s">
        <v>5546</v>
      </c>
      <c r="B3542" s="3" t="s">
        <v>5549</v>
      </c>
    </row>
    <row r="3543" spans="1:2">
      <c r="A3543" s="3" t="s">
        <v>5546</v>
      </c>
      <c r="B3543" s="3" t="s">
        <v>5550</v>
      </c>
    </row>
    <row r="3544" spans="1:2">
      <c r="A3544" s="3" t="s">
        <v>5546</v>
      </c>
      <c r="B3544" s="3" t="s">
        <v>5551</v>
      </c>
    </row>
    <row r="3545" spans="1:2">
      <c r="A3545" s="3" t="s">
        <v>5546</v>
      </c>
      <c r="B3545" s="3" t="s">
        <v>5552</v>
      </c>
    </row>
    <row r="3546" spans="1:2">
      <c r="A3546" s="3" t="s">
        <v>5546</v>
      </c>
      <c r="B3546" s="3" t="s">
        <v>5553</v>
      </c>
    </row>
    <row r="3547" spans="1:2">
      <c r="A3547" s="3" t="s">
        <v>5546</v>
      </c>
      <c r="B3547" s="3" t="s">
        <v>5554</v>
      </c>
    </row>
    <row r="3548" spans="1:2">
      <c r="A3548" s="3" t="s">
        <v>5546</v>
      </c>
      <c r="B3548" s="3" t="s">
        <v>5555</v>
      </c>
    </row>
    <row r="3549" spans="1:2">
      <c r="A3549" s="3" t="s">
        <v>5546</v>
      </c>
      <c r="B3549" s="3" t="s">
        <v>5556</v>
      </c>
    </row>
    <row r="3550" spans="1:2">
      <c r="A3550" s="3" t="s">
        <v>5546</v>
      </c>
      <c r="B3550" s="3" t="s">
        <v>5557</v>
      </c>
    </row>
    <row r="3551" spans="1:2">
      <c r="A3551" s="3" t="s">
        <v>5546</v>
      </c>
      <c r="B3551" s="3" t="s">
        <v>5558</v>
      </c>
    </row>
    <row r="3552" spans="1:2">
      <c r="A3552" s="3" t="s">
        <v>5546</v>
      </c>
      <c r="B3552" s="3" t="s">
        <v>5559</v>
      </c>
    </row>
    <row r="3553" spans="1:2">
      <c r="A3553" s="3" t="s">
        <v>5546</v>
      </c>
      <c r="B3553" s="3" t="s">
        <v>5560</v>
      </c>
    </row>
    <row r="3554" spans="1:2">
      <c r="A3554" s="3" t="s">
        <v>5546</v>
      </c>
      <c r="B3554" s="3" t="s">
        <v>5561</v>
      </c>
    </row>
    <row r="3555" spans="1:2">
      <c r="A3555" s="3" t="s">
        <v>5546</v>
      </c>
      <c r="B3555" s="3" t="s">
        <v>5562</v>
      </c>
    </row>
    <row r="3556" spans="1:2">
      <c r="A3556" s="3" t="s">
        <v>5563</v>
      </c>
      <c r="B3556" s="3" t="s">
        <v>5564</v>
      </c>
    </row>
    <row r="3557" spans="1:2">
      <c r="A3557" s="3" t="s">
        <v>5563</v>
      </c>
      <c r="B3557" s="3" t="s">
        <v>5565</v>
      </c>
    </row>
    <row r="3558" spans="1:2">
      <c r="A3558" s="3" t="s">
        <v>5563</v>
      </c>
      <c r="B3558" s="3" t="s">
        <v>5566</v>
      </c>
    </row>
    <row r="3559" spans="1:2">
      <c r="A3559" s="3" t="s">
        <v>5563</v>
      </c>
      <c r="B3559" s="3" t="s">
        <v>5567</v>
      </c>
    </row>
    <row r="3560" spans="1:2">
      <c r="A3560" s="3" t="s">
        <v>5568</v>
      </c>
      <c r="B3560" s="3" t="s">
        <v>5569</v>
      </c>
    </row>
    <row r="3561" spans="1:2">
      <c r="A3561" s="3" t="s">
        <v>5568</v>
      </c>
      <c r="B3561" s="3" t="s">
        <v>5570</v>
      </c>
    </row>
    <row r="3562" spans="1:2">
      <c r="A3562" s="3" t="s">
        <v>5568</v>
      </c>
      <c r="B3562" s="3" t="s">
        <v>5571</v>
      </c>
    </row>
    <row r="3563" spans="1:2">
      <c r="A3563" s="3" t="s">
        <v>5568</v>
      </c>
      <c r="B3563" s="3" t="s">
        <v>5572</v>
      </c>
    </row>
    <row r="3564" spans="1:2">
      <c r="A3564" s="3" t="s">
        <v>5573</v>
      </c>
      <c r="B3564" s="3" t="s">
        <v>5574</v>
      </c>
    </row>
    <row r="3565" spans="1:2">
      <c r="A3565" s="3" t="s">
        <v>5573</v>
      </c>
      <c r="B3565" s="3" t="s">
        <v>5575</v>
      </c>
    </row>
    <row r="3566" spans="1:2">
      <c r="A3566" s="3" t="s">
        <v>5576</v>
      </c>
      <c r="B3566" s="3" t="s">
        <v>5577</v>
      </c>
    </row>
    <row r="3567" spans="1:2">
      <c r="A3567" s="3" t="s">
        <v>5576</v>
      </c>
      <c r="B3567" s="3" t="s">
        <v>5578</v>
      </c>
    </row>
    <row r="3568" spans="1:2">
      <c r="A3568" s="3" t="s">
        <v>5576</v>
      </c>
      <c r="B3568" s="3" t="s">
        <v>5579</v>
      </c>
    </row>
    <row r="3569" spans="1:2">
      <c r="A3569" s="3" t="s">
        <v>5576</v>
      </c>
      <c r="B3569" s="3" t="s">
        <v>5580</v>
      </c>
    </row>
    <row r="3570" spans="1:2">
      <c r="A3570" s="3" t="s">
        <v>5576</v>
      </c>
      <c r="B3570" s="3" t="s">
        <v>5581</v>
      </c>
    </row>
    <row r="3571" spans="1:2">
      <c r="A3571" s="3" t="s">
        <v>5576</v>
      </c>
      <c r="B3571" s="3" t="s">
        <v>5582</v>
      </c>
    </row>
    <row r="3572" spans="1:2">
      <c r="A3572" s="3" t="s">
        <v>5583</v>
      </c>
      <c r="B3572" s="3" t="s">
        <v>5584</v>
      </c>
    </row>
    <row r="3573" spans="1:2">
      <c r="A3573" s="3" t="s">
        <v>5583</v>
      </c>
      <c r="B3573" s="3" t="s">
        <v>5585</v>
      </c>
    </row>
    <row r="3574" spans="1:2">
      <c r="A3574" s="3" t="s">
        <v>5583</v>
      </c>
      <c r="B3574" s="3" t="s">
        <v>5586</v>
      </c>
    </row>
    <row r="3575" spans="1:2">
      <c r="A3575" s="3" t="s">
        <v>5583</v>
      </c>
      <c r="B3575" s="3" t="s">
        <v>5587</v>
      </c>
    </row>
    <row r="3576" spans="1:2">
      <c r="A3576" s="3" t="s">
        <v>5583</v>
      </c>
      <c r="B3576" s="3" t="s">
        <v>5588</v>
      </c>
    </row>
    <row r="3577" spans="1:2">
      <c r="A3577" s="3" t="s">
        <v>5589</v>
      </c>
      <c r="B3577" s="3" t="s">
        <v>5590</v>
      </c>
    </row>
    <row r="3578" spans="1:2">
      <c r="A3578" s="3" t="s">
        <v>5589</v>
      </c>
      <c r="B3578" s="3" t="s">
        <v>5591</v>
      </c>
    </row>
    <row r="3579" spans="1:2">
      <c r="A3579" s="3" t="s">
        <v>5592</v>
      </c>
      <c r="B3579" s="3" t="s">
        <v>5593</v>
      </c>
    </row>
    <row r="3580" spans="1:2">
      <c r="A3580" s="3" t="s">
        <v>5592</v>
      </c>
      <c r="B3580" s="3" t="s">
        <v>5594</v>
      </c>
    </row>
    <row r="3581" spans="1:2">
      <c r="A3581" s="3" t="s">
        <v>5592</v>
      </c>
      <c r="B3581" s="3" t="s">
        <v>5595</v>
      </c>
    </row>
    <row r="3582" spans="1:2">
      <c r="A3582" s="3" t="s">
        <v>5592</v>
      </c>
      <c r="B3582" s="3" t="s">
        <v>5596</v>
      </c>
    </row>
    <row r="3583" spans="1:2">
      <c r="A3583" s="3" t="s">
        <v>5592</v>
      </c>
      <c r="B3583" s="3" t="s">
        <v>5597</v>
      </c>
    </row>
    <row r="3584" spans="1:2">
      <c r="A3584" s="3" t="s">
        <v>5592</v>
      </c>
      <c r="B3584" s="3" t="s">
        <v>5598</v>
      </c>
    </row>
    <row r="3585" spans="1:2">
      <c r="A3585" s="3" t="s">
        <v>5592</v>
      </c>
      <c r="B3585" s="3" t="s">
        <v>5599</v>
      </c>
    </row>
    <row r="3586" spans="1:2">
      <c r="A3586" s="3" t="s">
        <v>5592</v>
      </c>
      <c r="B3586" s="3" t="s">
        <v>5600</v>
      </c>
    </row>
    <row r="3587" spans="1:2">
      <c r="A3587" s="3" t="s">
        <v>5592</v>
      </c>
      <c r="B3587" s="3" t="s">
        <v>5601</v>
      </c>
    </row>
    <row r="3588" spans="1:2">
      <c r="A3588" s="3" t="s">
        <v>5592</v>
      </c>
      <c r="B3588" s="3" t="s">
        <v>5602</v>
      </c>
    </row>
    <row r="3589" spans="1:2">
      <c r="A3589" s="3" t="s">
        <v>5592</v>
      </c>
      <c r="B3589" s="3" t="s">
        <v>5603</v>
      </c>
    </row>
    <row r="3590" spans="1:2">
      <c r="A3590" s="3" t="s">
        <v>5592</v>
      </c>
      <c r="B3590" s="3" t="s">
        <v>5604</v>
      </c>
    </row>
    <row r="3591" spans="1:2">
      <c r="A3591" s="3" t="s">
        <v>5592</v>
      </c>
      <c r="B3591" s="3" t="s">
        <v>5605</v>
      </c>
    </row>
    <row r="3592" spans="1:2">
      <c r="A3592" s="3" t="s">
        <v>5592</v>
      </c>
      <c r="B3592" s="3" t="s">
        <v>5606</v>
      </c>
    </row>
    <row r="3593" spans="1:2">
      <c r="A3593" s="3" t="s">
        <v>5592</v>
      </c>
      <c r="B3593" s="3" t="s">
        <v>5607</v>
      </c>
    </row>
    <row r="3594" spans="1:2">
      <c r="A3594" s="3" t="s">
        <v>5592</v>
      </c>
      <c r="B3594" s="3" t="s">
        <v>5608</v>
      </c>
    </row>
    <row r="3595" spans="1:2">
      <c r="A3595" s="3" t="s">
        <v>5592</v>
      </c>
      <c r="B3595" s="3" t="s">
        <v>5609</v>
      </c>
    </row>
    <row r="3596" spans="1:2">
      <c r="A3596" s="3" t="s">
        <v>5592</v>
      </c>
      <c r="B3596" s="3" t="s">
        <v>5610</v>
      </c>
    </row>
    <row r="3597" spans="1:2">
      <c r="A3597" s="3" t="s">
        <v>5592</v>
      </c>
      <c r="B3597" s="3" t="s">
        <v>5611</v>
      </c>
    </row>
    <row r="3598" spans="1:2">
      <c r="A3598" s="3" t="s">
        <v>5592</v>
      </c>
      <c r="B3598" s="3" t="s">
        <v>5612</v>
      </c>
    </row>
    <row r="3599" spans="1:2">
      <c r="A3599" s="3" t="s">
        <v>5592</v>
      </c>
      <c r="B3599" s="3" t="s">
        <v>5613</v>
      </c>
    </row>
    <row r="3600" spans="1:2">
      <c r="A3600" s="3" t="s">
        <v>5592</v>
      </c>
      <c r="B3600" s="3" t="s">
        <v>5614</v>
      </c>
    </row>
    <row r="3601" spans="1:2">
      <c r="A3601" s="3" t="s">
        <v>5615</v>
      </c>
      <c r="B3601" s="3" t="s">
        <v>5616</v>
      </c>
    </row>
    <row r="3602" spans="1:2">
      <c r="A3602" s="3" t="s">
        <v>5615</v>
      </c>
      <c r="B3602" s="3" t="s">
        <v>5617</v>
      </c>
    </row>
    <row r="3603" spans="1:2">
      <c r="A3603" s="3" t="s">
        <v>5615</v>
      </c>
      <c r="B3603" s="3" t="s">
        <v>5618</v>
      </c>
    </row>
    <row r="3604" spans="1:2">
      <c r="A3604" s="3" t="s">
        <v>5615</v>
      </c>
      <c r="B3604" s="3" t="s">
        <v>5619</v>
      </c>
    </row>
    <row r="3605" spans="1:2">
      <c r="A3605" s="3" t="s">
        <v>5615</v>
      </c>
      <c r="B3605" s="3" t="s">
        <v>5620</v>
      </c>
    </row>
    <row r="3606" spans="1:2">
      <c r="A3606" s="3" t="s">
        <v>5615</v>
      </c>
      <c r="B3606" s="3" t="s">
        <v>5621</v>
      </c>
    </row>
    <row r="3607" spans="1:2">
      <c r="A3607" s="3" t="s">
        <v>5615</v>
      </c>
      <c r="B3607" s="3" t="s">
        <v>5622</v>
      </c>
    </row>
    <row r="3608" spans="1:2">
      <c r="A3608" s="3" t="s">
        <v>5615</v>
      </c>
      <c r="B3608" s="3" t="s">
        <v>5623</v>
      </c>
    </row>
    <row r="3609" spans="1:2">
      <c r="A3609" s="3" t="s">
        <v>5615</v>
      </c>
      <c r="B3609" s="3" t="s">
        <v>5624</v>
      </c>
    </row>
    <row r="3610" spans="1:2">
      <c r="A3610" s="3" t="s">
        <v>5615</v>
      </c>
      <c r="B3610" s="3" t="s">
        <v>5625</v>
      </c>
    </row>
    <row r="3611" spans="1:2">
      <c r="A3611" s="3" t="s">
        <v>5615</v>
      </c>
      <c r="B3611" s="3" t="s">
        <v>5626</v>
      </c>
    </row>
    <row r="3612" spans="1:2">
      <c r="A3612" s="3" t="s">
        <v>5615</v>
      </c>
      <c r="B3612" s="3" t="s">
        <v>5627</v>
      </c>
    </row>
    <row r="3613" spans="1:2">
      <c r="A3613" s="3" t="s">
        <v>5615</v>
      </c>
      <c r="B3613" s="3" t="s">
        <v>5628</v>
      </c>
    </row>
    <row r="3614" spans="1:2">
      <c r="A3614" s="3" t="s">
        <v>5615</v>
      </c>
      <c r="B3614" s="3" t="s">
        <v>5629</v>
      </c>
    </row>
    <row r="3615" spans="1:2">
      <c r="A3615" s="3" t="s">
        <v>5615</v>
      </c>
      <c r="B3615" s="3" t="s">
        <v>5630</v>
      </c>
    </row>
    <row r="3616" spans="1:2">
      <c r="A3616" s="3" t="s">
        <v>5615</v>
      </c>
      <c r="B3616" s="3" t="s">
        <v>5631</v>
      </c>
    </row>
    <row r="3617" spans="1:2">
      <c r="A3617" s="3" t="s">
        <v>5615</v>
      </c>
      <c r="B3617" s="3" t="s">
        <v>5632</v>
      </c>
    </row>
    <row r="3618" spans="1:2">
      <c r="A3618" s="3" t="s">
        <v>5615</v>
      </c>
      <c r="B3618" s="3" t="s">
        <v>5633</v>
      </c>
    </row>
    <row r="3619" spans="1:2">
      <c r="A3619" s="3" t="s">
        <v>5615</v>
      </c>
      <c r="B3619" s="3" t="s">
        <v>5634</v>
      </c>
    </row>
    <row r="3620" spans="1:2">
      <c r="A3620" s="3" t="s">
        <v>5615</v>
      </c>
      <c r="B3620" s="3" t="s">
        <v>5635</v>
      </c>
    </row>
    <row r="3621" spans="1:2">
      <c r="A3621" s="3" t="s">
        <v>5615</v>
      </c>
      <c r="B3621" s="3" t="s">
        <v>5636</v>
      </c>
    </row>
    <row r="3622" spans="1:2">
      <c r="A3622" s="3" t="s">
        <v>5615</v>
      </c>
      <c r="B3622" s="3" t="s">
        <v>5637</v>
      </c>
    </row>
    <row r="3623" spans="1:2">
      <c r="A3623" s="3" t="s">
        <v>5615</v>
      </c>
      <c r="B3623" s="3" t="s">
        <v>5638</v>
      </c>
    </row>
    <row r="3624" spans="1:2">
      <c r="A3624" s="3" t="s">
        <v>5639</v>
      </c>
      <c r="B3624" s="3" t="s">
        <v>5640</v>
      </c>
    </row>
    <row r="3625" spans="1:2">
      <c r="A3625" s="3" t="s">
        <v>5639</v>
      </c>
      <c r="B3625" s="3" t="s">
        <v>5641</v>
      </c>
    </row>
    <row r="3626" spans="1:2">
      <c r="A3626" s="3" t="s">
        <v>5642</v>
      </c>
      <c r="B3626" s="3" t="s">
        <v>5643</v>
      </c>
    </row>
    <row r="3627" spans="1:2">
      <c r="A3627" s="3" t="s">
        <v>5642</v>
      </c>
      <c r="B3627" s="3" t="s">
        <v>5644</v>
      </c>
    </row>
    <row r="3628" spans="1:2">
      <c r="A3628" s="3" t="s">
        <v>5642</v>
      </c>
      <c r="B3628" s="3" t="s">
        <v>5645</v>
      </c>
    </row>
    <row r="3629" spans="1:2">
      <c r="A3629" s="3" t="s">
        <v>5642</v>
      </c>
      <c r="B3629" s="3" t="s">
        <v>5646</v>
      </c>
    </row>
    <row r="3630" spans="1:2">
      <c r="A3630" s="3" t="s">
        <v>5647</v>
      </c>
      <c r="B3630" s="3" t="s">
        <v>5648</v>
      </c>
    </row>
    <row r="3631" spans="1:2">
      <c r="A3631" s="3" t="s">
        <v>5647</v>
      </c>
      <c r="B3631" s="3" t="s">
        <v>5649</v>
      </c>
    </row>
    <row r="3632" spans="1:2">
      <c r="A3632" s="3" t="s">
        <v>5647</v>
      </c>
      <c r="B3632" s="3" t="s">
        <v>5650</v>
      </c>
    </row>
    <row r="3633" spans="1:2">
      <c r="A3633" s="3" t="s">
        <v>5647</v>
      </c>
      <c r="B3633" s="3" t="s">
        <v>5651</v>
      </c>
    </row>
    <row r="3634" spans="1:2">
      <c r="A3634" s="3" t="s">
        <v>5652</v>
      </c>
      <c r="B3634" s="3" t="s">
        <v>5653</v>
      </c>
    </row>
    <row r="3635" spans="1:2">
      <c r="A3635" s="3" t="s">
        <v>5652</v>
      </c>
      <c r="B3635" s="3" t="s">
        <v>5654</v>
      </c>
    </row>
    <row r="3636" spans="1:2">
      <c r="A3636" s="3" t="s">
        <v>5652</v>
      </c>
      <c r="B3636" s="3" t="s">
        <v>5655</v>
      </c>
    </row>
    <row r="3637" spans="1:2">
      <c r="A3637" s="3" t="s">
        <v>5652</v>
      </c>
      <c r="B3637" s="3" t="s">
        <v>5656</v>
      </c>
    </row>
    <row r="3638" spans="1:2">
      <c r="A3638" s="3" t="s">
        <v>5657</v>
      </c>
      <c r="B3638" s="3" t="s">
        <v>5658</v>
      </c>
    </row>
    <row r="3639" spans="1:2">
      <c r="A3639" s="3" t="s">
        <v>5657</v>
      </c>
      <c r="B3639" s="3" t="s">
        <v>5659</v>
      </c>
    </row>
    <row r="3640" spans="1:2">
      <c r="A3640" s="3" t="s">
        <v>5657</v>
      </c>
      <c r="B3640" s="3" t="s">
        <v>5660</v>
      </c>
    </row>
    <row r="3641" spans="1:2">
      <c r="A3641" s="3" t="s">
        <v>5657</v>
      </c>
      <c r="B3641" s="3" t="s">
        <v>5661</v>
      </c>
    </row>
    <row r="3642" spans="1:2">
      <c r="A3642" s="3" t="s">
        <v>5662</v>
      </c>
      <c r="B3642" s="3" t="s">
        <v>5663</v>
      </c>
    </row>
    <row r="3643" spans="1:2">
      <c r="A3643" s="3" t="s">
        <v>5662</v>
      </c>
      <c r="B3643" s="3" t="s">
        <v>5664</v>
      </c>
    </row>
    <row r="3644" spans="1:2">
      <c r="A3644" s="3" t="s">
        <v>5662</v>
      </c>
      <c r="B3644" s="3" t="s">
        <v>5665</v>
      </c>
    </row>
    <row r="3645" spans="1:2">
      <c r="A3645" s="3" t="s">
        <v>5666</v>
      </c>
      <c r="B3645" s="3" t="s">
        <v>5667</v>
      </c>
    </row>
    <row r="3646" spans="1:2">
      <c r="A3646" s="3" t="s">
        <v>5666</v>
      </c>
      <c r="B3646" s="3" t="s">
        <v>5668</v>
      </c>
    </row>
    <row r="3647" spans="1:2">
      <c r="A3647" s="3" t="s">
        <v>5666</v>
      </c>
      <c r="B3647" s="3" t="s">
        <v>5669</v>
      </c>
    </row>
    <row r="3648" spans="1:2">
      <c r="A3648" s="3" t="s">
        <v>5666</v>
      </c>
      <c r="B3648" s="3" t="s">
        <v>5670</v>
      </c>
    </row>
    <row r="3649" spans="1:2">
      <c r="A3649" s="3" t="s">
        <v>5671</v>
      </c>
      <c r="B3649" s="3" t="s">
        <v>5672</v>
      </c>
    </row>
    <row r="3650" spans="1:2">
      <c r="A3650" s="3" t="s">
        <v>5671</v>
      </c>
      <c r="B3650" s="3" t="s">
        <v>5673</v>
      </c>
    </row>
    <row r="3651" spans="1:2">
      <c r="A3651" s="3" t="s">
        <v>5671</v>
      </c>
      <c r="B3651" s="3" t="s">
        <v>5674</v>
      </c>
    </row>
    <row r="3652" spans="1:2">
      <c r="A3652" s="3" t="s">
        <v>5671</v>
      </c>
      <c r="B3652" s="3" t="s">
        <v>5675</v>
      </c>
    </row>
    <row r="3653" spans="1:2">
      <c r="A3653" s="3" t="s">
        <v>5676</v>
      </c>
      <c r="B3653" s="3" t="s">
        <v>5677</v>
      </c>
    </row>
    <row r="3654" spans="1:2">
      <c r="A3654" s="3" t="s">
        <v>5676</v>
      </c>
      <c r="B3654" s="3" t="s">
        <v>5678</v>
      </c>
    </row>
    <row r="3655" spans="1:2">
      <c r="A3655" s="3" t="s">
        <v>5676</v>
      </c>
      <c r="B3655" s="3" t="s">
        <v>5679</v>
      </c>
    </row>
    <row r="3656" spans="1:2">
      <c r="A3656" s="3" t="s">
        <v>5676</v>
      </c>
      <c r="B3656" s="3" t="s">
        <v>5680</v>
      </c>
    </row>
    <row r="3657" spans="1:2">
      <c r="A3657" s="3" t="s">
        <v>5676</v>
      </c>
      <c r="B3657" s="3" t="s">
        <v>5681</v>
      </c>
    </row>
    <row r="3658" spans="1:2">
      <c r="A3658" s="3" t="s">
        <v>5676</v>
      </c>
      <c r="B3658" s="3" t="s">
        <v>5682</v>
      </c>
    </row>
    <row r="3659" spans="1:2">
      <c r="A3659" s="3" t="s">
        <v>5676</v>
      </c>
      <c r="B3659" s="3" t="s">
        <v>5683</v>
      </c>
    </row>
    <row r="3660" spans="1:2">
      <c r="A3660" s="3" t="s">
        <v>5676</v>
      </c>
      <c r="B3660" s="3" t="s">
        <v>5684</v>
      </c>
    </row>
    <row r="3661" spans="1:2">
      <c r="A3661" s="3" t="s">
        <v>5685</v>
      </c>
      <c r="B3661" s="3" t="s">
        <v>5686</v>
      </c>
    </row>
    <row r="3662" spans="1:2">
      <c r="A3662" s="3" t="s">
        <v>5685</v>
      </c>
      <c r="B3662" s="3" t="s">
        <v>5687</v>
      </c>
    </row>
    <row r="3663" spans="1:2">
      <c r="A3663" s="3" t="s">
        <v>5688</v>
      </c>
      <c r="B3663" s="3" t="s">
        <v>5689</v>
      </c>
    </row>
    <row r="3664" spans="1:2">
      <c r="A3664" s="3" t="s">
        <v>5688</v>
      </c>
      <c r="B3664" s="3" t="s">
        <v>5690</v>
      </c>
    </row>
    <row r="3665" spans="1:2">
      <c r="A3665" s="3" t="s">
        <v>5691</v>
      </c>
      <c r="B3665" s="3" t="s">
        <v>5692</v>
      </c>
    </row>
    <row r="3666" spans="1:2">
      <c r="A3666" s="3" t="s">
        <v>5691</v>
      </c>
      <c r="B3666" s="3" t="s">
        <v>5693</v>
      </c>
    </row>
    <row r="3667" spans="1:2">
      <c r="A3667" s="3" t="s">
        <v>5691</v>
      </c>
      <c r="B3667" s="3" t="s">
        <v>5694</v>
      </c>
    </row>
    <row r="3668" spans="1:2">
      <c r="A3668" s="3" t="s">
        <v>5691</v>
      </c>
      <c r="B3668" s="3" t="s">
        <v>5695</v>
      </c>
    </row>
    <row r="3669" spans="1:2">
      <c r="A3669" s="3" t="s">
        <v>5696</v>
      </c>
      <c r="B3669" s="3" t="s">
        <v>5697</v>
      </c>
    </row>
    <row r="3670" spans="1:2">
      <c r="A3670" s="3" t="s">
        <v>5696</v>
      </c>
      <c r="B3670" s="3" t="s">
        <v>5698</v>
      </c>
    </row>
    <row r="3671" spans="1:2">
      <c r="A3671" s="3" t="s">
        <v>5696</v>
      </c>
      <c r="B3671" s="3" t="s">
        <v>5699</v>
      </c>
    </row>
    <row r="3672" spans="1:2">
      <c r="A3672" s="3" t="s">
        <v>5696</v>
      </c>
      <c r="B3672" s="3" t="s">
        <v>5700</v>
      </c>
    </row>
    <row r="3673" spans="1:2">
      <c r="A3673" s="3" t="s">
        <v>5701</v>
      </c>
      <c r="B3673" s="3" t="s">
        <v>5702</v>
      </c>
    </row>
    <row r="3674" spans="1:2">
      <c r="A3674" s="3" t="s">
        <v>5701</v>
      </c>
      <c r="B3674" s="3" t="s">
        <v>5703</v>
      </c>
    </row>
    <row r="3675" spans="1:2">
      <c r="A3675" s="3" t="s">
        <v>5701</v>
      </c>
      <c r="B3675" s="3" t="s">
        <v>5704</v>
      </c>
    </row>
    <row r="3676" spans="1:2">
      <c r="A3676" s="3" t="s">
        <v>5701</v>
      </c>
      <c r="B3676" s="3" t="s">
        <v>5705</v>
      </c>
    </row>
    <row r="3677" spans="1:2">
      <c r="A3677" s="3" t="s">
        <v>5701</v>
      </c>
      <c r="B3677" s="3" t="s">
        <v>5706</v>
      </c>
    </row>
    <row r="3678" spans="1:2">
      <c r="A3678" s="3" t="s">
        <v>5701</v>
      </c>
      <c r="B3678" s="3" t="s">
        <v>5707</v>
      </c>
    </row>
    <row r="3679" spans="1:2">
      <c r="A3679" s="3" t="s">
        <v>5701</v>
      </c>
      <c r="B3679" s="3" t="s">
        <v>5708</v>
      </c>
    </row>
    <row r="3680" spans="1:2">
      <c r="A3680" s="3" t="s">
        <v>5701</v>
      </c>
      <c r="B3680" s="3" t="s">
        <v>5709</v>
      </c>
    </row>
    <row r="3681" spans="1:2">
      <c r="A3681" s="3" t="s">
        <v>5710</v>
      </c>
      <c r="B3681" s="3" t="s">
        <v>5711</v>
      </c>
    </row>
    <row r="3682" spans="1:2">
      <c r="A3682" s="3" t="s">
        <v>5710</v>
      </c>
      <c r="B3682" s="3" t="s">
        <v>5712</v>
      </c>
    </row>
    <row r="3683" spans="1:2">
      <c r="A3683" s="3" t="s">
        <v>5710</v>
      </c>
      <c r="B3683" s="3" t="s">
        <v>5713</v>
      </c>
    </row>
    <row r="3684" spans="1:2">
      <c r="A3684" s="3" t="s">
        <v>5710</v>
      </c>
      <c r="B3684" s="3" t="s">
        <v>5714</v>
      </c>
    </row>
    <row r="3685" spans="1:2">
      <c r="A3685" s="3" t="s">
        <v>5715</v>
      </c>
      <c r="B3685" s="3" t="s">
        <v>5716</v>
      </c>
    </row>
    <row r="3686" spans="1:2">
      <c r="A3686" s="3" t="s">
        <v>5715</v>
      </c>
      <c r="B3686" s="3" t="s">
        <v>5717</v>
      </c>
    </row>
    <row r="3687" spans="1:2">
      <c r="A3687" s="3" t="s">
        <v>5715</v>
      </c>
      <c r="B3687" s="3" t="s">
        <v>5718</v>
      </c>
    </row>
    <row r="3688" spans="1:2">
      <c r="A3688" s="3" t="s">
        <v>5715</v>
      </c>
      <c r="B3688" s="3" t="s">
        <v>5719</v>
      </c>
    </row>
    <row r="3689" spans="1:2">
      <c r="A3689" s="3" t="s">
        <v>5715</v>
      </c>
      <c r="B3689" s="3" t="s">
        <v>5720</v>
      </c>
    </row>
    <row r="3690" spans="1:2">
      <c r="A3690" s="3" t="s">
        <v>5715</v>
      </c>
      <c r="B3690" s="3" t="s">
        <v>5721</v>
      </c>
    </row>
    <row r="3691" spans="1:2">
      <c r="A3691" s="3" t="s">
        <v>5715</v>
      </c>
      <c r="B3691" s="3" t="s">
        <v>5722</v>
      </c>
    </row>
    <row r="3692" spans="1:2">
      <c r="A3692" s="3" t="s">
        <v>5715</v>
      </c>
      <c r="B3692" s="3" t="s">
        <v>5723</v>
      </c>
    </row>
    <row r="3693" spans="1:2">
      <c r="A3693" s="3" t="s">
        <v>5724</v>
      </c>
      <c r="B3693" s="3" t="s">
        <v>5725</v>
      </c>
    </row>
    <row r="3694" spans="1:2">
      <c r="A3694" s="3" t="s">
        <v>5724</v>
      </c>
      <c r="B3694" s="3" t="s">
        <v>5726</v>
      </c>
    </row>
    <row r="3695" spans="1:2">
      <c r="A3695" s="3" t="s">
        <v>5724</v>
      </c>
      <c r="B3695" s="3" t="s">
        <v>5727</v>
      </c>
    </row>
    <row r="3696" spans="1:2">
      <c r="A3696" s="3" t="s">
        <v>5724</v>
      </c>
      <c r="B3696" s="3" t="s">
        <v>5728</v>
      </c>
    </row>
    <row r="3697" spans="1:2">
      <c r="A3697" s="3" t="s">
        <v>5724</v>
      </c>
      <c r="B3697" s="3" t="s">
        <v>5729</v>
      </c>
    </row>
    <row r="3698" spans="1:2">
      <c r="A3698" s="3" t="s">
        <v>5724</v>
      </c>
      <c r="B3698" s="3" t="s">
        <v>5730</v>
      </c>
    </row>
    <row r="3699" spans="1:2">
      <c r="A3699" s="3" t="s">
        <v>5724</v>
      </c>
      <c r="B3699" s="3" t="s">
        <v>5731</v>
      </c>
    </row>
    <row r="3700" spans="1:2">
      <c r="A3700" s="3" t="s">
        <v>5724</v>
      </c>
      <c r="B3700" s="3" t="s">
        <v>5732</v>
      </c>
    </row>
    <row r="3701" spans="1:2">
      <c r="A3701" s="3" t="s">
        <v>5724</v>
      </c>
      <c r="B3701" s="3" t="s">
        <v>5733</v>
      </c>
    </row>
    <row r="3702" spans="1:2">
      <c r="A3702" s="3" t="s">
        <v>5734</v>
      </c>
      <c r="B3702" s="3" t="s">
        <v>5735</v>
      </c>
    </row>
    <row r="3703" spans="1:2">
      <c r="A3703" s="3" t="s">
        <v>5734</v>
      </c>
      <c r="B3703" s="3" t="s">
        <v>5736</v>
      </c>
    </row>
    <row r="3704" spans="1:2">
      <c r="A3704" s="3" t="s">
        <v>5734</v>
      </c>
      <c r="B3704" s="3" t="s">
        <v>5737</v>
      </c>
    </row>
    <row r="3705" spans="1:2">
      <c r="A3705" s="3" t="s">
        <v>5734</v>
      </c>
      <c r="B3705" s="3" t="s">
        <v>5738</v>
      </c>
    </row>
    <row r="3706" spans="1:2">
      <c r="A3706" s="3" t="s">
        <v>5739</v>
      </c>
      <c r="B3706" s="3" t="s">
        <v>5740</v>
      </c>
    </row>
    <row r="3707" spans="1:2">
      <c r="A3707" s="3" t="s">
        <v>5739</v>
      </c>
      <c r="B3707" s="3" t="s">
        <v>5741</v>
      </c>
    </row>
    <row r="3708" spans="1:2">
      <c r="A3708" s="3" t="s">
        <v>5739</v>
      </c>
      <c r="B3708" s="3" t="s">
        <v>5742</v>
      </c>
    </row>
    <row r="3709" spans="1:2">
      <c r="A3709" s="3" t="s">
        <v>5739</v>
      </c>
      <c r="B3709" s="3" t="s">
        <v>5743</v>
      </c>
    </row>
    <row r="3710" spans="1:2">
      <c r="A3710" s="3" t="s">
        <v>5739</v>
      </c>
      <c r="B3710" s="3" t="s">
        <v>5744</v>
      </c>
    </row>
    <row r="3711" spans="1:2">
      <c r="A3711" s="3" t="s">
        <v>5739</v>
      </c>
      <c r="B3711" s="3" t="s">
        <v>5745</v>
      </c>
    </row>
    <row r="3712" spans="1:2">
      <c r="A3712" s="3" t="s">
        <v>5739</v>
      </c>
      <c r="B3712" s="3" t="s">
        <v>5746</v>
      </c>
    </row>
    <row r="3713" spans="1:2">
      <c r="A3713" s="3" t="s">
        <v>5739</v>
      </c>
      <c r="B3713" s="3" t="s">
        <v>5747</v>
      </c>
    </row>
    <row r="3714" spans="1:2">
      <c r="A3714" s="3" t="s">
        <v>5739</v>
      </c>
      <c r="B3714" s="3" t="s">
        <v>5748</v>
      </c>
    </row>
    <row r="3715" spans="1:2">
      <c r="A3715" s="3" t="s">
        <v>5739</v>
      </c>
      <c r="B3715" s="3" t="s">
        <v>5749</v>
      </c>
    </row>
    <row r="3716" spans="1:2">
      <c r="A3716" s="3" t="s">
        <v>5739</v>
      </c>
      <c r="B3716" s="3" t="s">
        <v>5750</v>
      </c>
    </row>
    <row r="3717" spans="1:2">
      <c r="A3717" s="3" t="s">
        <v>5739</v>
      </c>
      <c r="B3717" s="3" t="s">
        <v>5751</v>
      </c>
    </row>
    <row r="3718" spans="1:2">
      <c r="A3718" s="3" t="s">
        <v>5739</v>
      </c>
      <c r="B3718" s="3" t="s">
        <v>5752</v>
      </c>
    </row>
    <row r="3719" spans="1:2">
      <c r="A3719" s="3" t="s">
        <v>5739</v>
      </c>
      <c r="B3719" s="3" t="s">
        <v>5753</v>
      </c>
    </row>
    <row r="3720" spans="1:2">
      <c r="A3720" s="3" t="s">
        <v>5739</v>
      </c>
      <c r="B3720" s="3" t="s">
        <v>5754</v>
      </c>
    </row>
    <row r="3721" spans="1:2">
      <c r="A3721" s="3" t="s">
        <v>5739</v>
      </c>
      <c r="B3721" s="3" t="s">
        <v>5755</v>
      </c>
    </row>
    <row r="3722" spans="1:2">
      <c r="A3722" s="3" t="s">
        <v>5739</v>
      </c>
      <c r="B3722" s="3" t="s">
        <v>5756</v>
      </c>
    </row>
    <row r="3723" spans="1:2">
      <c r="A3723" s="3" t="s">
        <v>5739</v>
      </c>
      <c r="B3723" s="3" t="s">
        <v>5757</v>
      </c>
    </row>
    <row r="3724" spans="1:2">
      <c r="A3724" s="3" t="s">
        <v>5739</v>
      </c>
      <c r="B3724" s="3" t="s">
        <v>5758</v>
      </c>
    </row>
    <row r="3725" spans="1:2">
      <c r="A3725" s="3" t="s">
        <v>5739</v>
      </c>
      <c r="B3725" s="3" t="s">
        <v>5759</v>
      </c>
    </row>
    <row r="3726" spans="1:2">
      <c r="A3726" s="3" t="s">
        <v>5739</v>
      </c>
      <c r="B3726" s="3" t="s">
        <v>5760</v>
      </c>
    </row>
    <row r="3727" spans="1:2">
      <c r="A3727" s="3" t="s">
        <v>5739</v>
      </c>
      <c r="B3727" s="3" t="s">
        <v>5761</v>
      </c>
    </row>
    <row r="3728" spans="1:2">
      <c r="A3728" s="3" t="s">
        <v>5739</v>
      </c>
      <c r="B3728" s="3" t="s">
        <v>5762</v>
      </c>
    </row>
    <row r="3729" spans="1:2">
      <c r="A3729" s="3" t="s">
        <v>5739</v>
      </c>
      <c r="B3729" s="3" t="s">
        <v>5763</v>
      </c>
    </row>
    <row r="3730" spans="1:2">
      <c r="A3730" s="3" t="s">
        <v>5739</v>
      </c>
      <c r="B3730" s="3" t="s">
        <v>5764</v>
      </c>
    </row>
    <row r="3731" spans="1:2">
      <c r="A3731" s="3" t="s">
        <v>5739</v>
      </c>
      <c r="B3731" s="3" t="s">
        <v>5765</v>
      </c>
    </row>
    <row r="3732" spans="1:2">
      <c r="A3732" s="3" t="s">
        <v>5739</v>
      </c>
      <c r="B3732" s="3" t="s">
        <v>5766</v>
      </c>
    </row>
    <row r="3733" spans="1:2">
      <c r="A3733" s="3" t="s">
        <v>5739</v>
      </c>
      <c r="B3733" s="3" t="s">
        <v>5767</v>
      </c>
    </row>
    <row r="3734" spans="1:2">
      <c r="A3734" s="3" t="s">
        <v>5739</v>
      </c>
      <c r="B3734" s="3" t="s">
        <v>5768</v>
      </c>
    </row>
    <row r="3735" spans="1:2">
      <c r="A3735" s="3" t="s">
        <v>5739</v>
      </c>
      <c r="B3735" s="3" t="s">
        <v>5769</v>
      </c>
    </row>
    <row r="3736" spans="1:2">
      <c r="A3736" s="3" t="s">
        <v>5739</v>
      </c>
      <c r="B3736" s="3" t="s">
        <v>5770</v>
      </c>
    </row>
    <row r="3737" spans="1:2">
      <c r="A3737" s="3" t="s">
        <v>5739</v>
      </c>
      <c r="B3737" s="3" t="s">
        <v>5771</v>
      </c>
    </row>
    <row r="3738" spans="1:2">
      <c r="A3738" s="29" t="s">
        <v>5772</v>
      </c>
      <c r="B3738" s="31" t="s">
        <v>5773</v>
      </c>
    </row>
    <row r="3739" spans="1:2">
      <c r="A3739" s="29" t="s">
        <v>5772</v>
      </c>
      <c r="B3739" s="31" t="s">
        <v>5774</v>
      </c>
    </row>
    <row r="3740" spans="1:2">
      <c r="A3740" s="29" t="s">
        <v>5772</v>
      </c>
      <c r="B3740" s="31" t="s">
        <v>5775</v>
      </c>
    </row>
    <row r="3741" spans="1:2">
      <c r="A3741" s="29" t="s">
        <v>5772</v>
      </c>
      <c r="B3741" s="31" t="s">
        <v>5776</v>
      </c>
    </row>
    <row r="3742" spans="1:2">
      <c r="A3742" s="29" t="s">
        <v>5772</v>
      </c>
      <c r="B3742" s="31" t="s">
        <v>5777</v>
      </c>
    </row>
    <row r="3743" spans="1:2">
      <c r="A3743" s="29" t="s">
        <v>5772</v>
      </c>
      <c r="B3743" s="31" t="s">
        <v>5778</v>
      </c>
    </row>
    <row r="3744" spans="1:2">
      <c r="A3744" s="29" t="s">
        <v>5772</v>
      </c>
      <c r="B3744" s="31" t="s">
        <v>5779</v>
      </c>
    </row>
    <row r="3745" spans="1:2">
      <c r="A3745" s="29" t="s">
        <v>5772</v>
      </c>
      <c r="B3745" s="31" t="s">
        <v>5780</v>
      </c>
    </row>
    <row r="3746" spans="1:2">
      <c r="A3746" s="29" t="s">
        <v>5772</v>
      </c>
      <c r="B3746" s="29" t="s">
        <v>5781</v>
      </c>
    </row>
    <row r="3747" spans="1:2">
      <c r="A3747" s="3" t="s">
        <v>5782</v>
      </c>
      <c r="B3747" s="3" t="s">
        <v>5783</v>
      </c>
    </row>
    <row r="3748" spans="1:2">
      <c r="A3748" s="3" t="s">
        <v>5782</v>
      </c>
      <c r="B3748" s="3" t="s">
        <v>5784</v>
      </c>
    </row>
    <row r="3749" spans="1:2">
      <c r="A3749" s="3" t="s">
        <v>5782</v>
      </c>
      <c r="B3749" s="3" t="s">
        <v>5785</v>
      </c>
    </row>
    <row r="3750" spans="1:2">
      <c r="A3750" s="3" t="s">
        <v>5786</v>
      </c>
      <c r="B3750" s="3" t="s">
        <v>5787</v>
      </c>
    </row>
    <row r="3751" spans="1:2">
      <c r="A3751" s="3" t="s">
        <v>5786</v>
      </c>
      <c r="B3751" s="3" t="s">
        <v>5788</v>
      </c>
    </row>
    <row r="3752" spans="1:2">
      <c r="A3752" s="3" t="s">
        <v>5786</v>
      </c>
      <c r="B3752" s="3" t="s">
        <v>5789</v>
      </c>
    </row>
    <row r="3753" spans="1:2">
      <c r="A3753" s="3" t="s">
        <v>5786</v>
      </c>
      <c r="B3753" s="3" t="s">
        <v>5790</v>
      </c>
    </row>
    <row r="3754" spans="1:2">
      <c r="A3754" s="3" t="s">
        <v>5786</v>
      </c>
      <c r="B3754" s="3" t="s">
        <v>5791</v>
      </c>
    </row>
    <row r="3755" spans="1:2">
      <c r="A3755" s="3" t="s">
        <v>5786</v>
      </c>
      <c r="B3755" s="3" t="s">
        <v>5792</v>
      </c>
    </row>
    <row r="3756" spans="1:2">
      <c r="A3756" s="3" t="s">
        <v>5793</v>
      </c>
      <c r="B3756" s="3" t="s">
        <v>5794</v>
      </c>
    </row>
    <row r="3757" spans="1:2">
      <c r="A3757" s="3" t="s">
        <v>5793</v>
      </c>
      <c r="B3757" s="3" t="s">
        <v>5795</v>
      </c>
    </row>
    <row r="3758" spans="1:2">
      <c r="A3758" s="3" t="s">
        <v>5793</v>
      </c>
      <c r="B3758" s="3" t="s">
        <v>5796</v>
      </c>
    </row>
    <row r="3759" spans="1:2">
      <c r="A3759" s="3" t="s">
        <v>5793</v>
      </c>
      <c r="B3759" s="3" t="s">
        <v>5797</v>
      </c>
    </row>
    <row r="3760" spans="1:2">
      <c r="A3760" s="3" t="s">
        <v>5798</v>
      </c>
      <c r="B3760" s="3" t="s">
        <v>5799</v>
      </c>
    </row>
    <row r="3761" spans="1:2">
      <c r="A3761" s="3" t="s">
        <v>5798</v>
      </c>
      <c r="B3761" s="3" t="s">
        <v>5800</v>
      </c>
    </row>
    <row r="3762" spans="1:2">
      <c r="A3762" s="3" t="s">
        <v>5798</v>
      </c>
      <c r="B3762" s="3" t="s">
        <v>5801</v>
      </c>
    </row>
    <row r="3763" spans="1:2">
      <c r="A3763" s="3" t="s">
        <v>5798</v>
      </c>
      <c r="B3763" s="3" t="s">
        <v>5802</v>
      </c>
    </row>
    <row r="3764" spans="1:2">
      <c r="A3764" s="3" t="s">
        <v>5798</v>
      </c>
      <c r="B3764" s="3" t="s">
        <v>5803</v>
      </c>
    </row>
    <row r="3765" spans="1:2">
      <c r="A3765" s="3" t="s">
        <v>5798</v>
      </c>
      <c r="B3765" s="3" t="s">
        <v>5804</v>
      </c>
    </row>
    <row r="3766" spans="1:2">
      <c r="A3766" s="3" t="s">
        <v>5798</v>
      </c>
      <c r="B3766" s="3" t="s">
        <v>5805</v>
      </c>
    </row>
    <row r="3767" spans="1:2">
      <c r="A3767" s="3" t="s">
        <v>5798</v>
      </c>
      <c r="B3767" s="3" t="s">
        <v>5806</v>
      </c>
    </row>
    <row r="3768" spans="1:2">
      <c r="A3768" s="3" t="s">
        <v>5807</v>
      </c>
      <c r="B3768" s="3" t="s">
        <v>5808</v>
      </c>
    </row>
    <row r="3769" spans="1:2">
      <c r="A3769" s="3" t="s">
        <v>5807</v>
      </c>
      <c r="B3769" s="3" t="s">
        <v>5809</v>
      </c>
    </row>
    <row r="3770" spans="1:2">
      <c r="A3770" s="3" t="s">
        <v>5807</v>
      </c>
      <c r="B3770" s="3" t="s">
        <v>5810</v>
      </c>
    </row>
    <row r="3771" spans="1:2">
      <c r="A3771" s="3" t="s">
        <v>5807</v>
      </c>
      <c r="B3771" s="3" t="s">
        <v>5811</v>
      </c>
    </row>
    <row r="3772" spans="1:2">
      <c r="A3772" s="3" t="s">
        <v>5807</v>
      </c>
      <c r="B3772" s="3" t="s">
        <v>5812</v>
      </c>
    </row>
    <row r="3773" spans="1:2">
      <c r="A3773" s="3" t="s">
        <v>5807</v>
      </c>
      <c r="B3773" s="3" t="s">
        <v>5813</v>
      </c>
    </row>
    <row r="3774" spans="1:2">
      <c r="A3774" s="3" t="s">
        <v>5807</v>
      </c>
      <c r="B3774" s="3" t="s">
        <v>5814</v>
      </c>
    </row>
    <row r="3775" spans="1:2">
      <c r="A3775" s="3" t="s">
        <v>5807</v>
      </c>
      <c r="B3775" s="3" t="s">
        <v>5815</v>
      </c>
    </row>
    <row r="3776" spans="1:2">
      <c r="A3776" s="3" t="s">
        <v>5816</v>
      </c>
      <c r="B3776" s="3" t="s">
        <v>5817</v>
      </c>
    </row>
    <row r="3777" spans="1:2">
      <c r="A3777" s="3" t="s">
        <v>5816</v>
      </c>
      <c r="B3777" s="3" t="s">
        <v>5818</v>
      </c>
    </row>
    <row r="3778" spans="1:2">
      <c r="A3778" s="3" t="s">
        <v>5816</v>
      </c>
      <c r="B3778" s="3" t="s">
        <v>5819</v>
      </c>
    </row>
    <row r="3779" spans="1:2">
      <c r="A3779" s="3" t="s">
        <v>5816</v>
      </c>
      <c r="B3779" s="3" t="s">
        <v>5820</v>
      </c>
    </row>
    <row r="3780" spans="1:2">
      <c r="A3780" s="3" t="s">
        <v>5816</v>
      </c>
      <c r="B3780" s="3" t="s">
        <v>5821</v>
      </c>
    </row>
    <row r="3781" spans="1:2">
      <c r="A3781" s="3" t="s">
        <v>5816</v>
      </c>
      <c r="B3781" s="3" t="s">
        <v>5822</v>
      </c>
    </row>
    <row r="3782" spans="1:2">
      <c r="A3782" s="3" t="s">
        <v>5816</v>
      </c>
      <c r="B3782" s="3" t="s">
        <v>5823</v>
      </c>
    </row>
    <row r="3783" spans="1:2">
      <c r="A3783" s="3" t="s">
        <v>5816</v>
      </c>
      <c r="B3783" s="3" t="s">
        <v>5824</v>
      </c>
    </row>
    <row r="3784" spans="1:2">
      <c r="A3784" s="3" t="s">
        <v>5825</v>
      </c>
      <c r="B3784" s="3" t="s">
        <v>5826</v>
      </c>
    </row>
    <row r="3785" spans="1:2">
      <c r="A3785" s="3" t="s">
        <v>5825</v>
      </c>
      <c r="B3785" s="3" t="s">
        <v>5827</v>
      </c>
    </row>
    <row r="3786" spans="1:2">
      <c r="A3786" s="3" t="s">
        <v>5825</v>
      </c>
      <c r="B3786" s="3" t="s">
        <v>5828</v>
      </c>
    </row>
    <row r="3787" spans="1:2">
      <c r="A3787" s="3" t="s">
        <v>5829</v>
      </c>
      <c r="B3787" s="3" t="s">
        <v>5830</v>
      </c>
    </row>
    <row r="3788" spans="1:2">
      <c r="A3788" s="3" t="s">
        <v>5829</v>
      </c>
      <c r="B3788" s="3" t="s">
        <v>5831</v>
      </c>
    </row>
    <row r="3789" spans="1:2">
      <c r="A3789" s="3" t="s">
        <v>5829</v>
      </c>
      <c r="B3789" s="3" t="s">
        <v>5832</v>
      </c>
    </row>
    <row r="3790" spans="1:2">
      <c r="A3790" s="3" t="s">
        <v>5829</v>
      </c>
      <c r="B3790" s="3" t="s">
        <v>5833</v>
      </c>
    </row>
    <row r="3791" spans="1:2">
      <c r="A3791" s="3" t="s">
        <v>5834</v>
      </c>
      <c r="B3791" s="3" t="s">
        <v>5835</v>
      </c>
    </row>
    <row r="3792" spans="1:2">
      <c r="A3792" s="3" t="s">
        <v>5834</v>
      </c>
      <c r="B3792" s="3" t="s">
        <v>5836</v>
      </c>
    </row>
    <row r="3793" spans="1:2">
      <c r="A3793" s="3" t="s">
        <v>5834</v>
      </c>
      <c r="B3793" s="3" t="s">
        <v>5837</v>
      </c>
    </row>
    <row r="3794" spans="1:2">
      <c r="A3794" s="3" t="s">
        <v>5834</v>
      </c>
      <c r="B3794" s="3" t="s">
        <v>5838</v>
      </c>
    </row>
    <row r="3795" spans="1:2">
      <c r="A3795" s="3" t="s">
        <v>5839</v>
      </c>
      <c r="B3795" s="3" t="s">
        <v>5840</v>
      </c>
    </row>
    <row r="3796" spans="1:2">
      <c r="A3796" s="3" t="s">
        <v>5839</v>
      </c>
      <c r="B3796" s="3" t="s">
        <v>5841</v>
      </c>
    </row>
    <row r="3797" spans="1:2">
      <c r="A3797" s="3" t="s">
        <v>5839</v>
      </c>
      <c r="B3797" s="3" t="s">
        <v>5842</v>
      </c>
    </row>
    <row r="3798" spans="1:2">
      <c r="A3798" s="3" t="s">
        <v>5839</v>
      </c>
      <c r="B3798" s="3" t="s">
        <v>5843</v>
      </c>
    </row>
    <row r="3799" spans="1:2">
      <c r="A3799" s="3" t="s">
        <v>5839</v>
      </c>
      <c r="B3799" s="3" t="s">
        <v>5844</v>
      </c>
    </row>
    <row r="3800" spans="1:2">
      <c r="A3800" s="3" t="s">
        <v>5839</v>
      </c>
      <c r="B3800" s="3" t="s">
        <v>5845</v>
      </c>
    </row>
    <row r="3801" spans="1:2">
      <c r="A3801" s="3" t="s">
        <v>5839</v>
      </c>
      <c r="B3801" s="3" t="s">
        <v>5846</v>
      </c>
    </row>
    <row r="3802" spans="1:2">
      <c r="A3802" s="3" t="s">
        <v>5839</v>
      </c>
      <c r="B3802" s="3" t="s">
        <v>5847</v>
      </c>
    </row>
    <row r="3803" spans="1:2">
      <c r="A3803" s="3" t="s">
        <v>5839</v>
      </c>
      <c r="B3803" s="3" t="s">
        <v>5848</v>
      </c>
    </row>
    <row r="3804" spans="1:2">
      <c r="A3804" s="3" t="s">
        <v>5839</v>
      </c>
      <c r="B3804" s="3" t="s">
        <v>5849</v>
      </c>
    </row>
    <row r="3805" spans="1:2">
      <c r="A3805" s="3" t="s">
        <v>5839</v>
      </c>
      <c r="B3805" s="3" t="s">
        <v>5850</v>
      </c>
    </row>
    <row r="3806" spans="1:2">
      <c r="A3806" s="3" t="s">
        <v>5839</v>
      </c>
      <c r="B3806" s="3" t="s">
        <v>5851</v>
      </c>
    </row>
    <row r="3807" spans="1:2">
      <c r="A3807" s="3" t="s">
        <v>5839</v>
      </c>
      <c r="B3807" s="3" t="s">
        <v>5852</v>
      </c>
    </row>
    <row r="3808" spans="1:2">
      <c r="A3808" s="3" t="s">
        <v>5839</v>
      </c>
      <c r="B3808" s="3" t="s">
        <v>5853</v>
      </c>
    </row>
    <row r="3809" spans="1:2">
      <c r="A3809" s="3" t="s">
        <v>5839</v>
      </c>
      <c r="B3809" s="3" t="s">
        <v>5854</v>
      </c>
    </row>
    <row r="3810" spans="1:2">
      <c r="A3810" s="3" t="s">
        <v>5839</v>
      </c>
      <c r="B3810" s="3" t="s">
        <v>5855</v>
      </c>
    </row>
    <row r="3811" spans="1:2">
      <c r="A3811" s="3" t="s">
        <v>5856</v>
      </c>
      <c r="B3811" s="3" t="s">
        <v>5857</v>
      </c>
    </row>
    <row r="3812" spans="1:2">
      <c r="A3812" s="3" t="s">
        <v>5856</v>
      </c>
      <c r="B3812" s="3" t="s">
        <v>5858</v>
      </c>
    </row>
    <row r="3813" spans="1:2">
      <c r="A3813" s="3" t="s">
        <v>5856</v>
      </c>
      <c r="B3813" s="3" t="s">
        <v>5859</v>
      </c>
    </row>
    <row r="3814" spans="1:2">
      <c r="A3814" s="3" t="s">
        <v>5856</v>
      </c>
      <c r="B3814" s="3" t="s">
        <v>5860</v>
      </c>
    </row>
    <row r="3815" spans="1:2">
      <c r="A3815" s="3" t="s">
        <v>5856</v>
      </c>
      <c r="B3815" s="3" t="s">
        <v>5861</v>
      </c>
    </row>
    <row r="3816" spans="1:2">
      <c r="A3816" s="3" t="s">
        <v>5856</v>
      </c>
      <c r="B3816" s="3" t="s">
        <v>5862</v>
      </c>
    </row>
    <row r="3817" spans="1:2">
      <c r="A3817" s="3" t="s">
        <v>5856</v>
      </c>
      <c r="B3817" s="3" t="s">
        <v>5863</v>
      </c>
    </row>
    <row r="3818" spans="1:2">
      <c r="A3818" s="3" t="s">
        <v>5856</v>
      </c>
      <c r="B3818" s="3" t="s">
        <v>5864</v>
      </c>
    </row>
    <row r="3819" spans="1:2">
      <c r="A3819" s="3" t="s">
        <v>5856</v>
      </c>
      <c r="B3819" s="3" t="s">
        <v>5865</v>
      </c>
    </row>
    <row r="3820" spans="1:2">
      <c r="A3820" s="3" t="s">
        <v>5856</v>
      </c>
      <c r="B3820" s="3" t="s">
        <v>5866</v>
      </c>
    </row>
    <row r="3821" spans="1:2">
      <c r="A3821" s="3" t="s">
        <v>5856</v>
      </c>
      <c r="B3821" s="3" t="s">
        <v>5867</v>
      </c>
    </row>
    <row r="3822" spans="1:2">
      <c r="A3822" s="3" t="s">
        <v>5856</v>
      </c>
      <c r="B3822" s="3" t="s">
        <v>5868</v>
      </c>
    </row>
    <row r="3823" spans="1:2">
      <c r="A3823" s="3" t="s">
        <v>5856</v>
      </c>
      <c r="B3823" s="3" t="s">
        <v>5869</v>
      </c>
    </row>
    <row r="3824" spans="1:2">
      <c r="A3824" s="3" t="s">
        <v>5856</v>
      </c>
      <c r="B3824" s="3" t="s">
        <v>5870</v>
      </c>
    </row>
    <row r="3825" spans="1:3">
      <c r="A3825" s="3" t="s">
        <v>5856</v>
      </c>
      <c r="B3825" s="3" t="s">
        <v>5871</v>
      </c>
    </row>
    <row r="3826" spans="1:3">
      <c r="A3826" s="3" t="s">
        <v>5856</v>
      </c>
      <c r="B3826" s="3" t="s">
        <v>5872</v>
      </c>
    </row>
    <row r="3827" spans="1:3">
      <c r="A3827" s="3" t="s">
        <v>5873</v>
      </c>
      <c r="B3827" s="3" t="s">
        <v>5874</v>
      </c>
    </row>
    <row r="3828" spans="1:3">
      <c r="A3828" s="3" t="s">
        <v>5873</v>
      </c>
      <c r="B3828" s="3" t="s">
        <v>5875</v>
      </c>
    </row>
    <row r="3829" spans="1:3">
      <c r="A3829" s="3" t="s">
        <v>5876</v>
      </c>
      <c r="B3829" s="3" t="s">
        <v>5877</v>
      </c>
    </row>
    <row r="3830" spans="1:3">
      <c r="A3830" s="3" t="s">
        <v>5876</v>
      </c>
      <c r="B3830" s="3" t="s">
        <v>5878</v>
      </c>
    </row>
    <row r="3831" spans="1:3">
      <c r="A3831" s="29" t="s">
        <v>5879</v>
      </c>
      <c r="B3831" s="29" t="s">
        <v>5880</v>
      </c>
    </row>
    <row r="3832" spans="1:3">
      <c r="A3832" s="29" t="s">
        <v>5879</v>
      </c>
      <c r="B3832" s="29" t="s">
        <v>5881</v>
      </c>
    </row>
    <row r="3833" spans="1:3">
      <c r="A3833" s="29" t="s">
        <v>5879</v>
      </c>
      <c r="B3833" s="29" t="s">
        <v>5882</v>
      </c>
    </row>
    <row r="3834" spans="1:3">
      <c r="A3834" s="29" t="s">
        <v>5879</v>
      </c>
      <c r="B3834" s="29" t="s">
        <v>5883</v>
      </c>
    </row>
    <row r="3835" spans="1:3">
      <c r="A3835" s="29" t="s">
        <v>5879</v>
      </c>
      <c r="B3835" s="29" t="s">
        <v>5884</v>
      </c>
    </row>
    <row r="3836" spans="1:3">
      <c r="A3836" s="29" t="s">
        <v>5879</v>
      </c>
      <c r="B3836" s="29" t="s">
        <v>5885</v>
      </c>
    </row>
    <row r="3837" spans="1:3">
      <c r="A3837" s="29" t="s">
        <v>5879</v>
      </c>
      <c r="B3837" s="29" t="s">
        <v>5886</v>
      </c>
    </row>
    <row r="3838" spans="1:3">
      <c r="A3838" s="29" t="s">
        <v>5879</v>
      </c>
      <c r="B3838" s="29" t="s">
        <v>5887</v>
      </c>
    </row>
    <row r="3839" spans="1:3">
      <c r="A3839" s="29" t="s">
        <v>5879</v>
      </c>
      <c r="B3839" s="29" t="s">
        <v>5888</v>
      </c>
    </row>
    <row r="3840" spans="1:3">
      <c r="A3840" s="2" t="s">
        <v>5889</v>
      </c>
      <c r="B3840" s="2" t="s">
        <v>5890</v>
      </c>
      <c r="C3840" s="2" t="s">
        <v>5891</v>
      </c>
    </row>
    <row r="3841" spans="1:4">
      <c r="A3841" s="2" t="s">
        <v>5889</v>
      </c>
      <c r="B3841" s="2" t="s">
        <v>5892</v>
      </c>
      <c r="C3841" s="2" t="s">
        <v>5893</v>
      </c>
    </row>
    <row r="3842" spans="1:4">
      <c r="A3842" s="2" t="s">
        <v>5889</v>
      </c>
      <c r="B3842" s="2" t="s">
        <v>5894</v>
      </c>
      <c r="C3842" s="2" t="s">
        <v>5895</v>
      </c>
    </row>
    <row r="3843" spans="1:4">
      <c r="A3843" s="2" t="s">
        <v>5889</v>
      </c>
      <c r="B3843" s="2" t="s">
        <v>5896</v>
      </c>
      <c r="C3843" s="2" t="s">
        <v>5897</v>
      </c>
    </row>
    <row r="3856" spans="1:4">
      <c r="D3856" s="51"/>
    </row>
  </sheetData>
  <autoFilter ref="A1:B3847" xr:uid="{9EF3C0A6-6CE9-449E-A649-3476EDDF810E}">
    <sortState xmlns:xlrd2="http://schemas.microsoft.com/office/spreadsheetml/2017/richdata2" ref="A2985:B2986">
      <sortCondition ref="A1:A3847"/>
    </sortState>
  </autoFilter>
  <phoneticPr fontId="4" type="noConversion"/>
  <pageMargins left="0.25" right="0.23958333333333334" top="0.75" bottom="0.75" header="0.5" footer="0.5"/>
  <pageSetup paperSize="9" orientation="landscape" r:id="rId1"/>
  <headerFooter>
    <oddFooter>&amp;LSep 25, 2024, 10:56 AM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4C2F901B9BD74AB3CE08FFBF710309" ma:contentTypeVersion="12" ma:contentTypeDescription="Create a new document." ma:contentTypeScope="" ma:versionID="f1d351a259c872ea24d4383c57193609">
  <xsd:schema xmlns:xsd="http://www.w3.org/2001/XMLSchema" xmlns:xs="http://www.w3.org/2001/XMLSchema" xmlns:p="http://schemas.microsoft.com/office/2006/metadata/properties" xmlns:ns2="a88e5e2f-839d-4202-bdfc-f0662dfc1247" xmlns:ns3="7413e2d2-a362-4138-acab-52df04cc569e" targetNamespace="http://schemas.microsoft.com/office/2006/metadata/properties" ma:root="true" ma:fieldsID="a8da876419946b13a5c8bd40ba7ead76" ns2:_="" ns3:_="">
    <xsd:import namespace="a88e5e2f-839d-4202-bdfc-f0662dfc1247"/>
    <xsd:import namespace="7413e2d2-a362-4138-acab-52df04cc56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e5e2f-839d-4202-bdfc-f0662dfc1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3e2d2-a362-4138-acab-52df04cc56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8fcdd39-44dc-47cd-be40-791f55672f11}" ma:internalName="TaxCatchAll" ma:showField="CatchAllData" ma:web="7413e2d2-a362-4138-acab-52df04cc56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8e5e2f-839d-4202-bdfc-f0662dfc1247">
      <Terms xmlns="http://schemas.microsoft.com/office/infopath/2007/PartnerControls"/>
    </lcf76f155ced4ddcb4097134ff3c332f>
    <TaxCatchAll xmlns="7413e2d2-a362-4138-acab-52df04cc569e" xsi:nil="true"/>
  </documentManagement>
</p:properties>
</file>

<file path=customXml/itemProps1.xml><?xml version="1.0" encoding="utf-8"?>
<ds:datastoreItem xmlns:ds="http://schemas.openxmlformats.org/officeDocument/2006/customXml" ds:itemID="{2D5FA93D-ACD1-4BED-92DF-E3BF09097F46}"/>
</file>

<file path=customXml/itemProps2.xml><?xml version="1.0" encoding="utf-8"?>
<ds:datastoreItem xmlns:ds="http://schemas.openxmlformats.org/officeDocument/2006/customXml" ds:itemID="{13690541-6A51-4DBC-90B0-B091422C9C5C}"/>
</file>

<file path=customXml/itemProps3.xml><?xml version="1.0" encoding="utf-8"?>
<ds:datastoreItem xmlns:ds="http://schemas.openxmlformats.org/officeDocument/2006/customXml" ds:itemID="{5DBC6C62-6EA5-4A81-9E51-4D0370D7E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2</vt:i4>
      </vt:variant>
    </vt:vector>
  </HeadingPairs>
  <TitlesOfParts>
    <vt:vector size="14" baseType="lpstr">
      <vt:lpstr>ChangeLog</vt:lpstr>
      <vt:lpstr>Sys_ComIf</vt:lpstr>
      <vt:lpstr>ComRx_Bus</vt:lpstr>
      <vt:lpstr>UIM_Bus</vt:lpstr>
      <vt:lpstr>SAM_Bus</vt:lpstr>
      <vt:lpstr>TCM_Bus</vt:lpstr>
      <vt:lpstr>CCM_Bus</vt:lpstr>
      <vt:lpstr>SenCorr_Bus</vt:lpstr>
      <vt:lpstr>SysReq_Bus</vt:lpstr>
      <vt:lpstr>Sys_IoIf</vt:lpstr>
      <vt:lpstr>ADTTables</vt:lpstr>
      <vt:lpstr>TextTables</vt:lpstr>
      <vt:lpstr>__bookmark_2</vt:lpstr>
      <vt:lpstr>Sys_IoIf!Print_Area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Sheng, Linhongyi</dc:creator>
  <cp:keywords/>
  <dc:description/>
  <cp:lastModifiedBy>Huang, Guoqing</cp:lastModifiedBy>
  <cp:revision/>
  <cp:lastPrinted>2025-12-18T03:37:24Z</cp:lastPrinted>
  <dcterms:created xsi:type="dcterms:W3CDTF">2015-06-05T18:17:20Z</dcterms:created>
  <dcterms:modified xsi:type="dcterms:W3CDTF">2026-03-02T02:50:04Z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2025-05-14T05:46:11Z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92d11089-77b0-45b2-813d-906d46d3a3d4</vt:lpwstr>
  </property>
  <property fmtid="{D5CDD505-2E9C-101B-9397-08002B2CF9AE}" pid="8" name="MSIP_Label_3f3ac890-09a1-47d3-8d04-15427d7fec91_ContentBits">
    <vt:lpwstr>0</vt:lpwstr>
  </property>
  <property fmtid="{D5CDD505-2E9C-101B-9397-08002B2CF9AE}" pid="9" name="MSIP_Label_3f3ac890-09a1-47d3-8d04-15427d7fec91_Tag">
    <vt:lpwstr>10, 3, 0, 1</vt:lpwstr>
  </property>
  <property fmtid="{D5CDD505-2E9C-101B-9397-08002B2CF9AE}" pid="10" name="ContentTypeId">
    <vt:lpwstr>0x010100344C2F901B9BD74AB3CE08FFBF710309</vt:lpwstr>
  </property>
</Properties>
</file>